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eports\CMR\"/>
    </mc:Choice>
  </mc:AlternateContent>
  <bookViews>
    <workbookView xWindow="0" yWindow="0" windowWidth="19200" windowHeight="6855" tabRatio="712" firstSheet="1" activeTab="3"/>
  </bookViews>
  <sheets>
    <sheet name="Ageing Summary RAW" sheetId="4" state="hidden" r:id="rId1"/>
    <sheet name="Count Summary" sheetId="16" r:id="rId2"/>
    <sheet name="Ageing Summary" sheetId="11" state="hidden" r:id="rId3"/>
    <sheet name="Tracker Data" sheetId="1" r:id="rId4"/>
    <sheet name="References" sheetId="3" r:id="rId5"/>
    <sheet name="Tracker Data (2)" sheetId="12" state="hidden" r:id="rId6"/>
    <sheet name="References (2)" sheetId="13" state="hidden" r:id="rId7"/>
    <sheet name="Count Summary (2)" sheetId="15" state="hidden" r:id="rId8"/>
    <sheet name="Ageing Summary (2)" sheetId="14" state="hidden" r:id="rId9"/>
  </sheets>
  <functionGroups builtInGroupCount="18"/>
  <definedNames>
    <definedName name="_xlnm._FilterDatabase" localSheetId="3" hidden="1">'Tracker Data'!$A$2:$AR$109</definedName>
    <definedName name="_xlnm._FilterDatabase" localSheetId="5" hidden="1">'Tracker Data (2)'!$B$2:$AL$496</definedName>
    <definedName name="area" localSheetId="8">'References (2)'!$H$22:$H$24</definedName>
    <definedName name="area" localSheetId="7">'References (2)'!$H$22:$H$24</definedName>
    <definedName name="area" localSheetId="6">'References (2)'!$H$22:$H$24</definedName>
    <definedName name="area" localSheetId="5">'References (2)'!$H$22:$H$24</definedName>
    <definedName name="area">References!$H$22:$H$24</definedName>
    <definedName name="cmrsource" localSheetId="8">'References (2)'!$I$22:$I$23</definedName>
    <definedName name="cmrsource" localSheetId="7">'References (2)'!$I$22:$I$23</definedName>
    <definedName name="cmrsource" localSheetId="6">'References (2)'!$I$22:$I$23</definedName>
    <definedName name="cmrsource" localSheetId="5">'References (2)'!$I$22:$I$23</definedName>
    <definedName name="cmrsource">References!$I$22:$I$23</definedName>
    <definedName name="cmrstat" localSheetId="8">'References (2)'!$J$12:$J$13</definedName>
    <definedName name="cmrstat" localSheetId="7">'References (2)'!$J$12:$J$13</definedName>
    <definedName name="cmrstat" localSheetId="6">'References (2)'!$J$12:$J$13</definedName>
    <definedName name="cmrstat" localSheetId="5">'References (2)'!$J$12:$J$13</definedName>
    <definedName name="cmrstat">References!$J$12:$J$13</definedName>
    <definedName name="concat" localSheetId="8">'References (2)'!$H$17:$H$19</definedName>
    <definedName name="concat" localSheetId="7">'References (2)'!$H$17:$H$19</definedName>
    <definedName name="concat" localSheetId="6">'References (2)'!$H$17:$H$19</definedName>
    <definedName name="concat" localSheetId="5">'References (2)'!$H$17:$H$19</definedName>
    <definedName name="concat">References!$H$17:$H$19</definedName>
    <definedName name="fsrstat" localSheetId="8">'References (2)'!$I$12:$I$14</definedName>
    <definedName name="fsrstat" localSheetId="7">'References (2)'!$I$12:$I$14</definedName>
    <definedName name="fsrstat" localSheetId="6">'References (2)'!$I$12:$I$14</definedName>
    <definedName name="fsrstat" localSheetId="5">'References (2)'!$I$12:$I$14</definedName>
    <definedName name="fsrstat">References!$I$12:$I$14</definedName>
    <definedName name="involvegroup" localSheetId="8">'References (2)'!$H$12:$H$13</definedName>
    <definedName name="involvegroup" localSheetId="7">'References (2)'!$H$12:$H$13</definedName>
    <definedName name="involvegroup" localSheetId="6">'References (2)'!$H$12:$H$13</definedName>
    <definedName name="involvegroup" localSheetId="5">'References (2)'!$H$12:$H$13</definedName>
    <definedName name="involvegroup">References!$H$12:$H$13</definedName>
    <definedName name="RepairWorks" localSheetId="8">'References (2)'!$C$3:$C$40</definedName>
    <definedName name="RepairWorks" localSheetId="7">'References (2)'!$C$3:$C$40</definedName>
    <definedName name="RepairWorks" localSheetId="6">'References (2)'!$C$3:$C$40</definedName>
    <definedName name="RepairWorks" localSheetId="5">'References (2)'!$C$3:$C$40</definedName>
    <definedName name="RepairWorks">References!$C$3:$C$40</definedName>
    <definedName name="samplechange" localSheetId="8">'References (2)'!$H$12:$H$13</definedName>
    <definedName name="samplechange" localSheetId="7">'References (2)'!$H$12:$H$13</definedName>
    <definedName name="samplechange" localSheetId="6">'References (2)'!$H$12:$H$13</definedName>
    <definedName name="samplechange">References!$H$12:$H$13</definedName>
    <definedName name="sitecat" localSheetId="8">'References (2)'!$J$17:$J$20</definedName>
    <definedName name="sitecat" localSheetId="7">'References (2)'!$J$17:$J$20</definedName>
    <definedName name="sitecat" localSheetId="6">'References (2)'!$J$17:$J$20</definedName>
    <definedName name="sitecat" localSheetId="5">'References (2)'!$J$17:$J$20</definedName>
    <definedName name="sitecat">References!$J$17:$J$20</definedName>
    <definedName name="wostat" localSheetId="8">'References (2)'!$I$17:$I$19</definedName>
    <definedName name="wostat" localSheetId="7">'References (2)'!$I$17:$I$19</definedName>
    <definedName name="wostat" localSheetId="6">'References (2)'!$I$17:$I$19</definedName>
    <definedName name="wostat" localSheetId="5">'References (2)'!$I$17:$I$19</definedName>
    <definedName name="wostat">References!$I$17:$I$19</definedName>
  </definedNames>
  <calcPr calcId="162913"/>
  <pivotCaches>
    <pivotCache cacheId="5" r:id="rId10"/>
    <pivotCache cacheId="6" r:id="rId11"/>
    <pivotCache cacheId="7" r:id="rId12"/>
    <pivotCache cacheId="8" r:id="rId13"/>
    <pivotCache cacheId="9" r:id="rId14"/>
  </pivotCaches>
</workbook>
</file>

<file path=xl/calcChain.xml><?xml version="1.0" encoding="utf-8"?>
<calcChain xmlns="http://schemas.openxmlformats.org/spreadsheetml/2006/main">
  <c r="R3" i="12" l="1"/>
  <c r="S3" i="12"/>
  <c r="AQ3" i="12" s="1"/>
  <c r="Z3" i="12"/>
  <c r="AA3" i="12"/>
  <c r="AD3" i="12"/>
  <c r="AE3" i="12"/>
  <c r="AF3" i="12" s="1"/>
  <c r="AG3" i="12"/>
  <c r="AH3" i="12"/>
  <c r="AI3" i="12"/>
  <c r="AJ3" i="12" s="1"/>
  <c r="AK3" i="12"/>
  <c r="AL3" i="12"/>
  <c r="AP3" i="12"/>
  <c r="AS3" i="12"/>
  <c r="R4" i="12"/>
  <c r="S4" i="12"/>
  <c r="AR4" i="12" s="1"/>
  <c r="Z4" i="12"/>
  <c r="AA4" i="12"/>
  <c r="AD4" i="12"/>
  <c r="AE4" i="12"/>
  <c r="AF4" i="12" s="1"/>
  <c r="AG4" i="12"/>
  <c r="AH4" i="12"/>
  <c r="AI4" i="12"/>
  <c r="AJ4" i="12" s="1"/>
  <c r="AK4" i="12"/>
  <c r="AL4" i="12"/>
  <c r="AP4" i="12"/>
  <c r="AS4" i="12"/>
  <c r="R5" i="12"/>
  <c r="S5" i="12"/>
  <c r="Z5" i="12"/>
  <c r="AA5" i="12"/>
  <c r="AD5" i="12"/>
  <c r="AE5" i="12"/>
  <c r="AF5" i="12" s="1"/>
  <c r="AG5" i="12"/>
  <c r="AH5" i="12"/>
  <c r="AI5" i="12"/>
  <c r="AJ5" i="12" s="1"/>
  <c r="AK5" i="12"/>
  <c r="AN5" i="12" s="1"/>
  <c r="AL5" i="12"/>
  <c r="AP5" i="12"/>
  <c r="AS5" i="12"/>
  <c r="R6" i="12"/>
  <c r="S6" i="12"/>
  <c r="Z6" i="12"/>
  <c r="AA6" i="12"/>
  <c r="AD6" i="12"/>
  <c r="AE6" i="12"/>
  <c r="AF6" i="12" s="1"/>
  <c r="AG6" i="12"/>
  <c r="AH6" i="12"/>
  <c r="AI6" i="12"/>
  <c r="AJ6" i="12" s="1"/>
  <c r="AK6" i="12"/>
  <c r="AN6" i="12" s="1"/>
  <c r="AL6" i="12"/>
  <c r="AO6" i="12"/>
  <c r="AP6" i="12"/>
  <c r="AS6" i="12"/>
  <c r="R7" i="12"/>
  <c r="S7" i="12"/>
  <c r="Z7" i="12"/>
  <c r="AA7" i="12"/>
  <c r="AB7" i="12" s="1"/>
  <c r="AD7" i="12"/>
  <c r="AE7" i="12"/>
  <c r="AF7" i="12" s="1"/>
  <c r="AG7" i="12"/>
  <c r="AH7" i="12"/>
  <c r="AI7" i="12"/>
  <c r="AJ7" i="12" s="1"/>
  <c r="AK7" i="12"/>
  <c r="AL7" i="12"/>
  <c r="AP7" i="12"/>
  <c r="AS7" i="12"/>
  <c r="R8" i="12"/>
  <c r="S8" i="12"/>
  <c r="AR8" i="12" s="1"/>
  <c r="Z8" i="12"/>
  <c r="AA8" i="12"/>
  <c r="AD8" i="12"/>
  <c r="AE8" i="12"/>
  <c r="AF8" i="12" s="1"/>
  <c r="AG8" i="12"/>
  <c r="AH8" i="12"/>
  <c r="AI8" i="12"/>
  <c r="AJ8" i="12" s="1"/>
  <c r="AK8" i="12"/>
  <c r="AL8" i="12"/>
  <c r="AP8" i="12"/>
  <c r="AQ8" i="12"/>
  <c r="AS8" i="12"/>
  <c r="R9" i="12"/>
  <c r="S9" i="12"/>
  <c r="AQ9" i="12" s="1"/>
  <c r="Z9" i="12"/>
  <c r="AA9" i="12"/>
  <c r="AD9" i="12"/>
  <c r="AE9" i="12"/>
  <c r="AF9" i="12" s="1"/>
  <c r="AG9" i="12"/>
  <c r="AH9" i="12"/>
  <c r="AI9" i="12"/>
  <c r="AJ9" i="12" s="1"/>
  <c r="AK9" i="12"/>
  <c r="AN9" i="12" s="1"/>
  <c r="AL9" i="12"/>
  <c r="AP9" i="12"/>
  <c r="AS9" i="12"/>
  <c r="R10" i="12"/>
  <c r="S10" i="12"/>
  <c r="AR10" i="12" s="1"/>
  <c r="Z10" i="12"/>
  <c r="AA10" i="12"/>
  <c r="AC10" i="12" s="1"/>
  <c r="AD10" i="12"/>
  <c r="AE10" i="12"/>
  <c r="AF10" i="12" s="1"/>
  <c r="AG10" i="12"/>
  <c r="AH10" i="12"/>
  <c r="AI10" i="12"/>
  <c r="AJ10" i="12" s="1"/>
  <c r="AK10" i="12"/>
  <c r="AN10" i="12" s="1"/>
  <c r="AL10" i="12"/>
  <c r="AP10" i="12"/>
  <c r="AS10" i="12"/>
  <c r="R11" i="12"/>
  <c r="S11" i="12"/>
  <c r="Z11" i="12"/>
  <c r="AA11" i="12"/>
  <c r="AD11" i="12"/>
  <c r="AE11" i="12"/>
  <c r="AF11" i="12" s="1"/>
  <c r="AG11" i="12"/>
  <c r="AH11" i="12"/>
  <c r="AI11" i="12"/>
  <c r="AJ11" i="12" s="1"/>
  <c r="AK11" i="12"/>
  <c r="AO11" i="12" s="1"/>
  <c r="AL11" i="12"/>
  <c r="AN11" i="12"/>
  <c r="AP11" i="12"/>
  <c r="AS11" i="12"/>
  <c r="R12" i="12"/>
  <c r="S12" i="12"/>
  <c r="AR12" i="12" s="1"/>
  <c r="Z12" i="12"/>
  <c r="AA12" i="12"/>
  <c r="AB12" i="12" s="1"/>
  <c r="AD12" i="12"/>
  <c r="AE12" i="12"/>
  <c r="AF12" i="12" s="1"/>
  <c r="AG12" i="12"/>
  <c r="AH12" i="12"/>
  <c r="AI12" i="12"/>
  <c r="AJ12" i="12" s="1"/>
  <c r="AK12" i="12"/>
  <c r="AN12" i="12" s="1"/>
  <c r="AL12" i="12"/>
  <c r="AP12" i="12"/>
  <c r="AQ12" i="12"/>
  <c r="AS12" i="12"/>
  <c r="R13" i="12"/>
  <c r="S13" i="12"/>
  <c r="Z13" i="12"/>
  <c r="AA13" i="12"/>
  <c r="AD13" i="12"/>
  <c r="AE13" i="12"/>
  <c r="AF13" i="12" s="1"/>
  <c r="AG13" i="12"/>
  <c r="AH13" i="12"/>
  <c r="AI13" i="12"/>
  <c r="AJ13" i="12" s="1"/>
  <c r="AK13" i="12"/>
  <c r="AL13" i="12"/>
  <c r="AN13" i="12"/>
  <c r="AO13" i="12"/>
  <c r="AP13" i="12"/>
  <c r="AS13" i="12"/>
  <c r="R14" i="12"/>
  <c r="S14" i="12"/>
  <c r="Z14" i="12"/>
  <c r="AA14" i="12"/>
  <c r="AD14" i="12"/>
  <c r="AE14" i="12"/>
  <c r="AF14" i="12" s="1"/>
  <c r="AG14" i="12"/>
  <c r="AH14" i="12"/>
  <c r="AI14" i="12"/>
  <c r="AJ14" i="12" s="1"/>
  <c r="AK14" i="12"/>
  <c r="AO14" i="12" s="1"/>
  <c r="AL14" i="12"/>
  <c r="AN14" i="12"/>
  <c r="AP14" i="12"/>
  <c r="AS14" i="12"/>
  <c r="R15" i="12"/>
  <c r="S15" i="12"/>
  <c r="AQ15" i="12" s="1"/>
  <c r="Z15" i="12"/>
  <c r="AA15" i="12"/>
  <c r="AB15" i="12" s="1"/>
  <c r="AD15" i="12"/>
  <c r="AE15" i="12"/>
  <c r="AF15" i="12" s="1"/>
  <c r="AG15" i="12"/>
  <c r="AH15" i="12"/>
  <c r="AI15" i="12"/>
  <c r="AJ15" i="12" s="1"/>
  <c r="AK15" i="12"/>
  <c r="AL15" i="12"/>
  <c r="AP15" i="12"/>
  <c r="AR15" i="12"/>
  <c r="AS15" i="12"/>
  <c r="R16" i="12"/>
  <c r="S16" i="12"/>
  <c r="AR16" i="12" s="1"/>
  <c r="Z16" i="12"/>
  <c r="AA16" i="12"/>
  <c r="AD16" i="12"/>
  <c r="AE16" i="12"/>
  <c r="AF16" i="12"/>
  <c r="AG16" i="12"/>
  <c r="AH16" i="12"/>
  <c r="AI16" i="12"/>
  <c r="AJ16" i="12" s="1"/>
  <c r="AK16" i="12"/>
  <c r="AN16" i="12" s="1"/>
  <c r="AL16" i="12"/>
  <c r="AP16" i="12"/>
  <c r="AQ16" i="12"/>
  <c r="AS16" i="12"/>
  <c r="R17" i="12"/>
  <c r="S17" i="12"/>
  <c r="Z17" i="12"/>
  <c r="AA17" i="12"/>
  <c r="AC17" i="12" s="1"/>
  <c r="AD17" i="12"/>
  <c r="AE17" i="12"/>
  <c r="AF17" i="12" s="1"/>
  <c r="AG17" i="12"/>
  <c r="AH17" i="12"/>
  <c r="AI17" i="12"/>
  <c r="AJ17" i="12" s="1"/>
  <c r="AK17" i="12"/>
  <c r="AN17" i="12" s="1"/>
  <c r="AL17" i="12"/>
  <c r="AP17" i="12"/>
  <c r="AS17" i="12"/>
  <c r="R18" i="12"/>
  <c r="S18" i="12"/>
  <c r="Z18" i="12"/>
  <c r="AA18" i="12"/>
  <c r="AD18" i="12"/>
  <c r="AE18" i="12"/>
  <c r="AF18" i="12" s="1"/>
  <c r="AG18" i="12"/>
  <c r="AH18" i="12"/>
  <c r="AI18" i="12"/>
  <c r="AJ18" i="12" s="1"/>
  <c r="AK18" i="12"/>
  <c r="AO18" i="12" s="1"/>
  <c r="AL18" i="12"/>
  <c r="AN18" i="12"/>
  <c r="AP18" i="12"/>
  <c r="AQ18" i="12"/>
  <c r="AR18" i="12"/>
  <c r="AS18" i="12"/>
  <c r="R19" i="12"/>
  <c r="S19" i="12"/>
  <c r="AQ19" i="12" s="1"/>
  <c r="Z19" i="12"/>
  <c r="AA19" i="12"/>
  <c r="AD19" i="12"/>
  <c r="AE19" i="12"/>
  <c r="AF19" i="12" s="1"/>
  <c r="AG19" i="12"/>
  <c r="AH19" i="12"/>
  <c r="AI19" i="12"/>
  <c r="AJ19" i="12" s="1"/>
  <c r="AK19" i="12"/>
  <c r="AL19" i="12"/>
  <c r="AP19" i="12"/>
  <c r="AR19" i="12"/>
  <c r="AS19" i="12"/>
  <c r="R20" i="12"/>
  <c r="S20" i="12"/>
  <c r="AR20" i="12" s="1"/>
  <c r="Z20" i="12"/>
  <c r="AA20" i="12"/>
  <c r="AD20" i="12"/>
  <c r="AE20" i="12"/>
  <c r="AF20" i="12" s="1"/>
  <c r="AG20" i="12"/>
  <c r="AH20" i="12"/>
  <c r="AI20" i="12"/>
  <c r="AJ20" i="12" s="1"/>
  <c r="AK20" i="12"/>
  <c r="AL20" i="12"/>
  <c r="AP20" i="12"/>
  <c r="AS20" i="12"/>
  <c r="R21" i="12"/>
  <c r="S21" i="12"/>
  <c r="Z21" i="12"/>
  <c r="AA21" i="12"/>
  <c r="AD21" i="12"/>
  <c r="AE21" i="12"/>
  <c r="AF21" i="12" s="1"/>
  <c r="AG21" i="12"/>
  <c r="AH21" i="12"/>
  <c r="AI21" i="12"/>
  <c r="AJ21" i="12" s="1"/>
  <c r="AK21" i="12"/>
  <c r="AO21" i="12" s="1"/>
  <c r="AL21" i="12"/>
  <c r="AN21" i="12"/>
  <c r="AP21" i="12"/>
  <c r="AS21" i="12"/>
  <c r="R22" i="12"/>
  <c r="S22" i="12"/>
  <c r="Z22" i="12"/>
  <c r="AA22" i="12"/>
  <c r="AD22" i="12"/>
  <c r="AE22" i="12"/>
  <c r="AF22" i="12" s="1"/>
  <c r="AG22" i="12"/>
  <c r="AH22" i="12"/>
  <c r="AI22" i="12"/>
  <c r="AJ22" i="12" s="1"/>
  <c r="AK22" i="12"/>
  <c r="AO22" i="12" s="1"/>
  <c r="AL22" i="12"/>
  <c r="AN22" i="12"/>
  <c r="AP22" i="12"/>
  <c r="AS22" i="12"/>
  <c r="R23" i="12"/>
  <c r="S23" i="12"/>
  <c r="AR23" i="12" s="1"/>
  <c r="Z23" i="12"/>
  <c r="AA23" i="12"/>
  <c r="AD23" i="12"/>
  <c r="AE23" i="12"/>
  <c r="AF23" i="12" s="1"/>
  <c r="AG23" i="12"/>
  <c r="AH23" i="12"/>
  <c r="AI23" i="12"/>
  <c r="AJ23" i="12" s="1"/>
  <c r="AK23" i="12"/>
  <c r="AO23" i="12" s="1"/>
  <c r="AL23" i="12"/>
  <c r="AN23" i="12"/>
  <c r="AP23" i="12"/>
  <c r="AQ23" i="12"/>
  <c r="AS23" i="12"/>
  <c r="R24" i="12"/>
  <c r="S24" i="12"/>
  <c r="AR24" i="12" s="1"/>
  <c r="Z24" i="12"/>
  <c r="AA24" i="12"/>
  <c r="AD24" i="12"/>
  <c r="AE24" i="12"/>
  <c r="AF24" i="12" s="1"/>
  <c r="AG24" i="12"/>
  <c r="AH24" i="12"/>
  <c r="AI24" i="12"/>
  <c r="AJ24" i="12" s="1"/>
  <c r="AK24" i="12"/>
  <c r="AN24" i="12" s="1"/>
  <c r="AL24" i="12"/>
  <c r="AO24" i="12"/>
  <c r="AP24" i="12"/>
  <c r="AQ24" i="12"/>
  <c r="AS24" i="12"/>
  <c r="R25" i="12"/>
  <c r="S25" i="12"/>
  <c r="Z25" i="12"/>
  <c r="AA25" i="12"/>
  <c r="AD25" i="12"/>
  <c r="AE25" i="12"/>
  <c r="AF25" i="12"/>
  <c r="AG25" i="12"/>
  <c r="AH25" i="12"/>
  <c r="AI25" i="12"/>
  <c r="AJ25" i="12" s="1"/>
  <c r="AK25" i="12"/>
  <c r="AO25" i="12" s="1"/>
  <c r="AL25" i="12"/>
  <c r="AN25" i="12"/>
  <c r="AP25" i="12"/>
  <c r="AS25" i="12"/>
  <c r="R26" i="12"/>
  <c r="S26" i="12"/>
  <c r="Z26" i="12"/>
  <c r="AA26" i="12"/>
  <c r="AC26" i="12" s="1"/>
  <c r="AD26" i="12"/>
  <c r="AE26" i="12"/>
  <c r="AF26" i="12" s="1"/>
  <c r="AG26" i="12"/>
  <c r="AH26" i="12"/>
  <c r="AI26" i="12"/>
  <c r="AJ26" i="12" s="1"/>
  <c r="AK26" i="12"/>
  <c r="AN26" i="12" s="1"/>
  <c r="AL26" i="12"/>
  <c r="AO26" i="12"/>
  <c r="AP26" i="12"/>
  <c r="AS26" i="12"/>
  <c r="R27" i="12"/>
  <c r="S27" i="12"/>
  <c r="Z27" i="12"/>
  <c r="AA27" i="12"/>
  <c r="AB27" i="12" s="1"/>
  <c r="AD27" i="12"/>
  <c r="AE27" i="12"/>
  <c r="AF27" i="12" s="1"/>
  <c r="AG27" i="12"/>
  <c r="AH27" i="12"/>
  <c r="AI27" i="12"/>
  <c r="AJ27" i="12" s="1"/>
  <c r="AK27" i="12"/>
  <c r="AL27" i="12"/>
  <c r="AP27" i="12"/>
  <c r="AS27" i="12"/>
  <c r="R28" i="12"/>
  <c r="S28" i="12"/>
  <c r="Z28" i="12"/>
  <c r="AA28" i="12"/>
  <c r="AD28" i="12"/>
  <c r="AE28" i="12"/>
  <c r="AF28" i="12" s="1"/>
  <c r="AG28" i="12"/>
  <c r="AH28" i="12"/>
  <c r="AI28" i="12"/>
  <c r="AJ28" i="12" s="1"/>
  <c r="AK28" i="12"/>
  <c r="AN28" i="12" s="1"/>
  <c r="AL28" i="12"/>
  <c r="AP28" i="12"/>
  <c r="AS28" i="12"/>
  <c r="R29" i="12"/>
  <c r="S29" i="12"/>
  <c r="Z29" i="12"/>
  <c r="AA29" i="12"/>
  <c r="AC29" i="12" s="1"/>
  <c r="AD29" i="12"/>
  <c r="AE29" i="12"/>
  <c r="AF29" i="12" s="1"/>
  <c r="AG29" i="12"/>
  <c r="AH29" i="12"/>
  <c r="AI29" i="12"/>
  <c r="AJ29" i="12" s="1"/>
  <c r="AK29" i="12"/>
  <c r="AO29" i="12" s="1"/>
  <c r="AL29" i="12"/>
  <c r="AN29" i="12"/>
  <c r="AP29" i="12"/>
  <c r="AS29" i="12"/>
  <c r="R30" i="12"/>
  <c r="S30" i="12"/>
  <c r="Z30" i="12"/>
  <c r="AA30" i="12"/>
  <c r="AD30" i="12"/>
  <c r="AE30" i="12"/>
  <c r="AF30" i="12" s="1"/>
  <c r="AG30" i="12"/>
  <c r="AH30" i="12"/>
  <c r="AI30" i="12"/>
  <c r="AJ30" i="12" s="1"/>
  <c r="AK30" i="12"/>
  <c r="AO30" i="12" s="1"/>
  <c r="AL30" i="12"/>
  <c r="AN30" i="12"/>
  <c r="AP30" i="12"/>
  <c r="AS30" i="12"/>
  <c r="R31" i="12"/>
  <c r="S31" i="12"/>
  <c r="AR31" i="12" s="1"/>
  <c r="Z31" i="12"/>
  <c r="AA31" i="12"/>
  <c r="AD31" i="12"/>
  <c r="AE31" i="12"/>
  <c r="AF31" i="12" s="1"/>
  <c r="AG31" i="12"/>
  <c r="AH31" i="12"/>
  <c r="AI31" i="12"/>
  <c r="AJ31" i="12" s="1"/>
  <c r="AK31" i="12"/>
  <c r="AO31" i="12" s="1"/>
  <c r="AL31" i="12"/>
  <c r="AN31" i="12"/>
  <c r="AP31" i="12"/>
  <c r="AQ31" i="12"/>
  <c r="AS31" i="12"/>
  <c r="R32" i="12"/>
  <c r="S32" i="12"/>
  <c r="Z32" i="12"/>
  <c r="AA32" i="12"/>
  <c r="AD32" i="12"/>
  <c r="AE32" i="12"/>
  <c r="AF32" i="12" s="1"/>
  <c r="AG32" i="12"/>
  <c r="AH32" i="12"/>
  <c r="AI32" i="12"/>
  <c r="AJ32" i="12" s="1"/>
  <c r="AK32" i="12"/>
  <c r="AN32" i="12" s="1"/>
  <c r="AL32" i="12"/>
  <c r="AO32" i="12"/>
  <c r="AP32" i="12"/>
  <c r="AS32" i="12"/>
  <c r="R33" i="12"/>
  <c r="S33" i="12"/>
  <c r="AQ33" i="12" s="1"/>
  <c r="Z33" i="12"/>
  <c r="AA33" i="12"/>
  <c r="AD33" i="12"/>
  <c r="AE33" i="12"/>
  <c r="AF33" i="12" s="1"/>
  <c r="AG33" i="12"/>
  <c r="AH33" i="12"/>
  <c r="AI33" i="12"/>
  <c r="AJ33" i="12" s="1"/>
  <c r="AK33" i="12"/>
  <c r="AO33" i="12" s="1"/>
  <c r="AL33" i="12"/>
  <c r="AP33" i="12"/>
  <c r="AR33" i="12"/>
  <c r="AS33" i="12"/>
  <c r="R34" i="12"/>
  <c r="S34" i="12"/>
  <c r="AR34" i="12" s="1"/>
  <c r="Z34" i="12"/>
  <c r="AA34" i="12"/>
  <c r="AD34" i="12"/>
  <c r="AE34" i="12"/>
  <c r="AF34" i="12"/>
  <c r="AG34" i="12"/>
  <c r="AH34" i="12"/>
  <c r="AI34" i="12"/>
  <c r="AJ34" i="12" s="1"/>
  <c r="AK34" i="12"/>
  <c r="AN34" i="12" s="1"/>
  <c r="AL34" i="12"/>
  <c r="AP34" i="12"/>
  <c r="AQ34" i="12"/>
  <c r="AS34" i="12"/>
  <c r="R35" i="12"/>
  <c r="S35" i="12"/>
  <c r="Z35" i="12"/>
  <c r="AA35" i="12"/>
  <c r="AD35" i="12"/>
  <c r="AE35" i="12"/>
  <c r="AF35" i="12" s="1"/>
  <c r="AG35" i="12"/>
  <c r="AH35" i="12"/>
  <c r="AI35" i="12"/>
  <c r="AJ35" i="12" s="1"/>
  <c r="AK35" i="12"/>
  <c r="AL35" i="12"/>
  <c r="AP35" i="12"/>
  <c r="AS35" i="12"/>
  <c r="R36" i="12"/>
  <c r="S36" i="12"/>
  <c r="Z36" i="12"/>
  <c r="AA36" i="12"/>
  <c r="AD36" i="12"/>
  <c r="AE36" i="12"/>
  <c r="AF36" i="12" s="1"/>
  <c r="AG36" i="12"/>
  <c r="AH36" i="12"/>
  <c r="AI36" i="12"/>
  <c r="AJ36" i="12" s="1"/>
  <c r="AK36" i="12"/>
  <c r="AL36" i="12"/>
  <c r="AP36" i="12"/>
  <c r="AS36" i="12"/>
  <c r="R37" i="12"/>
  <c r="S37" i="12"/>
  <c r="Z37" i="12"/>
  <c r="AA37" i="12"/>
  <c r="AD37" i="12"/>
  <c r="AE37" i="12"/>
  <c r="AF37" i="12" s="1"/>
  <c r="AG37" i="12"/>
  <c r="AH37" i="12"/>
  <c r="AI37" i="12"/>
  <c r="AJ37" i="12" s="1"/>
  <c r="AK37" i="12"/>
  <c r="AN37" i="12" s="1"/>
  <c r="AL37" i="12"/>
  <c r="AO37" i="12"/>
  <c r="AP37" i="12"/>
  <c r="AS37" i="12"/>
  <c r="R38" i="12"/>
  <c r="S38" i="12"/>
  <c r="Z38" i="12"/>
  <c r="AA38" i="12"/>
  <c r="AC38" i="12" s="1"/>
  <c r="AD38" i="12"/>
  <c r="AE38" i="12"/>
  <c r="AF38" i="12" s="1"/>
  <c r="AG38" i="12"/>
  <c r="AH38" i="12"/>
  <c r="AI38" i="12"/>
  <c r="AJ38" i="12" s="1"/>
  <c r="AK38" i="12"/>
  <c r="AO38" i="12" s="1"/>
  <c r="AL38" i="12"/>
  <c r="AP38" i="12"/>
  <c r="AS38" i="12"/>
  <c r="R39" i="12"/>
  <c r="S39" i="12"/>
  <c r="AQ39" i="12" s="1"/>
  <c r="Z39" i="12"/>
  <c r="AA39" i="12"/>
  <c r="AD39" i="12"/>
  <c r="AE39" i="12"/>
  <c r="AF39" i="12" s="1"/>
  <c r="AG39" i="12"/>
  <c r="AH39" i="12"/>
  <c r="AI39" i="12"/>
  <c r="AJ39" i="12" s="1"/>
  <c r="AK39" i="12"/>
  <c r="AL39" i="12"/>
  <c r="AP39" i="12"/>
  <c r="AR39" i="12"/>
  <c r="AS39" i="12"/>
  <c r="R40" i="12"/>
  <c r="S40" i="12"/>
  <c r="AR40" i="12" s="1"/>
  <c r="Z40" i="12"/>
  <c r="AA40" i="12"/>
  <c r="AB40" i="12" s="1"/>
  <c r="AD40" i="12"/>
  <c r="AE40" i="12"/>
  <c r="AF40" i="12" s="1"/>
  <c r="AG40" i="12"/>
  <c r="AH40" i="12"/>
  <c r="AI40" i="12"/>
  <c r="AJ40" i="12" s="1"/>
  <c r="AK40" i="12"/>
  <c r="AL40" i="12"/>
  <c r="AP40" i="12"/>
  <c r="AS40" i="12"/>
  <c r="R41" i="12"/>
  <c r="S41" i="12"/>
  <c r="Z41" i="12"/>
  <c r="AA41" i="12"/>
  <c r="AC41" i="12" s="1"/>
  <c r="AD41" i="12"/>
  <c r="AE41" i="12"/>
  <c r="AF41" i="12" s="1"/>
  <c r="AG41" i="12"/>
  <c r="AH41" i="12"/>
  <c r="AI41" i="12"/>
  <c r="AJ41" i="12" s="1"/>
  <c r="AK41" i="12"/>
  <c r="AO41" i="12" s="1"/>
  <c r="AL41" i="12"/>
  <c r="AP41" i="12"/>
  <c r="AS41" i="12"/>
  <c r="R42" i="12"/>
  <c r="S42" i="12"/>
  <c r="Z42" i="12"/>
  <c r="AA42" i="12"/>
  <c r="AD42" i="12"/>
  <c r="AE42" i="12"/>
  <c r="AF42" i="12" s="1"/>
  <c r="AG42" i="12"/>
  <c r="AH42" i="12"/>
  <c r="AI42" i="12"/>
  <c r="AJ42" i="12" s="1"/>
  <c r="AK42" i="12"/>
  <c r="AL42" i="12"/>
  <c r="AN42" i="12"/>
  <c r="AO42" i="12"/>
  <c r="AP42" i="12"/>
  <c r="AQ42" i="12"/>
  <c r="AR42" i="12"/>
  <c r="AS42" i="12"/>
  <c r="R43" i="12"/>
  <c r="S43" i="12"/>
  <c r="Z43" i="12"/>
  <c r="AA43" i="12"/>
  <c r="AD43" i="12"/>
  <c r="AE43" i="12"/>
  <c r="AF43" i="12" s="1"/>
  <c r="AG43" i="12"/>
  <c r="AH43" i="12"/>
  <c r="AI43" i="12"/>
  <c r="AJ43" i="12" s="1"/>
  <c r="AK43" i="12"/>
  <c r="AO43" i="12" s="1"/>
  <c r="AL43" i="12"/>
  <c r="AP43" i="12"/>
  <c r="AS43" i="12"/>
  <c r="R44" i="12"/>
  <c r="S44" i="12"/>
  <c r="AR44" i="12" s="1"/>
  <c r="Z44" i="12"/>
  <c r="AA44" i="12"/>
  <c r="AB44" i="12" s="1"/>
  <c r="AD44" i="12"/>
  <c r="AE44" i="12"/>
  <c r="AF44" i="12" s="1"/>
  <c r="AG44" i="12"/>
  <c r="AH44" i="12"/>
  <c r="AI44" i="12"/>
  <c r="AJ44" i="12" s="1"/>
  <c r="AK44" i="12"/>
  <c r="AN44" i="12" s="1"/>
  <c r="AL44" i="12"/>
  <c r="AO44" i="12"/>
  <c r="AP44" i="12"/>
  <c r="AS44" i="12"/>
  <c r="R45" i="12"/>
  <c r="S45" i="12"/>
  <c r="AQ45" i="12" s="1"/>
  <c r="Z45" i="12"/>
  <c r="AA45" i="12"/>
  <c r="AD45" i="12"/>
  <c r="AE45" i="12"/>
  <c r="AF45" i="12" s="1"/>
  <c r="AG45" i="12"/>
  <c r="AH45" i="12"/>
  <c r="AI45" i="12"/>
  <c r="AJ45" i="12" s="1"/>
  <c r="AK45" i="12"/>
  <c r="AL45" i="12"/>
  <c r="AP45" i="12"/>
  <c r="AS45" i="12"/>
  <c r="R46" i="12"/>
  <c r="S46" i="12"/>
  <c r="AR46" i="12" s="1"/>
  <c r="Z46" i="12"/>
  <c r="AA46" i="12"/>
  <c r="AD46" i="12"/>
  <c r="AE46" i="12"/>
  <c r="AF46" i="12" s="1"/>
  <c r="AG46" i="12"/>
  <c r="AH46" i="12"/>
  <c r="AI46" i="12"/>
  <c r="AJ46" i="12" s="1"/>
  <c r="AK46" i="12"/>
  <c r="AL46" i="12"/>
  <c r="AP46" i="12"/>
  <c r="AS46" i="12"/>
  <c r="R47" i="12"/>
  <c r="S47" i="12"/>
  <c r="Z47" i="12"/>
  <c r="AA47" i="12"/>
  <c r="AC47" i="12" s="1"/>
  <c r="AD47" i="12"/>
  <c r="AE47" i="12"/>
  <c r="AF47" i="12" s="1"/>
  <c r="AG47" i="12"/>
  <c r="AH47" i="12"/>
  <c r="AI47" i="12"/>
  <c r="AJ47" i="12" s="1"/>
  <c r="AK47" i="12"/>
  <c r="AN47" i="12" s="1"/>
  <c r="AL47" i="12"/>
  <c r="AP47" i="12"/>
  <c r="AS47" i="12"/>
  <c r="R48" i="12"/>
  <c r="S48" i="12"/>
  <c r="Z48" i="12"/>
  <c r="AA48" i="12"/>
  <c r="AD48" i="12"/>
  <c r="AE48" i="12"/>
  <c r="AF48" i="12" s="1"/>
  <c r="AG48" i="12"/>
  <c r="AH48" i="12"/>
  <c r="AI48" i="12"/>
  <c r="AJ48" i="12" s="1"/>
  <c r="AK48" i="12"/>
  <c r="AN48" i="12" s="1"/>
  <c r="AL48" i="12"/>
  <c r="AP48" i="12"/>
  <c r="AS48" i="12"/>
  <c r="R49" i="12"/>
  <c r="S49" i="12"/>
  <c r="Z49" i="12"/>
  <c r="AA49" i="12"/>
  <c r="AD49" i="12"/>
  <c r="AE49" i="12"/>
  <c r="AF49" i="12" s="1"/>
  <c r="AG49" i="12"/>
  <c r="AH49" i="12"/>
  <c r="AI49" i="12"/>
  <c r="AJ49" i="12" s="1"/>
  <c r="AK49" i="12"/>
  <c r="AL49" i="12"/>
  <c r="AP49" i="12"/>
  <c r="AS49" i="12"/>
  <c r="R50" i="12"/>
  <c r="S50" i="12"/>
  <c r="Z50" i="12"/>
  <c r="AA50" i="12"/>
  <c r="AD50" i="12"/>
  <c r="AE50" i="12"/>
  <c r="AF50" i="12" s="1"/>
  <c r="AG50" i="12"/>
  <c r="AH50" i="12"/>
  <c r="AI50" i="12"/>
  <c r="AJ50" i="12" s="1"/>
  <c r="AK50" i="12"/>
  <c r="AL50" i="12"/>
  <c r="AP50" i="12"/>
  <c r="AS50" i="12"/>
  <c r="R51" i="12"/>
  <c r="S51" i="12"/>
  <c r="Z51" i="12"/>
  <c r="AA51" i="12"/>
  <c r="AD51" i="12"/>
  <c r="AE51" i="12"/>
  <c r="AF51" i="12" s="1"/>
  <c r="AG51" i="12"/>
  <c r="AH51" i="12"/>
  <c r="AI51" i="12"/>
  <c r="AJ51" i="12" s="1"/>
  <c r="AK51" i="12"/>
  <c r="AN51" i="12" s="1"/>
  <c r="AL51" i="12"/>
  <c r="AO51" i="12"/>
  <c r="AP51" i="12"/>
  <c r="AS51" i="12"/>
  <c r="R52" i="12"/>
  <c r="S52" i="12"/>
  <c r="Z52" i="12"/>
  <c r="AA52" i="12"/>
  <c r="AD52" i="12"/>
  <c r="AE52" i="12"/>
  <c r="AF52" i="12" s="1"/>
  <c r="AG52" i="12"/>
  <c r="AH52" i="12"/>
  <c r="AI52" i="12"/>
  <c r="AJ52" i="12" s="1"/>
  <c r="AK52" i="12"/>
  <c r="AN52" i="12" s="1"/>
  <c r="AL52" i="12"/>
  <c r="AO52" i="12"/>
  <c r="AP52" i="12"/>
  <c r="AS52" i="12"/>
  <c r="R53" i="12"/>
  <c r="S53" i="12"/>
  <c r="Z53" i="12"/>
  <c r="AA53" i="12"/>
  <c r="AD53" i="12"/>
  <c r="AE53" i="12"/>
  <c r="AF53" i="12" s="1"/>
  <c r="AG53" i="12"/>
  <c r="AH53" i="12"/>
  <c r="AI53" i="12"/>
  <c r="AJ53" i="12" s="1"/>
  <c r="AK53" i="12"/>
  <c r="AO53" i="12" s="1"/>
  <c r="AL53" i="12"/>
  <c r="AP53" i="12"/>
  <c r="AS53" i="12"/>
  <c r="R54" i="12"/>
  <c r="S54" i="12"/>
  <c r="Z54" i="12"/>
  <c r="AA54" i="12"/>
  <c r="AC54" i="12" s="1"/>
  <c r="AD54" i="12"/>
  <c r="AE54" i="12"/>
  <c r="AF54" i="12" s="1"/>
  <c r="AG54" i="12"/>
  <c r="AH54" i="12"/>
  <c r="AI54" i="12"/>
  <c r="AJ54" i="12" s="1"/>
  <c r="AK54" i="12"/>
  <c r="AL54" i="12"/>
  <c r="AP54" i="12"/>
  <c r="AS54" i="12"/>
  <c r="R55" i="12"/>
  <c r="S55" i="12"/>
  <c r="AQ55" i="12" s="1"/>
  <c r="Z55" i="12"/>
  <c r="AA55" i="12"/>
  <c r="AC55" i="12" s="1"/>
  <c r="AD55" i="12"/>
  <c r="AE55" i="12"/>
  <c r="AF55" i="12" s="1"/>
  <c r="AG55" i="12"/>
  <c r="AH55" i="12"/>
  <c r="AI55" i="12"/>
  <c r="AJ55" i="12" s="1"/>
  <c r="AK55" i="12"/>
  <c r="AO55" i="12" s="1"/>
  <c r="AL55" i="12"/>
  <c r="AN55" i="12"/>
  <c r="AP55" i="12"/>
  <c r="AR55" i="12"/>
  <c r="AS55" i="12"/>
  <c r="R56" i="12"/>
  <c r="S56" i="12"/>
  <c r="Z56" i="12"/>
  <c r="AA56" i="12"/>
  <c r="AD56" i="12"/>
  <c r="AE56" i="12"/>
  <c r="AF56" i="12" s="1"/>
  <c r="AG56" i="12"/>
  <c r="AH56" i="12"/>
  <c r="AI56" i="12"/>
  <c r="AJ56" i="12" s="1"/>
  <c r="AK56" i="12"/>
  <c r="AN56" i="12" s="1"/>
  <c r="AL56" i="12"/>
  <c r="AO56" i="12"/>
  <c r="AP56" i="12"/>
  <c r="AS56" i="12"/>
  <c r="R57" i="12"/>
  <c r="S57" i="12"/>
  <c r="AR57" i="12" s="1"/>
  <c r="Z57" i="12"/>
  <c r="AA57" i="12"/>
  <c r="AD57" i="12"/>
  <c r="AE57" i="12"/>
  <c r="AF57" i="12" s="1"/>
  <c r="AG57" i="12"/>
  <c r="AH57" i="12"/>
  <c r="AI57" i="12"/>
  <c r="AJ57" i="12" s="1"/>
  <c r="AK57" i="12"/>
  <c r="AO57" i="12" s="1"/>
  <c r="AL57" i="12"/>
  <c r="AN57" i="12"/>
  <c r="AP57" i="12"/>
  <c r="AQ57" i="12"/>
  <c r="AS57" i="12"/>
  <c r="R58" i="12"/>
  <c r="S58" i="12"/>
  <c r="Z58" i="12"/>
  <c r="AA58" i="12"/>
  <c r="AC58" i="12" s="1"/>
  <c r="AD58" i="12"/>
  <c r="AE58" i="12"/>
  <c r="AF58" i="12" s="1"/>
  <c r="AG58" i="12"/>
  <c r="AH58" i="12"/>
  <c r="AI58" i="12"/>
  <c r="AJ58" i="12" s="1"/>
  <c r="AK58" i="12"/>
  <c r="AN58" i="12" s="1"/>
  <c r="AL58" i="12"/>
  <c r="AP58" i="12"/>
  <c r="AS58" i="12"/>
  <c r="R59" i="12"/>
  <c r="S59" i="12"/>
  <c r="Z59" i="12"/>
  <c r="AA59" i="12"/>
  <c r="AC59" i="12" s="1"/>
  <c r="AD59" i="12"/>
  <c r="AE59" i="12"/>
  <c r="AF59" i="12" s="1"/>
  <c r="AG59" i="12"/>
  <c r="AH59" i="12"/>
  <c r="AI59" i="12"/>
  <c r="AJ59" i="12" s="1"/>
  <c r="AK59" i="12"/>
  <c r="AN59" i="12" s="1"/>
  <c r="AL59" i="12"/>
  <c r="AO59" i="12"/>
  <c r="AP59" i="12"/>
  <c r="AS59" i="12"/>
  <c r="R60" i="12"/>
  <c r="S60" i="12"/>
  <c r="Z60" i="12"/>
  <c r="AA60" i="12"/>
  <c r="AD60" i="12"/>
  <c r="AE60" i="12"/>
  <c r="AF60" i="12" s="1"/>
  <c r="AG60" i="12"/>
  <c r="AH60" i="12"/>
  <c r="AI60" i="12"/>
  <c r="AJ60" i="12" s="1"/>
  <c r="AK60" i="12"/>
  <c r="AO60" i="12" s="1"/>
  <c r="AL60" i="12"/>
  <c r="AP60" i="12"/>
  <c r="AS60" i="12"/>
  <c r="R61" i="12"/>
  <c r="S61" i="12"/>
  <c r="Z61" i="12"/>
  <c r="AA61" i="12"/>
  <c r="AD61" i="12"/>
  <c r="AE61" i="12"/>
  <c r="AF61" i="12" s="1"/>
  <c r="AG61" i="12"/>
  <c r="AH61" i="12"/>
  <c r="AI61" i="12"/>
  <c r="AJ61" i="12" s="1"/>
  <c r="AK61" i="12"/>
  <c r="AL61" i="12"/>
  <c r="AP61" i="12"/>
  <c r="AQ61" i="12"/>
  <c r="AR61" i="12"/>
  <c r="AS61" i="12"/>
  <c r="R62" i="12"/>
  <c r="S62" i="12"/>
  <c r="Z62" i="12"/>
  <c r="AA62" i="12"/>
  <c r="AD62" i="12"/>
  <c r="AE62" i="12"/>
  <c r="AF62" i="12" s="1"/>
  <c r="AG62" i="12"/>
  <c r="AH62" i="12"/>
  <c r="AI62" i="12"/>
  <c r="AJ62" i="12" s="1"/>
  <c r="AK62" i="12"/>
  <c r="AL62" i="12"/>
  <c r="AP62" i="12"/>
  <c r="AS62" i="12"/>
  <c r="R63" i="12"/>
  <c r="S63" i="12"/>
  <c r="Z63" i="12"/>
  <c r="AA63" i="12"/>
  <c r="AD63" i="12"/>
  <c r="AE63" i="12"/>
  <c r="AF63" i="12" s="1"/>
  <c r="AG63" i="12"/>
  <c r="AH63" i="12"/>
  <c r="AI63" i="12"/>
  <c r="AJ63" i="12" s="1"/>
  <c r="AK63" i="12"/>
  <c r="AO63" i="12" s="1"/>
  <c r="AL63" i="12"/>
  <c r="AP63" i="12"/>
  <c r="AS63" i="12"/>
  <c r="R64" i="12"/>
  <c r="S64" i="12"/>
  <c r="AR64" i="12" s="1"/>
  <c r="Z64" i="12"/>
  <c r="AA64" i="12"/>
  <c r="AD64" i="12"/>
  <c r="AE64" i="12"/>
  <c r="AF64" i="12" s="1"/>
  <c r="AG64" i="12"/>
  <c r="AH64" i="12"/>
  <c r="AI64" i="12"/>
  <c r="AJ64" i="12" s="1"/>
  <c r="AK64" i="12"/>
  <c r="AN64" i="12" s="1"/>
  <c r="AL64" i="12"/>
  <c r="AO64" i="12"/>
  <c r="AP64" i="12"/>
  <c r="AQ64" i="12"/>
  <c r="AS64" i="12"/>
  <c r="R65" i="12"/>
  <c r="S65" i="12"/>
  <c r="Z65" i="12"/>
  <c r="AA65" i="12"/>
  <c r="AD65" i="12"/>
  <c r="AE65" i="12"/>
  <c r="AF65" i="12" s="1"/>
  <c r="AG65" i="12"/>
  <c r="AH65" i="12"/>
  <c r="AI65" i="12"/>
  <c r="AJ65" i="12" s="1"/>
  <c r="AK65" i="12"/>
  <c r="AL65" i="12"/>
  <c r="AP65" i="12"/>
  <c r="AS65" i="12"/>
  <c r="R66" i="12"/>
  <c r="S66" i="12"/>
  <c r="AR66" i="12" s="1"/>
  <c r="Z66" i="12"/>
  <c r="AA66" i="12"/>
  <c r="AD66" i="12"/>
  <c r="AE66" i="12"/>
  <c r="AF66" i="12" s="1"/>
  <c r="AG66" i="12"/>
  <c r="AH66" i="12"/>
  <c r="AI66" i="12"/>
  <c r="AJ66" i="12" s="1"/>
  <c r="AK66" i="12"/>
  <c r="AL66" i="12"/>
  <c r="AP66" i="12"/>
  <c r="AS66" i="12"/>
  <c r="R67" i="12"/>
  <c r="S67" i="12"/>
  <c r="Z67" i="12"/>
  <c r="AA67" i="12"/>
  <c r="AD67" i="12"/>
  <c r="AE67" i="12"/>
  <c r="AF67" i="12" s="1"/>
  <c r="AG67" i="12"/>
  <c r="AH67" i="12"/>
  <c r="AI67" i="12"/>
  <c r="AJ67" i="12" s="1"/>
  <c r="AK67" i="12"/>
  <c r="AN67" i="12" s="1"/>
  <c r="AL67" i="12"/>
  <c r="AP67" i="12"/>
  <c r="AS67" i="12"/>
  <c r="R68" i="12"/>
  <c r="S68" i="12"/>
  <c r="Z68" i="12"/>
  <c r="AA68" i="12"/>
  <c r="AD68" i="12"/>
  <c r="AE68" i="12"/>
  <c r="AF68" i="12" s="1"/>
  <c r="AG68" i="12"/>
  <c r="AH68" i="12"/>
  <c r="AI68" i="12"/>
  <c r="AJ68" i="12" s="1"/>
  <c r="AK68" i="12"/>
  <c r="AO68" i="12" s="1"/>
  <c r="AL68" i="12"/>
  <c r="AN68" i="12"/>
  <c r="AP68" i="12"/>
  <c r="AQ68" i="12"/>
  <c r="AR68" i="12"/>
  <c r="AS68" i="12"/>
  <c r="R69" i="12"/>
  <c r="S69" i="12"/>
  <c r="Z69" i="12"/>
  <c r="AA69" i="12"/>
  <c r="AD69" i="12"/>
  <c r="AE69" i="12"/>
  <c r="AF69" i="12" s="1"/>
  <c r="AG69" i="12"/>
  <c r="AH69" i="12"/>
  <c r="AI69" i="12"/>
  <c r="AJ69" i="12" s="1"/>
  <c r="AK69" i="12"/>
  <c r="AL69" i="12"/>
  <c r="AP69" i="12"/>
  <c r="AQ69" i="12"/>
  <c r="AR69" i="12"/>
  <c r="AS69" i="12"/>
  <c r="R70" i="12"/>
  <c r="S70" i="12"/>
  <c r="Z70" i="12"/>
  <c r="AA70" i="12"/>
  <c r="AC70" i="12" s="1"/>
  <c r="AD70" i="12"/>
  <c r="AE70" i="12"/>
  <c r="AF70" i="12" s="1"/>
  <c r="AG70" i="12"/>
  <c r="AH70" i="12"/>
  <c r="AI70" i="12"/>
  <c r="AJ70" i="12" s="1"/>
  <c r="AK70" i="12"/>
  <c r="AL70" i="12"/>
  <c r="AP70" i="12"/>
  <c r="AS70" i="12"/>
  <c r="R71" i="12"/>
  <c r="S71" i="12"/>
  <c r="Z71" i="12"/>
  <c r="AA71" i="12"/>
  <c r="AC71" i="12" s="1"/>
  <c r="AD71" i="12"/>
  <c r="AE71" i="12"/>
  <c r="AF71" i="12" s="1"/>
  <c r="AG71" i="12"/>
  <c r="AH71" i="12"/>
  <c r="AI71" i="12"/>
  <c r="AJ71" i="12" s="1"/>
  <c r="AK71" i="12"/>
  <c r="AN71" i="12" s="1"/>
  <c r="AL71" i="12"/>
  <c r="AP71" i="12"/>
  <c r="AS71" i="12"/>
  <c r="R72" i="12"/>
  <c r="S72" i="12"/>
  <c r="Z72" i="12"/>
  <c r="AA72" i="12"/>
  <c r="AC72" i="12" s="1"/>
  <c r="AD72" i="12"/>
  <c r="AE72" i="12"/>
  <c r="AF72" i="12" s="1"/>
  <c r="AG72" i="12"/>
  <c r="AH72" i="12"/>
  <c r="AI72" i="12"/>
  <c r="AJ72" i="12" s="1"/>
  <c r="AK72" i="12"/>
  <c r="AN72" i="12" s="1"/>
  <c r="AL72" i="12"/>
  <c r="AP72" i="12"/>
  <c r="AS72" i="12"/>
  <c r="R73" i="12"/>
  <c r="S73" i="12"/>
  <c r="AR73" i="12" s="1"/>
  <c r="Z73" i="12"/>
  <c r="AA73" i="12"/>
  <c r="AD73" i="12"/>
  <c r="AE73" i="12"/>
  <c r="AF73" i="12" s="1"/>
  <c r="AG73" i="12"/>
  <c r="AH73" i="12"/>
  <c r="AI73" i="12"/>
  <c r="AJ73" i="12" s="1"/>
  <c r="AK73" i="12"/>
  <c r="AO73" i="12" s="1"/>
  <c r="AL73" i="12"/>
  <c r="AN73" i="12"/>
  <c r="AP73" i="12"/>
  <c r="AQ73" i="12"/>
  <c r="AS73" i="12"/>
  <c r="R74" i="12"/>
  <c r="S74" i="12"/>
  <c r="Z74" i="12"/>
  <c r="AA74" i="12"/>
  <c r="AD74" i="12"/>
  <c r="AE74" i="12"/>
  <c r="AF74" i="12" s="1"/>
  <c r="AG74" i="12"/>
  <c r="AH74" i="12"/>
  <c r="AI74" i="12"/>
  <c r="AJ74" i="12" s="1"/>
  <c r="AK74" i="12"/>
  <c r="AN74" i="12" s="1"/>
  <c r="AL74" i="12"/>
  <c r="AO74" i="12"/>
  <c r="AP74" i="12"/>
  <c r="AS74" i="12"/>
  <c r="R75" i="12"/>
  <c r="S75" i="12"/>
  <c r="Z75" i="12"/>
  <c r="AA75" i="12"/>
  <c r="AC75" i="12" s="1"/>
  <c r="AD75" i="12"/>
  <c r="AE75" i="12"/>
  <c r="AF75" i="12" s="1"/>
  <c r="AG75" i="12"/>
  <c r="AH75" i="12"/>
  <c r="AI75" i="12"/>
  <c r="AJ75" i="12" s="1"/>
  <c r="AK75" i="12"/>
  <c r="AO75" i="12" s="1"/>
  <c r="AL75" i="12"/>
  <c r="AN75" i="12"/>
  <c r="AP75" i="12"/>
  <c r="AS75" i="12"/>
  <c r="R76" i="12"/>
  <c r="S76" i="12"/>
  <c r="AR76" i="12" s="1"/>
  <c r="Z76" i="12"/>
  <c r="AA76" i="12"/>
  <c r="AD76" i="12"/>
  <c r="AE76" i="12"/>
  <c r="AF76" i="12" s="1"/>
  <c r="AG76" i="12"/>
  <c r="AH76" i="12"/>
  <c r="AI76" i="12"/>
  <c r="AJ76" i="12" s="1"/>
  <c r="AK76" i="12"/>
  <c r="AN76" i="12" s="1"/>
  <c r="AL76" i="12"/>
  <c r="AO76" i="12"/>
  <c r="AP76" i="12"/>
  <c r="AQ76" i="12"/>
  <c r="AS76" i="12"/>
  <c r="R77" i="12"/>
  <c r="S77" i="12"/>
  <c r="AQ77" i="12" s="1"/>
  <c r="Z77" i="12"/>
  <c r="AA77" i="12"/>
  <c r="AD77" i="12"/>
  <c r="AE77" i="12"/>
  <c r="AF77" i="12" s="1"/>
  <c r="AG77" i="12"/>
  <c r="AH77" i="12"/>
  <c r="AI77" i="12"/>
  <c r="AJ77" i="12" s="1"/>
  <c r="AK77" i="12"/>
  <c r="AL77" i="12"/>
  <c r="AP77" i="12"/>
  <c r="AS77" i="12"/>
  <c r="R78" i="12"/>
  <c r="S78" i="12"/>
  <c r="AR78" i="12" s="1"/>
  <c r="Z78" i="12"/>
  <c r="AA78" i="12"/>
  <c r="AB78" i="12" s="1"/>
  <c r="AD78" i="12"/>
  <c r="AE78" i="12"/>
  <c r="AF78" i="12" s="1"/>
  <c r="AG78" i="12"/>
  <c r="AH78" i="12"/>
  <c r="AI78" i="12"/>
  <c r="AJ78" i="12" s="1"/>
  <c r="AK78" i="12"/>
  <c r="AL78" i="12"/>
  <c r="AP78" i="12"/>
  <c r="AS78" i="12"/>
  <c r="R79" i="12"/>
  <c r="S79" i="12"/>
  <c r="Z79" i="12"/>
  <c r="AA79" i="12"/>
  <c r="AC79" i="12" s="1"/>
  <c r="AD79" i="12"/>
  <c r="AE79" i="12"/>
  <c r="AF79" i="12" s="1"/>
  <c r="AG79" i="12"/>
  <c r="AH79" i="12"/>
  <c r="AI79" i="12"/>
  <c r="AJ79" i="12" s="1"/>
  <c r="AK79" i="12"/>
  <c r="AO79" i="12" s="1"/>
  <c r="AL79" i="12"/>
  <c r="AP79" i="12"/>
  <c r="AS79" i="12"/>
  <c r="R80" i="12"/>
  <c r="S80" i="12"/>
  <c r="AR80" i="12" s="1"/>
  <c r="Z80" i="12"/>
  <c r="AA80" i="12"/>
  <c r="AD80" i="12"/>
  <c r="AE80" i="12"/>
  <c r="AF80" i="12" s="1"/>
  <c r="AG80" i="12"/>
  <c r="AH80" i="12"/>
  <c r="AI80" i="12"/>
  <c r="AJ80" i="12" s="1"/>
  <c r="AK80" i="12"/>
  <c r="AN80" i="12" s="1"/>
  <c r="AL80" i="12"/>
  <c r="AP80" i="12"/>
  <c r="AQ80" i="12"/>
  <c r="AS80" i="12"/>
  <c r="R81" i="12"/>
  <c r="S81" i="12"/>
  <c r="Z81" i="12"/>
  <c r="AA81" i="12"/>
  <c r="AD81" i="12"/>
  <c r="AE81" i="12"/>
  <c r="AF81" i="12" s="1"/>
  <c r="AG81" i="12"/>
  <c r="AH81" i="12"/>
  <c r="AI81" i="12"/>
  <c r="AJ81" i="12" s="1"/>
  <c r="AK81" i="12"/>
  <c r="AL81" i="12"/>
  <c r="AP81" i="12"/>
  <c r="AS81" i="12"/>
  <c r="R82" i="12"/>
  <c r="S82" i="12"/>
  <c r="Z82" i="12"/>
  <c r="AA82" i="12"/>
  <c r="AD82" i="12"/>
  <c r="AE82" i="12"/>
  <c r="AF82" i="12" s="1"/>
  <c r="AG82" i="12"/>
  <c r="AH82" i="12"/>
  <c r="AI82" i="12"/>
  <c r="AJ82" i="12" s="1"/>
  <c r="AK82" i="12"/>
  <c r="AL82" i="12"/>
  <c r="AP82" i="12"/>
  <c r="AS82" i="12"/>
  <c r="R83" i="12"/>
  <c r="S83" i="12"/>
  <c r="AQ83" i="12" s="1"/>
  <c r="Z83" i="12"/>
  <c r="AA83" i="12"/>
  <c r="AD83" i="12"/>
  <c r="AE83" i="12"/>
  <c r="AF83" i="12" s="1"/>
  <c r="AG83" i="12"/>
  <c r="AH83" i="12"/>
  <c r="AI83" i="12"/>
  <c r="AJ83" i="12" s="1"/>
  <c r="AK83" i="12"/>
  <c r="AL83" i="12"/>
  <c r="AP83" i="12"/>
  <c r="AR83" i="12"/>
  <c r="AS83" i="12"/>
  <c r="R84" i="12"/>
  <c r="S84" i="12"/>
  <c r="AQ84" i="12" s="1"/>
  <c r="Z84" i="12"/>
  <c r="AA84" i="12"/>
  <c r="AD84" i="12"/>
  <c r="AE84" i="12"/>
  <c r="AF84" i="12" s="1"/>
  <c r="AG84" i="12"/>
  <c r="AH84" i="12"/>
  <c r="AI84" i="12"/>
  <c r="AJ84" i="12" s="1"/>
  <c r="AK84" i="12"/>
  <c r="AO84" i="12" s="1"/>
  <c r="AL84" i="12"/>
  <c r="AP84" i="12"/>
  <c r="AR84" i="12"/>
  <c r="AS84" i="12"/>
  <c r="R85" i="12"/>
  <c r="S85" i="12"/>
  <c r="AQ85" i="12" s="1"/>
  <c r="Z85" i="12"/>
  <c r="AA85" i="12"/>
  <c r="AD85" i="12"/>
  <c r="AE85" i="12"/>
  <c r="AF85" i="12" s="1"/>
  <c r="AG85" i="12"/>
  <c r="AH85" i="12"/>
  <c r="AI85" i="12"/>
  <c r="AJ85" i="12" s="1"/>
  <c r="AK85" i="12"/>
  <c r="AL85" i="12"/>
  <c r="AP85" i="12"/>
  <c r="AS85" i="12"/>
  <c r="R86" i="12"/>
  <c r="S86" i="12"/>
  <c r="AR86" i="12" s="1"/>
  <c r="Z86" i="12"/>
  <c r="AA86" i="12"/>
  <c r="AC86" i="12" s="1"/>
  <c r="AD86" i="12"/>
  <c r="AE86" i="12"/>
  <c r="AF86" i="12" s="1"/>
  <c r="AG86" i="12"/>
  <c r="AH86" i="12"/>
  <c r="AI86" i="12"/>
  <c r="AJ86" i="12" s="1"/>
  <c r="AK86" i="12"/>
  <c r="AL86" i="12"/>
  <c r="AP86" i="12"/>
  <c r="AS86" i="12"/>
  <c r="R87" i="12"/>
  <c r="S87" i="12"/>
  <c r="AQ87" i="12" s="1"/>
  <c r="Z87" i="12"/>
  <c r="AA87" i="12"/>
  <c r="AD87" i="12"/>
  <c r="AE87" i="12"/>
  <c r="AF87" i="12" s="1"/>
  <c r="AG87" i="12"/>
  <c r="AH87" i="12"/>
  <c r="AI87" i="12"/>
  <c r="AJ87" i="12" s="1"/>
  <c r="AK87" i="12"/>
  <c r="AO87" i="12" s="1"/>
  <c r="AL87" i="12"/>
  <c r="AN87" i="12"/>
  <c r="AP87" i="12"/>
  <c r="AR87" i="12"/>
  <c r="AS87" i="12"/>
  <c r="R88" i="12"/>
  <c r="S88" i="12"/>
  <c r="AQ88" i="12" s="1"/>
  <c r="Z88" i="12"/>
  <c r="AA88" i="12"/>
  <c r="AD88" i="12"/>
  <c r="AE88" i="12"/>
  <c r="AF88" i="12" s="1"/>
  <c r="AG88" i="12"/>
  <c r="AH88" i="12"/>
  <c r="AI88" i="12"/>
  <c r="AJ88" i="12" s="1"/>
  <c r="AK88" i="12"/>
  <c r="AL88" i="12"/>
  <c r="AN88" i="12"/>
  <c r="AO88" i="12"/>
  <c r="AP88" i="12"/>
  <c r="AR88" i="12"/>
  <c r="AS88" i="12"/>
  <c r="R89" i="12"/>
  <c r="S89" i="12"/>
  <c r="Z89" i="12"/>
  <c r="AA89" i="12"/>
  <c r="AD89" i="12"/>
  <c r="AE89" i="12"/>
  <c r="AF89" i="12" s="1"/>
  <c r="AG89" i="12"/>
  <c r="AH89" i="12"/>
  <c r="AI89" i="12"/>
  <c r="AJ89" i="12" s="1"/>
  <c r="AK89" i="12"/>
  <c r="AL89" i="12"/>
  <c r="AP89" i="12"/>
  <c r="AS89" i="12"/>
  <c r="R90" i="12"/>
  <c r="S90" i="12"/>
  <c r="Z90" i="12"/>
  <c r="AA90" i="12"/>
  <c r="AC90" i="12" s="1"/>
  <c r="AD90" i="12"/>
  <c r="AE90" i="12"/>
  <c r="AF90" i="12" s="1"/>
  <c r="AG90" i="12"/>
  <c r="AH90" i="12"/>
  <c r="AI90" i="12"/>
  <c r="AJ90" i="12" s="1"/>
  <c r="AK90" i="12"/>
  <c r="AL90" i="12"/>
  <c r="AP90" i="12"/>
  <c r="AS90" i="12"/>
  <c r="R91" i="12"/>
  <c r="S91" i="12"/>
  <c r="AQ91" i="12" s="1"/>
  <c r="Z91" i="12"/>
  <c r="AA91" i="12"/>
  <c r="AD91" i="12"/>
  <c r="AE91" i="12"/>
  <c r="AF91" i="12" s="1"/>
  <c r="AG91" i="12"/>
  <c r="AH91" i="12"/>
  <c r="AI91" i="12"/>
  <c r="AJ91" i="12" s="1"/>
  <c r="AK91" i="12"/>
  <c r="AO91" i="12" s="1"/>
  <c r="AL91" i="12"/>
  <c r="AN91" i="12"/>
  <c r="AP91" i="12"/>
  <c r="AR91" i="12"/>
  <c r="AS91" i="12"/>
  <c r="R92" i="12"/>
  <c r="S92" i="12"/>
  <c r="Z92" i="12"/>
  <c r="AA92" i="12"/>
  <c r="AD92" i="12"/>
  <c r="AE92" i="12"/>
  <c r="AF92" i="12" s="1"/>
  <c r="AG92" i="12"/>
  <c r="AH92" i="12"/>
  <c r="AI92" i="12"/>
  <c r="AJ92" i="12" s="1"/>
  <c r="AK92" i="12"/>
  <c r="AO92" i="12" s="1"/>
  <c r="AL92" i="12"/>
  <c r="AN92" i="12"/>
  <c r="AP92" i="12"/>
  <c r="AS92" i="12"/>
  <c r="R93" i="12"/>
  <c r="S93" i="12"/>
  <c r="Z93" i="12"/>
  <c r="AA93" i="12"/>
  <c r="AD93" i="12"/>
  <c r="AE93" i="12"/>
  <c r="AF93" i="12" s="1"/>
  <c r="AG93" i="12"/>
  <c r="AH93" i="12"/>
  <c r="AI93" i="12"/>
  <c r="AJ93" i="12" s="1"/>
  <c r="AK93" i="12"/>
  <c r="AL93" i="12"/>
  <c r="AP93" i="12"/>
  <c r="AS93" i="12"/>
  <c r="R94" i="12"/>
  <c r="S94" i="12"/>
  <c r="AR94" i="12" s="1"/>
  <c r="Z94" i="12"/>
  <c r="AA94" i="12"/>
  <c r="AD94" i="12"/>
  <c r="AE94" i="12"/>
  <c r="AF94" i="12" s="1"/>
  <c r="AG94" i="12"/>
  <c r="AH94" i="12"/>
  <c r="AI94" i="12"/>
  <c r="AJ94" i="12" s="1"/>
  <c r="AK94" i="12"/>
  <c r="AL94" i="12"/>
  <c r="AP94" i="12"/>
  <c r="AS94" i="12"/>
  <c r="R95" i="12"/>
  <c r="S95" i="12"/>
  <c r="AQ95" i="12" s="1"/>
  <c r="Z95" i="12"/>
  <c r="AA95" i="12"/>
  <c r="AD95" i="12"/>
  <c r="AE95" i="12"/>
  <c r="AF95" i="12" s="1"/>
  <c r="AG95" i="12"/>
  <c r="AH95" i="12"/>
  <c r="AI95" i="12"/>
  <c r="AJ95" i="12" s="1"/>
  <c r="AK95" i="12"/>
  <c r="AO95" i="12" s="1"/>
  <c r="AL95" i="12"/>
  <c r="AN95" i="12"/>
  <c r="AP95" i="12"/>
  <c r="AR95" i="12"/>
  <c r="AS95" i="12"/>
  <c r="R96" i="12"/>
  <c r="S96" i="12"/>
  <c r="Z96" i="12"/>
  <c r="AA96" i="12"/>
  <c r="AD96" i="12"/>
  <c r="AE96" i="12"/>
  <c r="AF96" i="12" s="1"/>
  <c r="AG96" i="12"/>
  <c r="AH96" i="12"/>
  <c r="AI96" i="12"/>
  <c r="AJ96" i="12" s="1"/>
  <c r="AK96" i="12"/>
  <c r="AO96" i="12" s="1"/>
  <c r="AL96" i="12"/>
  <c r="AN96" i="12"/>
  <c r="AP96" i="12"/>
  <c r="AS96" i="12"/>
  <c r="R97" i="12"/>
  <c r="S97" i="12"/>
  <c r="Z97" i="12"/>
  <c r="AA97" i="12"/>
  <c r="AD97" i="12"/>
  <c r="AE97" i="12"/>
  <c r="AF97" i="12" s="1"/>
  <c r="AG97" i="12"/>
  <c r="AH97" i="12"/>
  <c r="AI97" i="12"/>
  <c r="AJ97" i="12" s="1"/>
  <c r="AK97" i="12"/>
  <c r="AL97" i="12"/>
  <c r="AP97" i="12"/>
  <c r="AS97" i="12"/>
  <c r="R98" i="12"/>
  <c r="S98" i="12"/>
  <c r="Z98" i="12"/>
  <c r="AA98" i="12"/>
  <c r="AB98" i="12" s="1"/>
  <c r="AD98" i="12"/>
  <c r="AE98" i="12"/>
  <c r="AF98" i="12" s="1"/>
  <c r="AG98" i="12"/>
  <c r="AH98" i="12"/>
  <c r="AI98" i="12"/>
  <c r="AJ98" i="12" s="1"/>
  <c r="AK98" i="12"/>
  <c r="AL98" i="12"/>
  <c r="AP98" i="12"/>
  <c r="AS98" i="12"/>
  <c r="R99" i="12"/>
  <c r="S99" i="12"/>
  <c r="Z99" i="12"/>
  <c r="AA99" i="12"/>
  <c r="AD99" i="12"/>
  <c r="AE99" i="12"/>
  <c r="AF99" i="12" s="1"/>
  <c r="AG99" i="12"/>
  <c r="AH99" i="12"/>
  <c r="AI99" i="12"/>
  <c r="AJ99" i="12" s="1"/>
  <c r="AK99" i="12"/>
  <c r="AL99" i="12"/>
  <c r="AP99" i="12"/>
  <c r="AS99" i="12"/>
  <c r="R100" i="12"/>
  <c r="S100" i="12"/>
  <c r="Z100" i="12"/>
  <c r="AA100" i="12"/>
  <c r="AD100" i="12"/>
  <c r="AE100" i="12"/>
  <c r="AF100" i="12" s="1"/>
  <c r="AG100" i="12"/>
  <c r="AH100" i="12"/>
  <c r="AI100" i="12"/>
  <c r="AJ100" i="12" s="1"/>
  <c r="AK100" i="12"/>
  <c r="AN100" i="12" s="1"/>
  <c r="AL100" i="12"/>
  <c r="AP100" i="12"/>
  <c r="AS100" i="12"/>
  <c r="R101" i="12"/>
  <c r="S101" i="12"/>
  <c r="AQ101" i="12" s="1"/>
  <c r="Z101" i="12"/>
  <c r="AA101" i="12"/>
  <c r="AD101" i="12"/>
  <c r="AE101" i="12"/>
  <c r="AF101" i="12" s="1"/>
  <c r="AG101" i="12"/>
  <c r="AH101" i="12"/>
  <c r="AI101" i="12"/>
  <c r="AJ101" i="12" s="1"/>
  <c r="AK101" i="12"/>
  <c r="AL101" i="12"/>
  <c r="AP101" i="12"/>
  <c r="AS101" i="12"/>
  <c r="R102" i="12"/>
  <c r="S102" i="12"/>
  <c r="AR102" i="12" s="1"/>
  <c r="Z102" i="12"/>
  <c r="AA102" i="12"/>
  <c r="AB102" i="12" s="1"/>
  <c r="AD102" i="12"/>
  <c r="AE102" i="12"/>
  <c r="AF102" i="12" s="1"/>
  <c r="AG102" i="12"/>
  <c r="AH102" i="12"/>
  <c r="AI102" i="12"/>
  <c r="AJ102" i="12" s="1"/>
  <c r="AK102" i="12"/>
  <c r="AL102" i="12"/>
  <c r="AP102" i="12"/>
  <c r="AS102" i="12"/>
  <c r="R103" i="12"/>
  <c r="S103" i="12"/>
  <c r="Z103" i="12"/>
  <c r="AA103" i="12"/>
  <c r="AD103" i="12"/>
  <c r="AE103" i="12"/>
  <c r="AF103" i="12" s="1"/>
  <c r="AG103" i="12"/>
  <c r="AH103" i="12"/>
  <c r="AI103" i="12"/>
  <c r="AJ103" i="12" s="1"/>
  <c r="AK103" i="12"/>
  <c r="AO103" i="12" s="1"/>
  <c r="AL103" i="12"/>
  <c r="AP103" i="12"/>
  <c r="AS103" i="12"/>
  <c r="R104" i="12"/>
  <c r="S104" i="12"/>
  <c r="Z104" i="12"/>
  <c r="AA104" i="12"/>
  <c r="AD104" i="12"/>
  <c r="AE104" i="12"/>
  <c r="AF104" i="12" s="1"/>
  <c r="AG104" i="12"/>
  <c r="AH104" i="12"/>
  <c r="AI104" i="12"/>
  <c r="AJ104" i="12" s="1"/>
  <c r="AK104" i="12"/>
  <c r="AO104" i="12" s="1"/>
  <c r="AL104" i="12"/>
  <c r="AN104" i="12"/>
  <c r="AP104" i="12"/>
  <c r="AS104" i="12"/>
  <c r="R105" i="12"/>
  <c r="S105" i="12"/>
  <c r="Z105" i="12"/>
  <c r="AA105" i="12"/>
  <c r="AD105" i="12"/>
  <c r="AE105" i="12"/>
  <c r="AF105" i="12" s="1"/>
  <c r="AG105" i="12"/>
  <c r="AH105" i="12"/>
  <c r="AI105" i="12"/>
  <c r="AJ105" i="12" s="1"/>
  <c r="AK105" i="12"/>
  <c r="AL105" i="12"/>
  <c r="AP105" i="12"/>
  <c r="AS105" i="12"/>
  <c r="R106" i="12"/>
  <c r="S106" i="12"/>
  <c r="Z106" i="12"/>
  <c r="AA106" i="12"/>
  <c r="AB106" i="12" s="1"/>
  <c r="AD106" i="12"/>
  <c r="AE106" i="12"/>
  <c r="AF106" i="12" s="1"/>
  <c r="AG106" i="12"/>
  <c r="AH106" i="12"/>
  <c r="AI106" i="12"/>
  <c r="AJ106" i="12" s="1"/>
  <c r="AK106" i="12"/>
  <c r="AL106" i="12"/>
  <c r="AP106" i="12"/>
  <c r="AS106" i="12"/>
  <c r="R107" i="12"/>
  <c r="S107" i="12"/>
  <c r="AQ107" i="12" s="1"/>
  <c r="Z107" i="12"/>
  <c r="AA107" i="12"/>
  <c r="AD107" i="12"/>
  <c r="AE107" i="12"/>
  <c r="AF107" i="12" s="1"/>
  <c r="AG107" i="12"/>
  <c r="AH107" i="12"/>
  <c r="AI107" i="12"/>
  <c r="AJ107" i="12" s="1"/>
  <c r="AK107" i="12"/>
  <c r="AO107" i="12" s="1"/>
  <c r="AL107" i="12"/>
  <c r="AN107" i="12"/>
  <c r="AP107" i="12"/>
  <c r="AR107" i="12"/>
  <c r="AS107" i="12"/>
  <c r="R108" i="12"/>
  <c r="S108" i="12"/>
  <c r="Z108" i="12"/>
  <c r="AA108" i="12"/>
  <c r="AD108" i="12"/>
  <c r="AE108" i="12"/>
  <c r="AF108" i="12" s="1"/>
  <c r="AG108" i="12"/>
  <c r="AH108" i="12"/>
  <c r="AI108" i="12"/>
  <c r="AJ108" i="12" s="1"/>
  <c r="AK108" i="12"/>
  <c r="AO108" i="12" s="1"/>
  <c r="AL108" i="12"/>
  <c r="AN108" i="12"/>
  <c r="AP108" i="12"/>
  <c r="AS108" i="12"/>
  <c r="R109" i="12"/>
  <c r="S109" i="12"/>
  <c r="AQ109" i="12" s="1"/>
  <c r="Z109" i="12"/>
  <c r="AA109" i="12"/>
  <c r="AD109" i="12"/>
  <c r="AE109" i="12"/>
  <c r="AF109" i="12" s="1"/>
  <c r="AG109" i="12"/>
  <c r="AH109" i="12"/>
  <c r="AI109" i="12"/>
  <c r="AJ109" i="12" s="1"/>
  <c r="AK109" i="12"/>
  <c r="AL109" i="12"/>
  <c r="AP109" i="12"/>
  <c r="AS109" i="12"/>
  <c r="R110" i="12"/>
  <c r="S110" i="12"/>
  <c r="AR110" i="12" s="1"/>
  <c r="Z110" i="12"/>
  <c r="AA110" i="12"/>
  <c r="AB110" i="12" s="1"/>
  <c r="AD110" i="12"/>
  <c r="AE110" i="12"/>
  <c r="AF110" i="12" s="1"/>
  <c r="AG110" i="12"/>
  <c r="AH110" i="12"/>
  <c r="AI110" i="12"/>
  <c r="AJ110" i="12" s="1"/>
  <c r="AK110" i="12"/>
  <c r="AL110" i="12"/>
  <c r="AP110" i="12"/>
  <c r="AS110" i="12"/>
  <c r="R111" i="12"/>
  <c r="S111" i="12"/>
  <c r="AQ111" i="12" s="1"/>
  <c r="Z111" i="12"/>
  <c r="AA111" i="12"/>
  <c r="AD111" i="12"/>
  <c r="AE111" i="12"/>
  <c r="AF111" i="12" s="1"/>
  <c r="AG111" i="12"/>
  <c r="AH111" i="12"/>
  <c r="AI111" i="12"/>
  <c r="AJ111" i="12" s="1"/>
  <c r="AK111" i="12"/>
  <c r="AO111" i="12" s="1"/>
  <c r="AL111" i="12"/>
  <c r="AN111" i="12"/>
  <c r="AP111" i="12"/>
  <c r="AR111" i="12"/>
  <c r="AS111" i="12"/>
  <c r="R112" i="12"/>
  <c r="S112" i="12"/>
  <c r="AQ112" i="12" s="1"/>
  <c r="Z112" i="12"/>
  <c r="AA112" i="12"/>
  <c r="AD112" i="12"/>
  <c r="AE112" i="12"/>
  <c r="AF112" i="12" s="1"/>
  <c r="AG112" i="12"/>
  <c r="AH112" i="12"/>
  <c r="AI112" i="12"/>
  <c r="AJ112" i="12" s="1"/>
  <c r="AK112" i="12"/>
  <c r="AO112" i="12" s="1"/>
  <c r="AL112" i="12"/>
  <c r="AN112" i="12"/>
  <c r="AP112" i="12"/>
  <c r="AR112" i="12"/>
  <c r="AS112" i="12"/>
  <c r="R113" i="12"/>
  <c r="S113" i="12"/>
  <c r="AQ113" i="12" s="1"/>
  <c r="Z113" i="12"/>
  <c r="AA113" i="12"/>
  <c r="AD113" i="12"/>
  <c r="AE113" i="12"/>
  <c r="AF113" i="12" s="1"/>
  <c r="AG113" i="12"/>
  <c r="AH113" i="12"/>
  <c r="AI113" i="12"/>
  <c r="AJ113" i="12" s="1"/>
  <c r="AK113" i="12"/>
  <c r="AL113" i="12"/>
  <c r="AP113" i="12"/>
  <c r="AR113" i="12"/>
  <c r="AS113" i="12"/>
  <c r="R114" i="12"/>
  <c r="S114" i="12"/>
  <c r="AR114" i="12" s="1"/>
  <c r="Z114" i="12"/>
  <c r="AA114" i="12"/>
  <c r="AD114" i="12"/>
  <c r="AE114" i="12"/>
  <c r="AF114" i="12"/>
  <c r="AG114" i="12"/>
  <c r="AH114" i="12"/>
  <c r="AI114" i="12"/>
  <c r="AJ114" i="12" s="1"/>
  <c r="AK114" i="12"/>
  <c r="AL114" i="12"/>
  <c r="AP114" i="12"/>
  <c r="AQ114" i="12"/>
  <c r="AS114" i="12"/>
  <c r="R115" i="12"/>
  <c r="S115" i="12"/>
  <c r="AQ115" i="12" s="1"/>
  <c r="Z115" i="12"/>
  <c r="AA115" i="12"/>
  <c r="AD115" i="12"/>
  <c r="AE115" i="12"/>
  <c r="AF115" i="12" s="1"/>
  <c r="AG115" i="12"/>
  <c r="AH115" i="12"/>
  <c r="AI115" i="12"/>
  <c r="AJ115" i="12" s="1"/>
  <c r="AK115" i="12"/>
  <c r="AO115" i="12" s="1"/>
  <c r="AL115" i="12"/>
  <c r="AN115" i="12"/>
  <c r="AP115" i="12"/>
  <c r="AR115" i="12"/>
  <c r="AS115" i="12"/>
  <c r="R116" i="12"/>
  <c r="S116" i="12"/>
  <c r="AQ116" i="12" s="1"/>
  <c r="Z116" i="12"/>
  <c r="AA116" i="12"/>
  <c r="AD116" i="12"/>
  <c r="AE116" i="12"/>
  <c r="AF116" i="12"/>
  <c r="AG116" i="12"/>
  <c r="AH116" i="12"/>
  <c r="AI116" i="12"/>
  <c r="AJ116" i="12" s="1"/>
  <c r="AK116" i="12"/>
  <c r="AO116" i="12" s="1"/>
  <c r="AL116" i="12"/>
  <c r="AN116" i="12"/>
  <c r="AP116" i="12"/>
  <c r="AS116" i="12"/>
  <c r="R117" i="12"/>
  <c r="S117" i="12"/>
  <c r="Z117" i="12"/>
  <c r="AA117" i="12"/>
  <c r="AD117" i="12"/>
  <c r="AE117" i="12"/>
  <c r="AF117" i="12" s="1"/>
  <c r="AG117" i="12"/>
  <c r="AH117" i="12"/>
  <c r="AI117" i="12"/>
  <c r="AJ117" i="12" s="1"/>
  <c r="AK117" i="12"/>
  <c r="AL117" i="12"/>
  <c r="AP117" i="12"/>
  <c r="AS117" i="12"/>
  <c r="R118" i="12"/>
  <c r="S118" i="12"/>
  <c r="AR118" i="12" s="1"/>
  <c r="Z118" i="12"/>
  <c r="AA118" i="12"/>
  <c r="AC118" i="12" s="1"/>
  <c r="AD118" i="12"/>
  <c r="AE118" i="12"/>
  <c r="AF118" i="12" s="1"/>
  <c r="AG118" i="12"/>
  <c r="AH118" i="12"/>
  <c r="AI118" i="12"/>
  <c r="AJ118" i="12" s="1"/>
  <c r="AK118" i="12"/>
  <c r="AL118" i="12"/>
  <c r="AP118" i="12"/>
  <c r="AS118" i="12"/>
  <c r="R119" i="12"/>
  <c r="S119" i="12"/>
  <c r="AQ119" i="12" s="1"/>
  <c r="Z119" i="12"/>
  <c r="AA119" i="12"/>
  <c r="AD119" i="12"/>
  <c r="AE119" i="12"/>
  <c r="AF119" i="12" s="1"/>
  <c r="AG119" i="12"/>
  <c r="AH119" i="12"/>
  <c r="AI119" i="12"/>
  <c r="AJ119" i="12" s="1"/>
  <c r="AK119" i="12"/>
  <c r="AO119" i="12" s="1"/>
  <c r="AL119" i="12"/>
  <c r="AP119" i="12"/>
  <c r="AR119" i="12"/>
  <c r="AS119" i="12"/>
  <c r="R120" i="12"/>
  <c r="S120" i="12"/>
  <c r="Z120" i="12"/>
  <c r="AA120" i="12"/>
  <c r="AD120" i="12"/>
  <c r="AE120" i="12"/>
  <c r="AF120" i="12" s="1"/>
  <c r="AG120" i="12"/>
  <c r="AH120" i="12"/>
  <c r="AI120" i="12"/>
  <c r="AJ120" i="12" s="1"/>
  <c r="AK120" i="12"/>
  <c r="AN120" i="12" s="1"/>
  <c r="AL120" i="12"/>
  <c r="AO120" i="12"/>
  <c r="AP120" i="12"/>
  <c r="AS120" i="12"/>
  <c r="R121" i="12"/>
  <c r="S121" i="12"/>
  <c r="AQ121" i="12" s="1"/>
  <c r="Z121" i="12"/>
  <c r="AA121" i="12"/>
  <c r="AD121" i="12"/>
  <c r="AE121" i="12"/>
  <c r="AF121" i="12" s="1"/>
  <c r="AG121" i="12"/>
  <c r="AH121" i="12"/>
  <c r="AI121" i="12"/>
  <c r="AJ121" i="12" s="1"/>
  <c r="AK121" i="12"/>
  <c r="AL121" i="12"/>
  <c r="AP121" i="12"/>
  <c r="AS121" i="12"/>
  <c r="R122" i="12"/>
  <c r="S122" i="12"/>
  <c r="Z122" i="12"/>
  <c r="AA122" i="12"/>
  <c r="AD122" i="12"/>
  <c r="AE122" i="12"/>
  <c r="AF122" i="12" s="1"/>
  <c r="AG122" i="12"/>
  <c r="AH122" i="12"/>
  <c r="AI122" i="12"/>
  <c r="AJ122" i="12" s="1"/>
  <c r="AK122" i="12"/>
  <c r="AL122" i="12"/>
  <c r="AP122" i="12"/>
  <c r="AS122" i="12"/>
  <c r="R123" i="12"/>
  <c r="S123" i="12"/>
  <c r="AQ123" i="12" s="1"/>
  <c r="Z123" i="12"/>
  <c r="AA123" i="12"/>
  <c r="AD123" i="12"/>
  <c r="AE123" i="12"/>
  <c r="AF123" i="12" s="1"/>
  <c r="AG123" i="12"/>
  <c r="AH123" i="12"/>
  <c r="AI123" i="12"/>
  <c r="AJ123" i="12" s="1"/>
  <c r="AK123" i="12"/>
  <c r="AO123" i="12" s="1"/>
  <c r="AL123" i="12"/>
  <c r="AN123" i="12"/>
  <c r="AP123" i="12"/>
  <c r="AR123" i="12"/>
  <c r="AS123" i="12"/>
  <c r="R124" i="12"/>
  <c r="S124" i="12"/>
  <c r="Z124" i="12"/>
  <c r="AA124" i="12"/>
  <c r="AD124" i="12"/>
  <c r="AE124" i="12"/>
  <c r="AF124" i="12" s="1"/>
  <c r="AG124" i="12"/>
  <c r="AH124" i="12"/>
  <c r="AI124" i="12"/>
  <c r="AJ124" i="12" s="1"/>
  <c r="AK124" i="12"/>
  <c r="AO124" i="12" s="1"/>
  <c r="AL124" i="12"/>
  <c r="AP124" i="12"/>
  <c r="AS124" i="12"/>
  <c r="R125" i="12"/>
  <c r="S125" i="12"/>
  <c r="AQ125" i="12" s="1"/>
  <c r="Z125" i="12"/>
  <c r="AA125" i="12"/>
  <c r="AD125" i="12"/>
  <c r="AE125" i="12"/>
  <c r="AF125" i="12" s="1"/>
  <c r="AG125" i="12"/>
  <c r="AH125" i="12"/>
  <c r="AI125" i="12"/>
  <c r="AJ125" i="12" s="1"/>
  <c r="AK125" i="12"/>
  <c r="AL125" i="12"/>
  <c r="AP125" i="12"/>
  <c r="AS125" i="12"/>
  <c r="R126" i="12"/>
  <c r="S126" i="12"/>
  <c r="AR126" i="12" s="1"/>
  <c r="Z126" i="12"/>
  <c r="AA126" i="12"/>
  <c r="AC126" i="12" s="1"/>
  <c r="AD126" i="12"/>
  <c r="AE126" i="12"/>
  <c r="AF126" i="12" s="1"/>
  <c r="AG126" i="12"/>
  <c r="AH126" i="12"/>
  <c r="AI126" i="12"/>
  <c r="AJ126" i="12" s="1"/>
  <c r="AK126" i="12"/>
  <c r="AL126" i="12"/>
  <c r="AP126" i="12"/>
  <c r="AS126" i="12"/>
  <c r="R127" i="12"/>
  <c r="S127" i="12"/>
  <c r="AQ127" i="12" s="1"/>
  <c r="Z127" i="12"/>
  <c r="AA127" i="12"/>
  <c r="AD127" i="12"/>
  <c r="AE127" i="12"/>
  <c r="AF127" i="12" s="1"/>
  <c r="AG127" i="12"/>
  <c r="AH127" i="12"/>
  <c r="AI127" i="12"/>
  <c r="AJ127" i="12" s="1"/>
  <c r="AK127" i="12"/>
  <c r="AO127" i="12" s="1"/>
  <c r="AL127" i="12"/>
  <c r="AN127" i="12"/>
  <c r="AP127" i="12"/>
  <c r="AR127" i="12"/>
  <c r="AS127" i="12"/>
  <c r="R128" i="12"/>
  <c r="S128" i="12"/>
  <c r="AR128" i="12" s="1"/>
  <c r="Z128" i="12"/>
  <c r="AA128" i="12"/>
  <c r="AD128" i="12"/>
  <c r="AE128" i="12"/>
  <c r="AF128" i="12" s="1"/>
  <c r="AG128" i="12"/>
  <c r="AH128" i="12"/>
  <c r="AI128" i="12"/>
  <c r="AJ128" i="12" s="1"/>
  <c r="AK128" i="12"/>
  <c r="AN128" i="12" s="1"/>
  <c r="AL128" i="12"/>
  <c r="AP128" i="12"/>
  <c r="AQ128" i="12"/>
  <c r="AS128" i="12"/>
  <c r="R129" i="12"/>
  <c r="S129" i="12"/>
  <c r="Z129" i="12"/>
  <c r="AA129" i="12"/>
  <c r="AD129" i="12"/>
  <c r="AE129" i="12"/>
  <c r="AF129" i="12" s="1"/>
  <c r="AG129" i="12"/>
  <c r="AH129" i="12"/>
  <c r="AI129" i="12"/>
  <c r="AJ129" i="12" s="1"/>
  <c r="AK129" i="12"/>
  <c r="AL129" i="12"/>
  <c r="AP129" i="12"/>
  <c r="AS129" i="12"/>
  <c r="R130" i="12"/>
  <c r="S130" i="12"/>
  <c r="AR130" i="12" s="1"/>
  <c r="Z130" i="12"/>
  <c r="AA130" i="12"/>
  <c r="AD130" i="12"/>
  <c r="AE130" i="12"/>
  <c r="AF130" i="12" s="1"/>
  <c r="AG130" i="12"/>
  <c r="AH130" i="12"/>
  <c r="AI130" i="12"/>
  <c r="AJ130" i="12" s="1"/>
  <c r="AK130" i="12"/>
  <c r="AL130" i="12"/>
  <c r="AP130" i="12"/>
  <c r="AS130" i="12"/>
  <c r="R131" i="12"/>
  <c r="S131" i="12"/>
  <c r="AQ131" i="12" s="1"/>
  <c r="Z131" i="12"/>
  <c r="AA131" i="12"/>
  <c r="AD131" i="12"/>
  <c r="AE131" i="12"/>
  <c r="AF131" i="12" s="1"/>
  <c r="AG131" i="12"/>
  <c r="AH131" i="12"/>
  <c r="AI131" i="12"/>
  <c r="AJ131" i="12" s="1"/>
  <c r="AK131" i="12"/>
  <c r="AO131" i="12" s="1"/>
  <c r="AL131" i="12"/>
  <c r="AP131" i="12"/>
  <c r="AR131" i="12"/>
  <c r="AS131" i="12"/>
  <c r="R132" i="12"/>
  <c r="S132" i="12"/>
  <c r="AQ132" i="12" s="1"/>
  <c r="Z132" i="12"/>
  <c r="AA132" i="12"/>
  <c r="AD132" i="12"/>
  <c r="AE132" i="12"/>
  <c r="AF132" i="12" s="1"/>
  <c r="AG132" i="12"/>
  <c r="AH132" i="12"/>
  <c r="AI132" i="12"/>
  <c r="AJ132" i="12" s="1"/>
  <c r="AK132" i="12"/>
  <c r="AN132" i="12" s="1"/>
  <c r="AL132" i="12"/>
  <c r="AO132" i="12"/>
  <c r="AP132" i="12"/>
  <c r="AR132" i="12"/>
  <c r="AS132" i="12"/>
  <c r="R133" i="12"/>
  <c r="S133" i="12"/>
  <c r="Z133" i="12"/>
  <c r="AA133" i="12"/>
  <c r="AD133" i="12"/>
  <c r="AE133" i="12"/>
  <c r="AF133" i="12" s="1"/>
  <c r="AG133" i="12"/>
  <c r="AH133" i="12"/>
  <c r="AI133" i="12"/>
  <c r="AJ133" i="12" s="1"/>
  <c r="AK133" i="12"/>
  <c r="AL133" i="12"/>
  <c r="AP133" i="12"/>
  <c r="AS133" i="12"/>
  <c r="R134" i="12"/>
  <c r="S134" i="12"/>
  <c r="AR134" i="12" s="1"/>
  <c r="Z134" i="12"/>
  <c r="AA134" i="12"/>
  <c r="AD134" i="12"/>
  <c r="AE134" i="12"/>
  <c r="AF134" i="12" s="1"/>
  <c r="AG134" i="12"/>
  <c r="AH134" i="12"/>
  <c r="AI134" i="12"/>
  <c r="AJ134" i="12" s="1"/>
  <c r="AK134" i="12"/>
  <c r="AL134" i="12"/>
  <c r="AP134" i="12"/>
  <c r="AS134" i="12"/>
  <c r="R135" i="12"/>
  <c r="S135" i="12"/>
  <c r="AQ135" i="12" s="1"/>
  <c r="Z135" i="12"/>
  <c r="AA135" i="12"/>
  <c r="AD135" i="12"/>
  <c r="AE135" i="12"/>
  <c r="AF135" i="12" s="1"/>
  <c r="AG135" i="12"/>
  <c r="AH135" i="12"/>
  <c r="AI135" i="12"/>
  <c r="AJ135" i="12" s="1"/>
  <c r="AK135" i="12"/>
  <c r="AO135" i="12" s="1"/>
  <c r="AL135" i="12"/>
  <c r="AN135" i="12"/>
  <c r="AP135" i="12"/>
  <c r="AR135" i="12"/>
  <c r="AS135" i="12"/>
  <c r="R136" i="12"/>
  <c r="S136" i="12"/>
  <c r="Z136" i="12"/>
  <c r="AA136" i="12"/>
  <c r="AD136" i="12"/>
  <c r="AE136" i="12"/>
  <c r="AF136" i="12" s="1"/>
  <c r="AG136" i="12"/>
  <c r="AH136" i="12"/>
  <c r="AI136" i="12"/>
  <c r="AJ136" i="12" s="1"/>
  <c r="AK136" i="12"/>
  <c r="AO136" i="12" s="1"/>
  <c r="AL136" i="12"/>
  <c r="AN136" i="12"/>
  <c r="AP136" i="12"/>
  <c r="AS136" i="12"/>
  <c r="R137" i="12"/>
  <c r="S137" i="12"/>
  <c r="Z137" i="12"/>
  <c r="AA137" i="12"/>
  <c r="AD137" i="12"/>
  <c r="AE137" i="12"/>
  <c r="AF137" i="12" s="1"/>
  <c r="AG137" i="12"/>
  <c r="AH137" i="12"/>
  <c r="AI137" i="12"/>
  <c r="AJ137" i="12" s="1"/>
  <c r="AK137" i="12"/>
  <c r="AL137" i="12"/>
  <c r="AP137" i="12"/>
  <c r="AQ137" i="12"/>
  <c r="AR137" i="12"/>
  <c r="AS137" i="12"/>
  <c r="R138" i="12"/>
  <c r="S138" i="12"/>
  <c r="Z138" i="12"/>
  <c r="AA138" i="12"/>
  <c r="AB138" i="12" s="1"/>
  <c r="AD138" i="12"/>
  <c r="AE138" i="12"/>
  <c r="AF138" i="12" s="1"/>
  <c r="AG138" i="12"/>
  <c r="AH138" i="12"/>
  <c r="AI138" i="12"/>
  <c r="AJ138" i="12" s="1"/>
  <c r="AK138" i="12"/>
  <c r="AL138" i="12"/>
  <c r="AP138" i="12"/>
  <c r="AS138" i="12"/>
  <c r="R139" i="12"/>
  <c r="S139" i="12"/>
  <c r="AQ139" i="12" s="1"/>
  <c r="Z139" i="12"/>
  <c r="AA139" i="12"/>
  <c r="AD139" i="12"/>
  <c r="AE139" i="12"/>
  <c r="AF139" i="12" s="1"/>
  <c r="AG139" i="12"/>
  <c r="AH139" i="12"/>
  <c r="AI139" i="12"/>
  <c r="AJ139" i="12" s="1"/>
  <c r="AK139" i="12"/>
  <c r="AL139" i="12"/>
  <c r="AP139" i="12"/>
  <c r="AR139" i="12"/>
  <c r="AS139" i="12"/>
  <c r="R140" i="12"/>
  <c r="S140" i="12"/>
  <c r="Z140" i="12"/>
  <c r="AA140" i="12"/>
  <c r="AD140" i="12"/>
  <c r="AE140" i="12"/>
  <c r="AF140" i="12" s="1"/>
  <c r="AG140" i="12"/>
  <c r="AH140" i="12"/>
  <c r="AI140" i="12"/>
  <c r="AJ140" i="12" s="1"/>
  <c r="AK140" i="12"/>
  <c r="AO140" i="12" s="1"/>
  <c r="AL140" i="12"/>
  <c r="AN140" i="12"/>
  <c r="AP140" i="12"/>
  <c r="AQ140" i="12"/>
  <c r="AR140" i="12"/>
  <c r="AS140" i="12"/>
  <c r="R141" i="12"/>
  <c r="S141" i="12"/>
  <c r="AQ141" i="12" s="1"/>
  <c r="Z141" i="12"/>
  <c r="AA141" i="12"/>
  <c r="AD141" i="12"/>
  <c r="AE141" i="12"/>
  <c r="AF141" i="12" s="1"/>
  <c r="AG141" i="12"/>
  <c r="AH141" i="12"/>
  <c r="AI141" i="12"/>
  <c r="AJ141" i="12" s="1"/>
  <c r="AK141" i="12"/>
  <c r="AL141" i="12"/>
  <c r="AP141" i="12"/>
  <c r="AR141" i="12"/>
  <c r="AS141" i="12"/>
  <c r="R142" i="12"/>
  <c r="S142" i="12"/>
  <c r="AR142" i="12" s="1"/>
  <c r="Z142" i="12"/>
  <c r="AA142" i="12"/>
  <c r="AB142" i="12" s="1"/>
  <c r="AD142" i="12"/>
  <c r="AE142" i="12"/>
  <c r="AF142" i="12"/>
  <c r="AG142" i="12"/>
  <c r="AH142" i="12"/>
  <c r="AI142" i="12"/>
  <c r="AJ142" i="12" s="1"/>
  <c r="AK142" i="12"/>
  <c r="AL142" i="12"/>
  <c r="AP142" i="12"/>
  <c r="AS142" i="12"/>
  <c r="R143" i="12"/>
  <c r="S143" i="12"/>
  <c r="AQ143" i="12" s="1"/>
  <c r="Z143" i="12"/>
  <c r="AA143" i="12"/>
  <c r="AD143" i="12"/>
  <c r="AE143" i="12"/>
  <c r="AF143" i="12" s="1"/>
  <c r="AG143" i="12"/>
  <c r="AH143" i="12"/>
  <c r="AI143" i="12"/>
  <c r="AJ143" i="12" s="1"/>
  <c r="AK143" i="12"/>
  <c r="AL143" i="12"/>
  <c r="AP143" i="12"/>
  <c r="AR143" i="12"/>
  <c r="AS143" i="12"/>
  <c r="R144" i="12"/>
  <c r="S144" i="12"/>
  <c r="AR144" i="12" s="1"/>
  <c r="Z144" i="12"/>
  <c r="AA144" i="12"/>
  <c r="AD144" i="12"/>
  <c r="AE144" i="12"/>
  <c r="AF144" i="12"/>
  <c r="AG144" i="12"/>
  <c r="AH144" i="12"/>
  <c r="AI144" i="12"/>
  <c r="AJ144" i="12" s="1"/>
  <c r="AK144" i="12"/>
  <c r="AN144" i="12" s="1"/>
  <c r="AL144" i="12"/>
  <c r="AP144" i="12"/>
  <c r="AQ144" i="12"/>
  <c r="AS144" i="12"/>
  <c r="R145" i="12"/>
  <c r="S145" i="12"/>
  <c r="AQ145" i="12" s="1"/>
  <c r="Z145" i="12"/>
  <c r="AA145" i="12"/>
  <c r="AD145" i="12"/>
  <c r="AE145" i="12"/>
  <c r="AF145" i="12" s="1"/>
  <c r="AG145" i="12"/>
  <c r="AH145" i="12"/>
  <c r="AI145" i="12"/>
  <c r="AJ145" i="12" s="1"/>
  <c r="AK145" i="12"/>
  <c r="AL145" i="12"/>
  <c r="AP145" i="12"/>
  <c r="AS145" i="12"/>
  <c r="R146" i="12"/>
  <c r="S146" i="12"/>
  <c r="Z146" i="12"/>
  <c r="AA146" i="12"/>
  <c r="AC146" i="12" s="1"/>
  <c r="AD146" i="12"/>
  <c r="AE146" i="12"/>
  <c r="AF146" i="12" s="1"/>
  <c r="AG146" i="12"/>
  <c r="AH146" i="12"/>
  <c r="AI146" i="12"/>
  <c r="AJ146" i="12" s="1"/>
  <c r="AK146" i="12"/>
  <c r="AL146" i="12"/>
  <c r="AP146" i="12"/>
  <c r="AS146" i="12"/>
  <c r="R147" i="12"/>
  <c r="S147" i="12"/>
  <c r="Z147" i="12"/>
  <c r="AA147" i="12"/>
  <c r="AD147" i="12"/>
  <c r="AE147" i="12"/>
  <c r="AF147" i="12" s="1"/>
  <c r="AG147" i="12"/>
  <c r="AH147" i="12"/>
  <c r="AI147" i="12"/>
  <c r="AJ147" i="12" s="1"/>
  <c r="AK147" i="12"/>
  <c r="AL147" i="12"/>
  <c r="AP147" i="12"/>
  <c r="AS147" i="12"/>
  <c r="R148" i="12"/>
  <c r="S148" i="12"/>
  <c r="AQ148" i="12" s="1"/>
  <c r="Z148" i="12"/>
  <c r="AA148" i="12"/>
  <c r="AD148" i="12"/>
  <c r="AE148" i="12"/>
  <c r="AF148" i="12" s="1"/>
  <c r="AG148" i="12"/>
  <c r="AH148" i="12"/>
  <c r="AI148" i="12"/>
  <c r="AJ148" i="12" s="1"/>
  <c r="AK148" i="12"/>
  <c r="AN148" i="12" s="1"/>
  <c r="AL148" i="12"/>
  <c r="AP148" i="12"/>
  <c r="AS148" i="12"/>
  <c r="R149" i="12"/>
  <c r="S149" i="12"/>
  <c r="Z149" i="12"/>
  <c r="AA149" i="12"/>
  <c r="AD149" i="12"/>
  <c r="AE149" i="12"/>
  <c r="AF149" i="12" s="1"/>
  <c r="AG149" i="12"/>
  <c r="AH149" i="12"/>
  <c r="AI149" i="12"/>
  <c r="AJ149" i="12" s="1"/>
  <c r="AK149" i="12"/>
  <c r="AL149" i="12"/>
  <c r="AP149" i="12"/>
  <c r="AQ149" i="12"/>
  <c r="AR149" i="12"/>
  <c r="AS149" i="12"/>
  <c r="R150" i="12"/>
  <c r="S150" i="12"/>
  <c r="AR150" i="12" s="1"/>
  <c r="Z150" i="12"/>
  <c r="AA150" i="12"/>
  <c r="AC150" i="12" s="1"/>
  <c r="AD150" i="12"/>
  <c r="AE150" i="12"/>
  <c r="AF150" i="12" s="1"/>
  <c r="AG150" i="12"/>
  <c r="AH150" i="12"/>
  <c r="AI150" i="12"/>
  <c r="AJ150" i="12" s="1"/>
  <c r="AK150" i="12"/>
  <c r="AL150" i="12"/>
  <c r="AP150" i="12"/>
  <c r="AS150" i="12"/>
  <c r="R151" i="12"/>
  <c r="S151" i="12"/>
  <c r="AR151" i="12" s="1"/>
  <c r="Z151" i="12"/>
  <c r="AA151" i="12"/>
  <c r="AD151" i="12"/>
  <c r="AE151" i="12"/>
  <c r="AF151" i="12" s="1"/>
  <c r="AG151" i="12"/>
  <c r="AH151" i="12"/>
  <c r="AI151" i="12"/>
  <c r="AJ151" i="12" s="1"/>
  <c r="AK151" i="12"/>
  <c r="AO151" i="12" s="1"/>
  <c r="AL151" i="12"/>
  <c r="AN151" i="12"/>
  <c r="AP151" i="12"/>
  <c r="AQ151" i="12"/>
  <c r="AS151" i="12"/>
  <c r="R152" i="12"/>
  <c r="S152" i="12"/>
  <c r="AR152" i="12" s="1"/>
  <c r="Z152" i="12"/>
  <c r="AA152" i="12"/>
  <c r="AC152" i="12" s="1"/>
  <c r="AD152" i="12"/>
  <c r="AE152" i="12"/>
  <c r="AF152" i="12" s="1"/>
  <c r="AG152" i="12"/>
  <c r="AH152" i="12"/>
  <c r="AI152" i="12"/>
  <c r="AJ152" i="12" s="1"/>
  <c r="AK152" i="12"/>
  <c r="AL152" i="12"/>
  <c r="AP152" i="12"/>
  <c r="AS152" i="12"/>
  <c r="R153" i="12"/>
  <c r="S153" i="12"/>
  <c r="Z153" i="12"/>
  <c r="AA153" i="12"/>
  <c r="AD153" i="12"/>
  <c r="AE153" i="12"/>
  <c r="AF153" i="12" s="1"/>
  <c r="AG153" i="12"/>
  <c r="AH153" i="12"/>
  <c r="AI153" i="12"/>
  <c r="AJ153" i="12" s="1"/>
  <c r="AK153" i="12"/>
  <c r="AL153" i="12"/>
  <c r="AP153" i="12"/>
  <c r="AS153" i="12"/>
  <c r="R154" i="12"/>
  <c r="S154" i="12"/>
  <c r="Z154" i="12"/>
  <c r="AA154" i="12"/>
  <c r="AD154" i="12"/>
  <c r="AE154" i="12"/>
  <c r="AF154" i="12" s="1"/>
  <c r="AG154" i="12"/>
  <c r="AH154" i="12"/>
  <c r="AI154" i="12"/>
  <c r="AJ154" i="12" s="1"/>
  <c r="AK154" i="12"/>
  <c r="AO154" i="12" s="1"/>
  <c r="AL154" i="12"/>
  <c r="AP154" i="12"/>
  <c r="AS154" i="12"/>
  <c r="R155" i="12"/>
  <c r="S155" i="12"/>
  <c r="Z155" i="12"/>
  <c r="AA155" i="12"/>
  <c r="AD155" i="12"/>
  <c r="AE155" i="12"/>
  <c r="AF155" i="12" s="1"/>
  <c r="AG155" i="12"/>
  <c r="AH155" i="12"/>
  <c r="AI155" i="12"/>
  <c r="AJ155" i="12" s="1"/>
  <c r="AK155" i="12"/>
  <c r="AL155" i="12"/>
  <c r="AP155" i="12"/>
  <c r="AQ155" i="12"/>
  <c r="AR155" i="12"/>
  <c r="AS155" i="12"/>
  <c r="R156" i="12"/>
  <c r="S156" i="12"/>
  <c r="AR156" i="12" s="1"/>
  <c r="Z156" i="12"/>
  <c r="AA156" i="12"/>
  <c r="AC156" i="12" s="1"/>
  <c r="AD156" i="12"/>
  <c r="AE156" i="12"/>
  <c r="AF156" i="12" s="1"/>
  <c r="AG156" i="12"/>
  <c r="AH156" i="12"/>
  <c r="AI156" i="12"/>
  <c r="AJ156" i="12" s="1"/>
  <c r="AK156" i="12"/>
  <c r="AL156" i="12"/>
  <c r="AP156" i="12"/>
  <c r="AS156" i="12"/>
  <c r="R157" i="12"/>
  <c r="S157" i="12"/>
  <c r="Z157" i="12"/>
  <c r="AA157" i="12"/>
  <c r="AD157" i="12"/>
  <c r="AE157" i="12"/>
  <c r="AF157" i="12" s="1"/>
  <c r="AG157" i="12"/>
  <c r="AH157" i="12"/>
  <c r="AI157" i="12"/>
  <c r="AJ157" i="12" s="1"/>
  <c r="AK157" i="12"/>
  <c r="AL157" i="12"/>
  <c r="AP157" i="12"/>
  <c r="AS157" i="12"/>
  <c r="R158" i="12"/>
  <c r="S158" i="12"/>
  <c r="Z158" i="12"/>
  <c r="AA158" i="12"/>
  <c r="AD158" i="12"/>
  <c r="AE158" i="12"/>
  <c r="AF158" i="12" s="1"/>
  <c r="AG158" i="12"/>
  <c r="AH158" i="12"/>
  <c r="AI158" i="12"/>
  <c r="AJ158" i="12" s="1"/>
  <c r="AK158" i="12"/>
  <c r="AO158" i="12" s="1"/>
  <c r="AL158" i="12"/>
  <c r="AN158" i="12"/>
  <c r="AP158" i="12"/>
  <c r="AS158" i="12"/>
  <c r="R159" i="12"/>
  <c r="S159" i="12"/>
  <c r="Z159" i="12"/>
  <c r="AA159" i="12"/>
  <c r="AD159" i="12"/>
  <c r="AE159" i="12"/>
  <c r="AF159" i="12" s="1"/>
  <c r="AG159" i="12"/>
  <c r="AH159" i="12"/>
  <c r="AI159" i="12"/>
  <c r="AJ159" i="12" s="1"/>
  <c r="AK159" i="12"/>
  <c r="AL159" i="12"/>
  <c r="AP159" i="12"/>
  <c r="AQ159" i="12"/>
  <c r="AR159" i="12"/>
  <c r="AS159" i="12"/>
  <c r="R160" i="12"/>
  <c r="S160" i="12"/>
  <c r="AR160" i="12" s="1"/>
  <c r="Z160" i="12"/>
  <c r="AA160" i="12"/>
  <c r="AD160" i="12"/>
  <c r="AE160" i="12"/>
  <c r="AF160" i="12" s="1"/>
  <c r="AG160" i="12"/>
  <c r="AH160" i="12"/>
  <c r="AI160" i="12"/>
  <c r="AJ160" i="12" s="1"/>
  <c r="AK160" i="12"/>
  <c r="AL160" i="12"/>
  <c r="AP160" i="12"/>
  <c r="AS160" i="12"/>
  <c r="R161" i="12"/>
  <c r="S161" i="12"/>
  <c r="AQ161" i="12" s="1"/>
  <c r="Z161" i="12"/>
  <c r="AA161" i="12"/>
  <c r="AD161" i="12"/>
  <c r="AE161" i="12"/>
  <c r="AF161" i="12" s="1"/>
  <c r="AG161" i="12"/>
  <c r="AH161" i="12"/>
  <c r="AI161" i="12"/>
  <c r="AJ161" i="12" s="1"/>
  <c r="AK161" i="12"/>
  <c r="AO161" i="12" s="1"/>
  <c r="AL161" i="12"/>
  <c r="AP161" i="12"/>
  <c r="AR161" i="12"/>
  <c r="AS161" i="12"/>
  <c r="R162" i="12"/>
  <c r="S162" i="12"/>
  <c r="AR162" i="12" s="1"/>
  <c r="Z162" i="12"/>
  <c r="AA162" i="12"/>
  <c r="AD162" i="12"/>
  <c r="AE162" i="12"/>
  <c r="AF162" i="12" s="1"/>
  <c r="AG162" i="12"/>
  <c r="AH162" i="12"/>
  <c r="AI162" i="12"/>
  <c r="AJ162" i="12" s="1"/>
  <c r="AK162" i="12"/>
  <c r="AN162" i="12" s="1"/>
  <c r="AL162" i="12"/>
  <c r="AP162" i="12"/>
  <c r="AQ162" i="12"/>
  <c r="AS162" i="12"/>
  <c r="R163" i="12"/>
  <c r="S163" i="12"/>
  <c r="AQ163" i="12" s="1"/>
  <c r="Z163" i="12"/>
  <c r="AA163" i="12"/>
  <c r="AD163" i="12"/>
  <c r="AE163" i="12"/>
  <c r="AF163" i="12" s="1"/>
  <c r="AG163" i="12"/>
  <c r="AH163" i="12"/>
  <c r="AI163" i="12"/>
  <c r="AJ163" i="12" s="1"/>
  <c r="AK163" i="12"/>
  <c r="AL163" i="12"/>
  <c r="AP163" i="12"/>
  <c r="AR163" i="12"/>
  <c r="AS163" i="12"/>
  <c r="R164" i="12"/>
  <c r="S164" i="12"/>
  <c r="Z164" i="12"/>
  <c r="AA164" i="12"/>
  <c r="AD164" i="12"/>
  <c r="AE164" i="12"/>
  <c r="AF164" i="12" s="1"/>
  <c r="AG164" i="12"/>
  <c r="AH164" i="12"/>
  <c r="AI164" i="12"/>
  <c r="AJ164" i="12" s="1"/>
  <c r="AK164" i="12"/>
  <c r="AL164" i="12"/>
  <c r="AP164" i="12"/>
  <c r="AS164" i="12"/>
  <c r="R165" i="12"/>
  <c r="S165" i="12"/>
  <c r="AQ165" i="12" s="1"/>
  <c r="Z165" i="12"/>
  <c r="AA165" i="12"/>
  <c r="AD165" i="12"/>
  <c r="AE165" i="12"/>
  <c r="AF165" i="12" s="1"/>
  <c r="AG165" i="12"/>
  <c r="AH165" i="12"/>
  <c r="AI165" i="12"/>
  <c r="AJ165" i="12" s="1"/>
  <c r="AK165" i="12"/>
  <c r="AO165" i="12" s="1"/>
  <c r="AL165" i="12"/>
  <c r="AN165" i="12"/>
  <c r="AP165" i="12"/>
  <c r="AR165" i="12"/>
  <c r="AS165" i="12"/>
  <c r="R166" i="12"/>
  <c r="S166" i="12"/>
  <c r="AQ166" i="12" s="1"/>
  <c r="Z166" i="12"/>
  <c r="AA166" i="12"/>
  <c r="AD166" i="12"/>
  <c r="AE166" i="12"/>
  <c r="AF166" i="12"/>
  <c r="AG166" i="12"/>
  <c r="AH166" i="12"/>
  <c r="AI166" i="12"/>
  <c r="AJ166" i="12" s="1"/>
  <c r="AK166" i="12"/>
  <c r="AO166" i="12" s="1"/>
  <c r="AL166" i="12"/>
  <c r="AP166" i="12"/>
  <c r="AS166" i="12"/>
  <c r="R167" i="12"/>
  <c r="S167" i="12"/>
  <c r="Z167" i="12"/>
  <c r="AA167" i="12"/>
  <c r="AD167" i="12"/>
  <c r="AE167" i="12"/>
  <c r="AF167" i="12" s="1"/>
  <c r="AG167" i="12"/>
  <c r="AH167" i="12"/>
  <c r="AI167" i="12"/>
  <c r="AJ167" i="12" s="1"/>
  <c r="AK167" i="12"/>
  <c r="AL167" i="12"/>
  <c r="AP167" i="12"/>
  <c r="AS167" i="12"/>
  <c r="R168" i="12"/>
  <c r="S168" i="12"/>
  <c r="AR168" i="12" s="1"/>
  <c r="Z168" i="12"/>
  <c r="AA168" i="12"/>
  <c r="AD168" i="12"/>
  <c r="AE168" i="12"/>
  <c r="AF168" i="12" s="1"/>
  <c r="AG168" i="12"/>
  <c r="AH168" i="12"/>
  <c r="AI168" i="12"/>
  <c r="AJ168" i="12" s="1"/>
  <c r="AK168" i="12"/>
  <c r="AL168" i="12"/>
  <c r="AP168" i="12"/>
  <c r="AS168" i="12"/>
  <c r="R169" i="12"/>
  <c r="S169" i="12"/>
  <c r="AQ169" i="12" s="1"/>
  <c r="Z169" i="12"/>
  <c r="AA169" i="12"/>
  <c r="AD169" i="12"/>
  <c r="AE169" i="12"/>
  <c r="AF169" i="12" s="1"/>
  <c r="AG169" i="12"/>
  <c r="AH169" i="12"/>
  <c r="AI169" i="12"/>
  <c r="AJ169" i="12" s="1"/>
  <c r="AK169" i="12"/>
  <c r="AO169" i="12" s="1"/>
  <c r="AL169" i="12"/>
  <c r="AN169" i="12"/>
  <c r="AP169" i="12"/>
  <c r="AR169" i="12"/>
  <c r="AS169" i="12"/>
  <c r="R170" i="12"/>
  <c r="S170" i="12"/>
  <c r="Z170" i="12"/>
  <c r="AA170" i="12"/>
  <c r="AD170" i="12"/>
  <c r="AE170" i="12"/>
  <c r="AF170" i="12" s="1"/>
  <c r="AG170" i="12"/>
  <c r="AH170" i="12"/>
  <c r="AI170" i="12"/>
  <c r="AJ170" i="12" s="1"/>
  <c r="AK170" i="12"/>
  <c r="AN170" i="12" s="1"/>
  <c r="AL170" i="12"/>
  <c r="AO170" i="12"/>
  <c r="AP170" i="12"/>
  <c r="AS170" i="12"/>
  <c r="R171" i="12"/>
  <c r="S171" i="12"/>
  <c r="AQ171" i="12" s="1"/>
  <c r="Z171" i="12"/>
  <c r="AA171" i="12"/>
  <c r="AD171" i="12"/>
  <c r="AE171" i="12"/>
  <c r="AF171" i="12" s="1"/>
  <c r="AG171" i="12"/>
  <c r="AH171" i="12"/>
  <c r="AI171" i="12"/>
  <c r="AJ171" i="12" s="1"/>
  <c r="AK171" i="12"/>
  <c r="AL171" i="12"/>
  <c r="AP171" i="12"/>
  <c r="AS171" i="12"/>
  <c r="R172" i="12"/>
  <c r="S172" i="12"/>
  <c r="AR172" i="12" s="1"/>
  <c r="Z172" i="12"/>
  <c r="AA172" i="12"/>
  <c r="AD172" i="12"/>
  <c r="AE172" i="12"/>
  <c r="AF172" i="12" s="1"/>
  <c r="AG172" i="12"/>
  <c r="AH172" i="12"/>
  <c r="AI172" i="12"/>
  <c r="AJ172" i="12" s="1"/>
  <c r="AK172" i="12"/>
  <c r="AL172" i="12"/>
  <c r="AP172" i="12"/>
  <c r="AS172" i="12"/>
  <c r="R173" i="12"/>
  <c r="S173" i="12"/>
  <c r="AQ173" i="12" s="1"/>
  <c r="Z173" i="12"/>
  <c r="AA173" i="12"/>
  <c r="AD173" i="12"/>
  <c r="AE173" i="12"/>
  <c r="AF173" i="12" s="1"/>
  <c r="AG173" i="12"/>
  <c r="AH173" i="12"/>
  <c r="AI173" i="12"/>
  <c r="AJ173" i="12" s="1"/>
  <c r="AK173" i="12"/>
  <c r="AO173" i="12" s="1"/>
  <c r="AL173" i="12"/>
  <c r="AN173" i="12"/>
  <c r="AP173" i="12"/>
  <c r="AR173" i="12"/>
  <c r="AS173" i="12"/>
  <c r="R174" i="12"/>
  <c r="S174" i="12"/>
  <c r="Z174" i="12"/>
  <c r="AA174" i="12"/>
  <c r="AD174" i="12"/>
  <c r="AE174" i="12"/>
  <c r="AF174" i="12" s="1"/>
  <c r="AG174" i="12"/>
  <c r="AH174" i="12"/>
  <c r="AI174" i="12"/>
  <c r="AJ174" i="12" s="1"/>
  <c r="AK174" i="12"/>
  <c r="AL174" i="12"/>
  <c r="AN174" i="12"/>
  <c r="AO174" i="12"/>
  <c r="AP174" i="12"/>
  <c r="AQ174" i="12"/>
  <c r="AR174" i="12"/>
  <c r="AS174" i="12"/>
  <c r="R175" i="12"/>
  <c r="S175" i="12"/>
  <c r="Z175" i="12"/>
  <c r="AA175" i="12"/>
  <c r="AD175" i="12"/>
  <c r="AE175" i="12"/>
  <c r="AF175" i="12" s="1"/>
  <c r="AG175" i="12"/>
  <c r="AH175" i="12"/>
  <c r="AI175" i="12"/>
  <c r="AJ175" i="12" s="1"/>
  <c r="AK175" i="12"/>
  <c r="AL175" i="12"/>
  <c r="AP175" i="12"/>
  <c r="AS175" i="12"/>
  <c r="R176" i="12"/>
  <c r="S176" i="12"/>
  <c r="AR176" i="12" s="1"/>
  <c r="Z176" i="12"/>
  <c r="AA176" i="12"/>
  <c r="AD176" i="12"/>
  <c r="AE176" i="12"/>
  <c r="AF176" i="12" s="1"/>
  <c r="AG176" i="12"/>
  <c r="AH176" i="12"/>
  <c r="AI176" i="12"/>
  <c r="AJ176" i="12" s="1"/>
  <c r="AK176" i="12"/>
  <c r="AL176" i="12"/>
  <c r="AP176" i="12"/>
  <c r="AS176" i="12"/>
  <c r="R177" i="12"/>
  <c r="S177" i="12"/>
  <c r="Z177" i="12"/>
  <c r="AA177" i="12"/>
  <c r="AD177" i="12"/>
  <c r="AE177" i="12"/>
  <c r="AF177" i="12" s="1"/>
  <c r="AG177" i="12"/>
  <c r="AH177" i="12"/>
  <c r="AI177" i="12"/>
  <c r="AJ177" i="12" s="1"/>
  <c r="AK177" i="12"/>
  <c r="AO177" i="12" s="1"/>
  <c r="AL177" i="12"/>
  <c r="AP177" i="12"/>
  <c r="AS177" i="12"/>
  <c r="R178" i="12"/>
  <c r="S178" i="12"/>
  <c r="Z178" i="12"/>
  <c r="AA178" i="12"/>
  <c r="AD178" i="12"/>
  <c r="AE178" i="12"/>
  <c r="AF178" i="12" s="1"/>
  <c r="AG178" i="12"/>
  <c r="AH178" i="12"/>
  <c r="AI178" i="12"/>
  <c r="AJ178" i="12" s="1"/>
  <c r="AK178" i="12"/>
  <c r="AN178" i="12" s="1"/>
  <c r="AL178" i="12"/>
  <c r="AP178" i="12"/>
  <c r="AS178" i="12"/>
  <c r="R179" i="12"/>
  <c r="S179" i="12"/>
  <c r="Z179" i="12"/>
  <c r="AA179" i="12"/>
  <c r="AD179" i="12"/>
  <c r="AE179" i="12"/>
  <c r="AF179" i="12" s="1"/>
  <c r="AG179" i="12"/>
  <c r="AH179" i="12"/>
  <c r="AI179" i="12"/>
  <c r="AJ179" i="12" s="1"/>
  <c r="AK179" i="12"/>
  <c r="AL179" i="12"/>
  <c r="AP179" i="12"/>
  <c r="AS179" i="12"/>
  <c r="R180" i="12"/>
  <c r="S180" i="12"/>
  <c r="AR180" i="12" s="1"/>
  <c r="Z180" i="12"/>
  <c r="AA180" i="12"/>
  <c r="AD180" i="12"/>
  <c r="AE180" i="12"/>
  <c r="AF180" i="12" s="1"/>
  <c r="AG180" i="12"/>
  <c r="AH180" i="12"/>
  <c r="AI180" i="12"/>
  <c r="AJ180" i="12" s="1"/>
  <c r="AK180" i="12"/>
  <c r="AL180" i="12"/>
  <c r="AP180" i="12"/>
  <c r="AS180" i="12"/>
  <c r="R181" i="12"/>
  <c r="S181" i="12"/>
  <c r="Z181" i="12"/>
  <c r="AA181" i="12"/>
  <c r="AD181" i="12"/>
  <c r="AE181" i="12"/>
  <c r="AF181" i="12" s="1"/>
  <c r="AG181" i="12"/>
  <c r="AH181" i="12"/>
  <c r="AI181" i="12"/>
  <c r="AJ181" i="12" s="1"/>
  <c r="AK181" i="12"/>
  <c r="AL181" i="12"/>
  <c r="AP181" i="12"/>
  <c r="AS181" i="12"/>
  <c r="R182" i="12"/>
  <c r="S182" i="12"/>
  <c r="Z182" i="12"/>
  <c r="AA182" i="12"/>
  <c r="AD182" i="12"/>
  <c r="AE182" i="12"/>
  <c r="AF182" i="12" s="1"/>
  <c r="AG182" i="12"/>
  <c r="AH182" i="12"/>
  <c r="AI182" i="12"/>
  <c r="AJ182" i="12" s="1"/>
  <c r="AK182" i="12"/>
  <c r="AO182" i="12" s="1"/>
  <c r="AL182" i="12"/>
  <c r="AP182" i="12"/>
  <c r="AS182" i="12"/>
  <c r="R183" i="12"/>
  <c r="S183" i="12"/>
  <c r="Z183" i="12"/>
  <c r="AA183" i="12"/>
  <c r="AD183" i="12"/>
  <c r="AE183" i="12"/>
  <c r="AF183" i="12" s="1"/>
  <c r="AG183" i="12"/>
  <c r="AH183" i="12"/>
  <c r="AI183" i="12"/>
  <c r="AJ183" i="12" s="1"/>
  <c r="AK183" i="12"/>
  <c r="AL183" i="12"/>
  <c r="AP183" i="12"/>
  <c r="AQ183" i="12"/>
  <c r="AR183" i="12"/>
  <c r="AS183" i="12"/>
  <c r="R184" i="12"/>
  <c r="S184" i="12"/>
  <c r="Z184" i="12"/>
  <c r="AA184" i="12"/>
  <c r="AB184" i="12" s="1"/>
  <c r="AD184" i="12"/>
  <c r="AE184" i="12"/>
  <c r="AF184" i="12" s="1"/>
  <c r="AG184" i="12"/>
  <c r="AH184" i="12"/>
  <c r="AI184" i="12"/>
  <c r="AJ184" i="12" s="1"/>
  <c r="AK184" i="12"/>
  <c r="AL184" i="12"/>
  <c r="AP184" i="12"/>
  <c r="AS184" i="12"/>
  <c r="R185" i="12"/>
  <c r="S185" i="12"/>
  <c r="AQ185" i="12" s="1"/>
  <c r="Z185" i="12"/>
  <c r="AA185" i="12"/>
  <c r="AD185" i="12"/>
  <c r="AE185" i="12"/>
  <c r="AF185" i="12" s="1"/>
  <c r="AG185" i="12"/>
  <c r="AH185" i="12"/>
  <c r="AI185" i="12"/>
  <c r="AJ185" i="12" s="1"/>
  <c r="AK185" i="12"/>
  <c r="AO185" i="12" s="1"/>
  <c r="AL185" i="12"/>
  <c r="AN185" i="12"/>
  <c r="AP185" i="12"/>
  <c r="AR185" i="12"/>
  <c r="AS185" i="12"/>
  <c r="R186" i="12"/>
  <c r="S186" i="12"/>
  <c r="Z186" i="12"/>
  <c r="AA186" i="12"/>
  <c r="AD186" i="12"/>
  <c r="AE186" i="12"/>
  <c r="AF186" i="12" s="1"/>
  <c r="AG186" i="12"/>
  <c r="AH186" i="12"/>
  <c r="AI186" i="12"/>
  <c r="AJ186" i="12" s="1"/>
  <c r="AK186" i="12"/>
  <c r="AO186" i="12" s="1"/>
  <c r="AL186" i="12"/>
  <c r="AN186" i="12"/>
  <c r="AP186" i="12"/>
  <c r="AS186" i="12"/>
  <c r="R187" i="12"/>
  <c r="S187" i="12"/>
  <c r="Z187" i="12"/>
  <c r="AA187" i="12"/>
  <c r="AD187" i="12"/>
  <c r="AE187" i="12"/>
  <c r="AF187" i="12" s="1"/>
  <c r="AG187" i="12"/>
  <c r="AH187" i="12"/>
  <c r="AI187" i="12"/>
  <c r="AJ187" i="12" s="1"/>
  <c r="AK187" i="12"/>
  <c r="AL187" i="12"/>
  <c r="AP187" i="12"/>
  <c r="AQ187" i="12"/>
  <c r="AR187" i="12"/>
  <c r="AS187" i="12"/>
  <c r="R188" i="12"/>
  <c r="S188" i="12"/>
  <c r="AR188" i="12" s="1"/>
  <c r="Z188" i="12"/>
  <c r="AA188" i="12"/>
  <c r="AC188" i="12" s="1"/>
  <c r="AD188" i="12"/>
  <c r="AE188" i="12"/>
  <c r="AF188" i="12" s="1"/>
  <c r="AG188" i="12"/>
  <c r="AH188" i="12"/>
  <c r="AI188" i="12"/>
  <c r="AJ188" i="12" s="1"/>
  <c r="AK188" i="12"/>
  <c r="AL188" i="12"/>
  <c r="AP188" i="12"/>
  <c r="AS188" i="12"/>
  <c r="R189" i="12"/>
  <c r="S189" i="12"/>
  <c r="AQ189" i="12" s="1"/>
  <c r="Z189" i="12"/>
  <c r="AA189" i="12"/>
  <c r="AD189" i="12"/>
  <c r="AE189" i="12"/>
  <c r="AF189" i="12" s="1"/>
  <c r="AG189" i="12"/>
  <c r="AH189" i="12"/>
  <c r="AI189" i="12"/>
  <c r="AJ189" i="12" s="1"/>
  <c r="AK189" i="12"/>
  <c r="AO189" i="12" s="1"/>
  <c r="AL189" i="12"/>
  <c r="AP189" i="12"/>
  <c r="AR189" i="12"/>
  <c r="AS189" i="12"/>
  <c r="R190" i="12"/>
  <c r="S190" i="12"/>
  <c r="Z190" i="12"/>
  <c r="AA190" i="12"/>
  <c r="AD190" i="12"/>
  <c r="AE190" i="12"/>
  <c r="AF190" i="12" s="1"/>
  <c r="AG190" i="12"/>
  <c r="AH190" i="12"/>
  <c r="AI190" i="12"/>
  <c r="AJ190" i="12" s="1"/>
  <c r="AK190" i="12"/>
  <c r="AL190" i="12"/>
  <c r="AN190" i="12"/>
  <c r="AO190" i="12"/>
  <c r="AP190" i="12"/>
  <c r="AQ190" i="12"/>
  <c r="AR190" i="12"/>
  <c r="AS190" i="12"/>
  <c r="R191" i="12"/>
  <c r="S191" i="12"/>
  <c r="AQ191" i="12" s="1"/>
  <c r="Z191" i="12"/>
  <c r="AA191" i="12"/>
  <c r="AD191" i="12"/>
  <c r="AE191" i="12"/>
  <c r="AF191" i="12" s="1"/>
  <c r="AG191" i="12"/>
  <c r="AH191" i="12"/>
  <c r="AI191" i="12"/>
  <c r="AJ191" i="12" s="1"/>
  <c r="AK191" i="12"/>
  <c r="AL191" i="12"/>
  <c r="AP191" i="12"/>
  <c r="AS191" i="12"/>
  <c r="R192" i="12"/>
  <c r="S192" i="12"/>
  <c r="AR192" i="12" s="1"/>
  <c r="Z192" i="12"/>
  <c r="AA192" i="12"/>
  <c r="AC192" i="12" s="1"/>
  <c r="AD192" i="12"/>
  <c r="AE192" i="12"/>
  <c r="AF192" i="12"/>
  <c r="AG192" i="12"/>
  <c r="AH192" i="12"/>
  <c r="AI192" i="12"/>
  <c r="AJ192" i="12" s="1"/>
  <c r="AK192" i="12"/>
  <c r="AL192" i="12"/>
  <c r="AP192" i="12"/>
  <c r="AS192" i="12"/>
  <c r="R193" i="12"/>
  <c r="S193" i="12"/>
  <c r="AQ193" i="12" s="1"/>
  <c r="Z193" i="12"/>
  <c r="AA193" i="12"/>
  <c r="AD193" i="12"/>
  <c r="AE193" i="12"/>
  <c r="AF193" i="12" s="1"/>
  <c r="AG193" i="12"/>
  <c r="AH193" i="12"/>
  <c r="AI193" i="12"/>
  <c r="AJ193" i="12" s="1"/>
  <c r="AK193" i="12"/>
  <c r="AO193" i="12" s="1"/>
  <c r="AL193" i="12"/>
  <c r="AN193" i="12"/>
  <c r="AP193" i="12"/>
  <c r="AR193" i="12"/>
  <c r="AS193" i="12"/>
  <c r="R194" i="12"/>
  <c r="S194" i="12"/>
  <c r="Z194" i="12"/>
  <c r="AA194" i="12"/>
  <c r="AD194" i="12"/>
  <c r="AE194" i="12"/>
  <c r="AF194" i="12" s="1"/>
  <c r="AG194" i="12"/>
  <c r="AH194" i="12"/>
  <c r="AI194" i="12"/>
  <c r="AJ194" i="12" s="1"/>
  <c r="AK194" i="12"/>
  <c r="AO194" i="12" s="1"/>
  <c r="AL194" i="12"/>
  <c r="AN194" i="12"/>
  <c r="AP194" i="12"/>
  <c r="AS194" i="12"/>
  <c r="R195" i="12"/>
  <c r="S195" i="12"/>
  <c r="AQ195" i="12" s="1"/>
  <c r="Z195" i="12"/>
  <c r="AA195" i="12"/>
  <c r="AD195" i="12"/>
  <c r="AE195" i="12"/>
  <c r="AF195" i="12" s="1"/>
  <c r="AG195" i="12"/>
  <c r="AH195" i="12"/>
  <c r="AI195" i="12"/>
  <c r="AJ195" i="12" s="1"/>
  <c r="AK195" i="12"/>
  <c r="AL195" i="12"/>
  <c r="AP195" i="12"/>
  <c r="AS195" i="12"/>
  <c r="R196" i="12"/>
  <c r="S196" i="12"/>
  <c r="AR196" i="12" s="1"/>
  <c r="Z196" i="12"/>
  <c r="AA196" i="12"/>
  <c r="AD196" i="12"/>
  <c r="AE196" i="12"/>
  <c r="AF196" i="12" s="1"/>
  <c r="AG196" i="12"/>
  <c r="AH196" i="12"/>
  <c r="AI196" i="12"/>
  <c r="AJ196" i="12" s="1"/>
  <c r="AK196" i="12"/>
  <c r="AL196" i="12"/>
  <c r="AP196" i="12"/>
  <c r="AQ196" i="12"/>
  <c r="AS196" i="12"/>
  <c r="R197" i="12"/>
  <c r="S197" i="12"/>
  <c r="AQ197" i="12" s="1"/>
  <c r="Z197" i="12"/>
  <c r="AA197" i="12"/>
  <c r="AD197" i="12"/>
  <c r="AE197" i="12"/>
  <c r="AF197" i="12" s="1"/>
  <c r="AG197" i="12"/>
  <c r="AH197" i="12"/>
  <c r="AI197" i="12"/>
  <c r="AJ197" i="12" s="1"/>
  <c r="AK197" i="12"/>
  <c r="AO197" i="12" s="1"/>
  <c r="AL197" i="12"/>
  <c r="AP197" i="12"/>
  <c r="AR197" i="12"/>
  <c r="AS197" i="12"/>
  <c r="R198" i="12"/>
  <c r="S198" i="12"/>
  <c r="AQ198" i="12" s="1"/>
  <c r="Z198" i="12"/>
  <c r="AA198" i="12"/>
  <c r="AD198" i="12"/>
  <c r="AE198" i="12"/>
  <c r="AF198" i="12" s="1"/>
  <c r="AG198" i="12"/>
  <c r="AH198" i="12"/>
  <c r="AI198" i="12"/>
  <c r="AJ198" i="12" s="1"/>
  <c r="AK198" i="12"/>
  <c r="AN198" i="12" s="1"/>
  <c r="AL198" i="12"/>
  <c r="AO198" i="12"/>
  <c r="AP198" i="12"/>
  <c r="AR198" i="12"/>
  <c r="AS198" i="12"/>
  <c r="R199" i="12"/>
  <c r="S199" i="12"/>
  <c r="AQ199" i="12" s="1"/>
  <c r="Z199" i="12"/>
  <c r="AA199" i="12"/>
  <c r="AD199" i="12"/>
  <c r="AE199" i="12"/>
  <c r="AF199" i="12" s="1"/>
  <c r="AG199" i="12"/>
  <c r="AH199" i="12"/>
  <c r="AI199" i="12"/>
  <c r="AJ199" i="12" s="1"/>
  <c r="AK199" i="12"/>
  <c r="AL199" i="12"/>
  <c r="AP199" i="12"/>
  <c r="AS199" i="12"/>
  <c r="R200" i="12"/>
  <c r="S200" i="12"/>
  <c r="AR200" i="12" s="1"/>
  <c r="Z200" i="12"/>
  <c r="AA200" i="12"/>
  <c r="AC200" i="12" s="1"/>
  <c r="AD200" i="12"/>
  <c r="AE200" i="12"/>
  <c r="AF200" i="12" s="1"/>
  <c r="AG200" i="12"/>
  <c r="AH200" i="12"/>
  <c r="AI200" i="12"/>
  <c r="AJ200" i="12" s="1"/>
  <c r="AK200" i="12"/>
  <c r="AL200" i="12"/>
  <c r="AP200" i="12"/>
  <c r="AQ200" i="12"/>
  <c r="AS200" i="12"/>
  <c r="R201" i="12"/>
  <c r="S201" i="12"/>
  <c r="AQ201" i="12" s="1"/>
  <c r="Z201" i="12"/>
  <c r="AA201" i="12"/>
  <c r="AD201" i="12"/>
  <c r="AE201" i="12"/>
  <c r="AF201" i="12" s="1"/>
  <c r="AG201" i="12"/>
  <c r="AH201" i="12"/>
  <c r="AI201" i="12"/>
  <c r="AJ201" i="12" s="1"/>
  <c r="AK201" i="12"/>
  <c r="AO201" i="12" s="1"/>
  <c r="AL201" i="12"/>
  <c r="AN201" i="12"/>
  <c r="AP201" i="12"/>
  <c r="AR201" i="12"/>
  <c r="AS201" i="12"/>
  <c r="R202" i="12"/>
  <c r="S202" i="12"/>
  <c r="AR202" i="12" s="1"/>
  <c r="Z202" i="12"/>
  <c r="AA202" i="12"/>
  <c r="AD202" i="12"/>
  <c r="AE202" i="12"/>
  <c r="AF202" i="12" s="1"/>
  <c r="AG202" i="12"/>
  <c r="AH202" i="12"/>
  <c r="AI202" i="12"/>
  <c r="AJ202" i="12" s="1"/>
  <c r="AK202" i="12"/>
  <c r="AO202" i="12" s="1"/>
  <c r="AL202" i="12"/>
  <c r="AN202" i="12"/>
  <c r="AP202" i="12"/>
  <c r="AS202" i="12"/>
  <c r="R203" i="12"/>
  <c r="S203" i="12"/>
  <c r="AQ203" i="12" s="1"/>
  <c r="Z203" i="12"/>
  <c r="AA203" i="12"/>
  <c r="AD203" i="12"/>
  <c r="AE203" i="12"/>
  <c r="AF203" i="12" s="1"/>
  <c r="AG203" i="12"/>
  <c r="AH203" i="12"/>
  <c r="AI203" i="12"/>
  <c r="AJ203" i="12" s="1"/>
  <c r="AK203" i="12"/>
  <c r="AL203" i="12"/>
  <c r="AP203" i="12"/>
  <c r="AS203" i="12"/>
  <c r="R204" i="12"/>
  <c r="S204" i="12"/>
  <c r="AR204" i="12" s="1"/>
  <c r="Z204" i="12"/>
  <c r="AA204" i="12"/>
  <c r="AD204" i="12"/>
  <c r="AE204" i="12"/>
  <c r="AF204" i="12" s="1"/>
  <c r="AG204" i="12"/>
  <c r="AH204" i="12"/>
  <c r="AI204" i="12"/>
  <c r="AJ204" i="12" s="1"/>
  <c r="AK204" i="12"/>
  <c r="AL204" i="12"/>
  <c r="AP204" i="12"/>
  <c r="AS204" i="12"/>
  <c r="R205" i="12"/>
  <c r="S205" i="12"/>
  <c r="Z205" i="12"/>
  <c r="AA205" i="12"/>
  <c r="AD205" i="12"/>
  <c r="AE205" i="12"/>
  <c r="AF205" i="12" s="1"/>
  <c r="AG205" i="12"/>
  <c r="AH205" i="12"/>
  <c r="AI205" i="12"/>
  <c r="AJ205" i="12" s="1"/>
  <c r="AK205" i="12"/>
  <c r="AO205" i="12" s="1"/>
  <c r="AL205" i="12"/>
  <c r="AP205" i="12"/>
  <c r="AS205" i="12"/>
  <c r="R206" i="12"/>
  <c r="S206" i="12"/>
  <c r="AR206" i="12" s="1"/>
  <c r="Z206" i="12"/>
  <c r="AA206" i="12"/>
  <c r="AD206" i="12"/>
  <c r="AE206" i="12"/>
  <c r="AF206" i="12" s="1"/>
  <c r="AG206" i="12"/>
  <c r="AH206" i="12"/>
  <c r="AI206" i="12"/>
  <c r="AJ206" i="12" s="1"/>
  <c r="AK206" i="12"/>
  <c r="AO206" i="12" s="1"/>
  <c r="AL206" i="12"/>
  <c r="AN206" i="12"/>
  <c r="AP206" i="12"/>
  <c r="AS206" i="12"/>
  <c r="R207" i="12"/>
  <c r="S207" i="12"/>
  <c r="AQ207" i="12" s="1"/>
  <c r="Z207" i="12"/>
  <c r="AA207" i="12"/>
  <c r="AD207" i="12"/>
  <c r="AE207" i="12"/>
  <c r="AF207" i="12" s="1"/>
  <c r="AG207" i="12"/>
  <c r="AH207" i="12"/>
  <c r="AI207" i="12"/>
  <c r="AJ207" i="12" s="1"/>
  <c r="AK207" i="12"/>
  <c r="AL207" i="12"/>
  <c r="AP207" i="12"/>
  <c r="AS207" i="12"/>
  <c r="R208" i="12"/>
  <c r="S208" i="12"/>
  <c r="AR208" i="12" s="1"/>
  <c r="Z208" i="12"/>
  <c r="AA208" i="12"/>
  <c r="AB208" i="12" s="1"/>
  <c r="AD208" i="12"/>
  <c r="AE208" i="12"/>
  <c r="AF208" i="12" s="1"/>
  <c r="AG208" i="12"/>
  <c r="AH208" i="12"/>
  <c r="AI208" i="12"/>
  <c r="AJ208" i="12" s="1"/>
  <c r="AK208" i="12"/>
  <c r="AL208" i="12"/>
  <c r="AP208" i="12"/>
  <c r="AS208" i="12"/>
  <c r="R209" i="12"/>
  <c r="S209" i="12"/>
  <c r="Z209" i="12"/>
  <c r="AA209" i="12"/>
  <c r="AD209" i="12"/>
  <c r="AE209" i="12"/>
  <c r="AF209" i="12" s="1"/>
  <c r="AG209" i="12"/>
  <c r="AH209" i="12"/>
  <c r="AI209" i="12"/>
  <c r="AJ209" i="12" s="1"/>
  <c r="AK209" i="12"/>
  <c r="AO209" i="12" s="1"/>
  <c r="AL209" i="12"/>
  <c r="AP209" i="12"/>
  <c r="AS209" i="12"/>
  <c r="R210" i="12"/>
  <c r="S210" i="12"/>
  <c r="Z210" i="12"/>
  <c r="AA210" i="12"/>
  <c r="AD210" i="12"/>
  <c r="AE210" i="12"/>
  <c r="AF210" i="12" s="1"/>
  <c r="AG210" i="12"/>
  <c r="AH210" i="12"/>
  <c r="AI210" i="12"/>
  <c r="AJ210" i="12" s="1"/>
  <c r="AK210" i="12"/>
  <c r="AO210" i="12" s="1"/>
  <c r="AL210" i="12"/>
  <c r="AN210" i="12"/>
  <c r="AP210" i="12"/>
  <c r="AS210" i="12"/>
  <c r="R211" i="12"/>
  <c r="S211" i="12"/>
  <c r="AQ211" i="12" s="1"/>
  <c r="Z211" i="12"/>
  <c r="AA211" i="12"/>
  <c r="AD211" i="12"/>
  <c r="AE211" i="12"/>
  <c r="AF211" i="12" s="1"/>
  <c r="AG211" i="12"/>
  <c r="AH211" i="12"/>
  <c r="AI211" i="12"/>
  <c r="AJ211" i="12" s="1"/>
  <c r="AK211" i="12"/>
  <c r="AL211" i="12"/>
  <c r="AP211" i="12"/>
  <c r="AS211" i="12"/>
  <c r="R212" i="12"/>
  <c r="S212" i="12"/>
  <c r="Z212" i="12"/>
  <c r="AA212" i="12"/>
  <c r="AD212" i="12"/>
  <c r="AE212" i="12"/>
  <c r="AF212" i="12" s="1"/>
  <c r="AG212" i="12"/>
  <c r="AH212" i="12"/>
  <c r="AI212" i="12"/>
  <c r="AJ212" i="12" s="1"/>
  <c r="AK212" i="12"/>
  <c r="AL212" i="12"/>
  <c r="AP212" i="12"/>
  <c r="AS212" i="12"/>
  <c r="R213" i="12"/>
  <c r="S213" i="12"/>
  <c r="AQ213" i="12" s="1"/>
  <c r="Z213" i="12"/>
  <c r="AA213" i="12"/>
  <c r="AD213" i="12"/>
  <c r="AE213" i="12"/>
  <c r="AF213" i="12" s="1"/>
  <c r="AG213" i="12"/>
  <c r="AH213" i="12"/>
  <c r="AI213" i="12"/>
  <c r="AJ213" i="12" s="1"/>
  <c r="AK213" i="12"/>
  <c r="AO213" i="12" s="1"/>
  <c r="AL213" i="12"/>
  <c r="AN213" i="12"/>
  <c r="AP213" i="12"/>
  <c r="AR213" i="12"/>
  <c r="AS213" i="12"/>
  <c r="R214" i="12"/>
  <c r="S214" i="12"/>
  <c r="AQ214" i="12" s="1"/>
  <c r="Z214" i="12"/>
  <c r="AA214" i="12"/>
  <c r="AD214" i="12"/>
  <c r="AE214" i="12"/>
  <c r="AF214" i="12" s="1"/>
  <c r="AG214" i="12"/>
  <c r="AH214" i="12"/>
  <c r="AI214" i="12"/>
  <c r="AJ214" i="12" s="1"/>
  <c r="AK214" i="12"/>
  <c r="AO214" i="12" s="1"/>
  <c r="AL214" i="12"/>
  <c r="AP214" i="12"/>
  <c r="AS214" i="12"/>
  <c r="R215" i="12"/>
  <c r="S215" i="12"/>
  <c r="Z215" i="12"/>
  <c r="AA215" i="12"/>
  <c r="AD215" i="12"/>
  <c r="AE215" i="12"/>
  <c r="AF215" i="12" s="1"/>
  <c r="AG215" i="12"/>
  <c r="AH215" i="12"/>
  <c r="AI215" i="12"/>
  <c r="AJ215" i="12" s="1"/>
  <c r="AK215" i="12"/>
  <c r="AL215" i="12"/>
  <c r="AP215" i="12"/>
  <c r="AS215" i="12"/>
  <c r="R216" i="12"/>
  <c r="S216" i="12"/>
  <c r="AR216" i="12" s="1"/>
  <c r="Z216" i="12"/>
  <c r="AA216" i="12"/>
  <c r="AB216" i="12" s="1"/>
  <c r="AD216" i="12"/>
  <c r="AE216" i="12"/>
  <c r="AF216" i="12" s="1"/>
  <c r="AG216" i="12"/>
  <c r="AH216" i="12"/>
  <c r="AI216" i="12"/>
  <c r="AJ216" i="12" s="1"/>
  <c r="AK216" i="12"/>
  <c r="AL216" i="12"/>
  <c r="AP216" i="12"/>
  <c r="AQ216" i="12"/>
  <c r="AS216" i="12"/>
  <c r="R217" i="12"/>
  <c r="S217" i="12"/>
  <c r="AQ217" i="12" s="1"/>
  <c r="Z217" i="12"/>
  <c r="AA217" i="12"/>
  <c r="AD217" i="12"/>
  <c r="AE217" i="12"/>
  <c r="AF217" i="12" s="1"/>
  <c r="AG217" i="12"/>
  <c r="AH217" i="12"/>
  <c r="AI217" i="12"/>
  <c r="AJ217" i="12" s="1"/>
  <c r="AK217" i="12"/>
  <c r="AO217" i="12" s="1"/>
  <c r="AL217" i="12"/>
  <c r="AP217" i="12"/>
  <c r="AR217" i="12"/>
  <c r="AS217" i="12"/>
  <c r="R218" i="12"/>
  <c r="S218" i="12"/>
  <c r="Z218" i="12"/>
  <c r="AA218" i="12"/>
  <c r="AD218" i="12"/>
  <c r="AE218" i="12"/>
  <c r="AF218" i="12" s="1"/>
  <c r="AG218" i="12"/>
  <c r="AH218" i="12"/>
  <c r="AI218" i="12"/>
  <c r="AJ218" i="12" s="1"/>
  <c r="AK218" i="12"/>
  <c r="AN218" i="12" s="1"/>
  <c r="AL218" i="12"/>
  <c r="AO218" i="12"/>
  <c r="AP218" i="12"/>
  <c r="AS218" i="12"/>
  <c r="R219" i="12"/>
  <c r="S219" i="12"/>
  <c r="Z219" i="12"/>
  <c r="AA219" i="12"/>
  <c r="AD219" i="12"/>
  <c r="AE219" i="12"/>
  <c r="AF219" i="12" s="1"/>
  <c r="AG219" i="12"/>
  <c r="AH219" i="12"/>
  <c r="AI219" i="12"/>
  <c r="AJ219" i="12" s="1"/>
  <c r="AK219" i="12"/>
  <c r="AL219" i="12"/>
  <c r="AP219" i="12"/>
  <c r="AS219" i="12"/>
  <c r="R220" i="12"/>
  <c r="S220" i="12"/>
  <c r="AR220" i="12" s="1"/>
  <c r="Z220" i="12"/>
  <c r="AA220" i="12"/>
  <c r="AD220" i="12"/>
  <c r="AE220" i="12"/>
  <c r="AF220" i="12" s="1"/>
  <c r="AG220" i="12"/>
  <c r="AH220" i="12"/>
  <c r="AI220" i="12"/>
  <c r="AJ220" i="12" s="1"/>
  <c r="AK220" i="12"/>
  <c r="AL220" i="12"/>
  <c r="AP220" i="12"/>
  <c r="AS220" i="12"/>
  <c r="R221" i="12"/>
  <c r="S221" i="12"/>
  <c r="AQ221" i="12" s="1"/>
  <c r="Z221" i="12"/>
  <c r="AA221" i="12"/>
  <c r="AD221" i="12"/>
  <c r="AE221" i="12"/>
  <c r="AF221" i="12" s="1"/>
  <c r="AG221" i="12"/>
  <c r="AH221" i="12"/>
  <c r="AI221" i="12"/>
  <c r="AJ221" i="12" s="1"/>
  <c r="AK221" i="12"/>
  <c r="AO221" i="12" s="1"/>
  <c r="AL221" i="12"/>
  <c r="AN221" i="12"/>
  <c r="AP221" i="12"/>
  <c r="AR221" i="12"/>
  <c r="AS221" i="12"/>
  <c r="R222" i="12"/>
  <c r="S222" i="12"/>
  <c r="Z222" i="12"/>
  <c r="AA222" i="12"/>
  <c r="AD222" i="12"/>
  <c r="AE222" i="12"/>
  <c r="AF222" i="12" s="1"/>
  <c r="AG222" i="12"/>
  <c r="AH222" i="12"/>
  <c r="AI222" i="12"/>
  <c r="AJ222" i="12" s="1"/>
  <c r="AK222" i="12"/>
  <c r="AO222" i="12" s="1"/>
  <c r="AL222" i="12"/>
  <c r="AN222" i="12"/>
  <c r="AP222" i="12"/>
  <c r="AS222" i="12"/>
  <c r="R223" i="12"/>
  <c r="S223" i="12"/>
  <c r="Z223" i="12"/>
  <c r="AA223" i="12"/>
  <c r="AD223" i="12"/>
  <c r="AE223" i="12"/>
  <c r="AF223" i="12" s="1"/>
  <c r="AG223" i="12"/>
  <c r="AH223" i="12"/>
  <c r="AI223" i="12"/>
  <c r="AJ223" i="12" s="1"/>
  <c r="AK223" i="12"/>
  <c r="AL223" i="12"/>
  <c r="AP223" i="12"/>
  <c r="AS223" i="12"/>
  <c r="R224" i="12"/>
  <c r="S224" i="12"/>
  <c r="AR224" i="12" s="1"/>
  <c r="Z224" i="12"/>
  <c r="AA224" i="12"/>
  <c r="AC224" i="12" s="1"/>
  <c r="AD224" i="12"/>
  <c r="AE224" i="12"/>
  <c r="AF224" i="12" s="1"/>
  <c r="AG224" i="12"/>
  <c r="AH224" i="12"/>
  <c r="AI224" i="12"/>
  <c r="AJ224" i="12" s="1"/>
  <c r="AK224" i="12"/>
  <c r="AL224" i="12"/>
  <c r="AP224" i="12"/>
  <c r="AS224" i="12"/>
  <c r="R225" i="12"/>
  <c r="S225" i="12"/>
  <c r="AQ225" i="12" s="1"/>
  <c r="Z225" i="12"/>
  <c r="AA225" i="12"/>
  <c r="AD225" i="12"/>
  <c r="AE225" i="12"/>
  <c r="AF225" i="12" s="1"/>
  <c r="AG225" i="12"/>
  <c r="AH225" i="12"/>
  <c r="AI225" i="12"/>
  <c r="AJ225" i="12" s="1"/>
  <c r="AK225" i="12"/>
  <c r="AO225" i="12" s="1"/>
  <c r="AL225" i="12"/>
  <c r="AP225" i="12"/>
  <c r="AR225" i="12"/>
  <c r="AS225" i="12"/>
  <c r="R226" i="12"/>
  <c r="S226" i="12"/>
  <c r="AQ226" i="12" s="1"/>
  <c r="Z226" i="12"/>
  <c r="AA226" i="12"/>
  <c r="AD226" i="12"/>
  <c r="AE226" i="12"/>
  <c r="AF226" i="12" s="1"/>
  <c r="AG226" i="12"/>
  <c r="AH226" i="12"/>
  <c r="AI226" i="12"/>
  <c r="AJ226" i="12" s="1"/>
  <c r="AK226" i="12"/>
  <c r="AO226" i="12" s="1"/>
  <c r="AL226" i="12"/>
  <c r="AP226" i="12"/>
  <c r="AR226" i="12"/>
  <c r="AS226" i="12"/>
  <c r="R227" i="12"/>
  <c r="S227" i="12"/>
  <c r="AQ227" i="12" s="1"/>
  <c r="Z227" i="12"/>
  <c r="AA227" i="12"/>
  <c r="AD227" i="12"/>
  <c r="AE227" i="12"/>
  <c r="AF227" i="12" s="1"/>
  <c r="AG227" i="12"/>
  <c r="AH227" i="12"/>
  <c r="AI227" i="12"/>
  <c r="AJ227" i="12" s="1"/>
  <c r="AK227" i="12"/>
  <c r="AL227" i="12"/>
  <c r="AP227" i="12"/>
  <c r="AR227" i="12"/>
  <c r="AS227" i="12"/>
  <c r="R228" i="12"/>
  <c r="S228" i="12"/>
  <c r="AR228" i="12" s="1"/>
  <c r="Z228" i="12"/>
  <c r="AA228" i="12"/>
  <c r="AD228" i="12"/>
  <c r="AE228" i="12"/>
  <c r="AF228" i="12"/>
  <c r="AG228" i="12"/>
  <c r="AH228" i="12"/>
  <c r="AI228" i="12"/>
  <c r="AJ228" i="12" s="1"/>
  <c r="AK228" i="12"/>
  <c r="AL228" i="12"/>
  <c r="AP228" i="12"/>
  <c r="AQ228" i="12"/>
  <c r="AS228" i="12"/>
  <c r="R229" i="12"/>
  <c r="S229" i="12"/>
  <c r="Z229" i="12"/>
  <c r="AA229" i="12"/>
  <c r="AD229" i="12"/>
  <c r="AE229" i="12"/>
  <c r="AF229" i="12" s="1"/>
  <c r="AG229" i="12"/>
  <c r="AH229" i="12"/>
  <c r="AI229" i="12"/>
  <c r="AJ229" i="12" s="1"/>
  <c r="AK229" i="12"/>
  <c r="AO229" i="12" s="1"/>
  <c r="AL229" i="12"/>
  <c r="AP229" i="12"/>
  <c r="AS229" i="12"/>
  <c r="R230" i="12"/>
  <c r="S230" i="12"/>
  <c r="AQ230" i="12" s="1"/>
  <c r="Z230" i="12"/>
  <c r="AA230" i="12"/>
  <c r="AD230" i="12"/>
  <c r="AE230" i="12"/>
  <c r="AF230" i="12" s="1"/>
  <c r="AG230" i="12"/>
  <c r="AH230" i="12"/>
  <c r="AI230" i="12"/>
  <c r="AJ230" i="12" s="1"/>
  <c r="AK230" i="12"/>
  <c r="AO230" i="12" s="1"/>
  <c r="AL230" i="12"/>
  <c r="AP230" i="12"/>
  <c r="AS230" i="12"/>
  <c r="R231" i="12"/>
  <c r="S231" i="12"/>
  <c r="Z231" i="12"/>
  <c r="AA231" i="12"/>
  <c r="AD231" i="12"/>
  <c r="AE231" i="12"/>
  <c r="AF231" i="12" s="1"/>
  <c r="AG231" i="12"/>
  <c r="AH231" i="12"/>
  <c r="AI231" i="12"/>
  <c r="AJ231" i="12" s="1"/>
  <c r="AK231" i="12"/>
  <c r="AL231" i="12"/>
  <c r="AP231" i="12"/>
  <c r="AS231" i="12"/>
  <c r="R232" i="12"/>
  <c r="S232" i="12"/>
  <c r="Z232" i="12"/>
  <c r="AA232" i="12"/>
  <c r="AD232" i="12"/>
  <c r="AE232" i="12"/>
  <c r="AF232" i="12" s="1"/>
  <c r="AG232" i="12"/>
  <c r="AH232" i="12"/>
  <c r="AI232" i="12"/>
  <c r="AJ232" i="12" s="1"/>
  <c r="AK232" i="12"/>
  <c r="AL232" i="12"/>
  <c r="AP232" i="12"/>
  <c r="AS232" i="12"/>
  <c r="R233" i="12"/>
  <c r="S233" i="12"/>
  <c r="AQ233" i="12" s="1"/>
  <c r="Z233" i="12"/>
  <c r="AA233" i="12"/>
  <c r="AD233" i="12"/>
  <c r="AE233" i="12"/>
  <c r="AF233" i="12" s="1"/>
  <c r="AG233" i="12"/>
  <c r="AH233" i="12"/>
  <c r="AI233" i="12"/>
  <c r="AJ233" i="12" s="1"/>
  <c r="AK233" i="12"/>
  <c r="AO233" i="12" s="1"/>
  <c r="AL233" i="12"/>
  <c r="AN233" i="12"/>
  <c r="AP233" i="12"/>
  <c r="AR233" i="12"/>
  <c r="AS233" i="12"/>
  <c r="R234" i="12"/>
  <c r="S234" i="12"/>
  <c r="Z234" i="12"/>
  <c r="AA234" i="12"/>
  <c r="AD234" i="12"/>
  <c r="AE234" i="12"/>
  <c r="AF234" i="12" s="1"/>
  <c r="AG234" i="12"/>
  <c r="AH234" i="12"/>
  <c r="AI234" i="12"/>
  <c r="AJ234" i="12" s="1"/>
  <c r="AK234" i="12"/>
  <c r="AO234" i="12" s="1"/>
  <c r="AL234" i="12"/>
  <c r="AN234" i="12"/>
  <c r="AP234" i="12"/>
  <c r="AS234" i="12"/>
  <c r="R235" i="12"/>
  <c r="S235" i="12"/>
  <c r="Z235" i="12"/>
  <c r="AA235" i="12"/>
  <c r="AD235" i="12"/>
  <c r="AE235" i="12"/>
  <c r="AF235" i="12" s="1"/>
  <c r="AG235" i="12"/>
  <c r="AH235" i="12"/>
  <c r="AI235" i="12"/>
  <c r="AJ235" i="12" s="1"/>
  <c r="AK235" i="12"/>
  <c r="AL235" i="12"/>
  <c r="AP235" i="12"/>
  <c r="AS235" i="12"/>
  <c r="R236" i="12"/>
  <c r="S236" i="12"/>
  <c r="AR236" i="12" s="1"/>
  <c r="Z236" i="12"/>
  <c r="AA236" i="12"/>
  <c r="AD236" i="12"/>
  <c r="AE236" i="12"/>
  <c r="AF236" i="12" s="1"/>
  <c r="AG236" i="12"/>
  <c r="AH236" i="12"/>
  <c r="AI236" i="12"/>
  <c r="AJ236" i="12" s="1"/>
  <c r="AK236" i="12"/>
  <c r="AL236" i="12"/>
  <c r="AP236" i="12"/>
  <c r="AS236" i="12"/>
  <c r="R237" i="12"/>
  <c r="S237" i="12"/>
  <c r="AR237" i="12" s="1"/>
  <c r="Z237" i="12"/>
  <c r="AA237" i="12"/>
  <c r="AD237" i="12"/>
  <c r="AE237" i="12"/>
  <c r="AF237" i="12" s="1"/>
  <c r="AG237" i="12"/>
  <c r="AH237" i="12"/>
  <c r="AI237" i="12"/>
  <c r="AJ237" i="12" s="1"/>
  <c r="AK237" i="12"/>
  <c r="AO237" i="12" s="1"/>
  <c r="AL237" i="12"/>
  <c r="AP237" i="12"/>
  <c r="AQ237" i="12"/>
  <c r="AS237" i="12"/>
  <c r="R238" i="12"/>
  <c r="S238" i="12"/>
  <c r="Z238" i="12"/>
  <c r="AA238" i="12"/>
  <c r="AD238" i="12"/>
  <c r="AE238" i="12"/>
  <c r="AF238" i="12" s="1"/>
  <c r="AG238" i="12"/>
  <c r="AH238" i="12"/>
  <c r="AI238" i="12"/>
  <c r="AJ238" i="12" s="1"/>
  <c r="AK238" i="12"/>
  <c r="AL238" i="12"/>
  <c r="AP238" i="12"/>
  <c r="AS238" i="12"/>
  <c r="R239" i="12"/>
  <c r="S239" i="12"/>
  <c r="Z239" i="12"/>
  <c r="AA239" i="12"/>
  <c r="AD239" i="12"/>
  <c r="AE239" i="12"/>
  <c r="AF239" i="12" s="1"/>
  <c r="AG239" i="12"/>
  <c r="AH239" i="12"/>
  <c r="AI239" i="12"/>
  <c r="AJ239" i="12" s="1"/>
  <c r="AK239" i="12"/>
  <c r="AN239" i="12" s="1"/>
  <c r="AL239" i="12"/>
  <c r="AP239" i="12"/>
  <c r="AS239" i="12"/>
  <c r="R240" i="12"/>
  <c r="S240" i="12"/>
  <c r="AR240" i="12" s="1"/>
  <c r="Z240" i="12"/>
  <c r="AA240" i="12"/>
  <c r="AC240" i="12" s="1"/>
  <c r="AD240" i="12"/>
  <c r="AE240" i="12"/>
  <c r="AF240" i="12" s="1"/>
  <c r="AG240" i="12"/>
  <c r="AH240" i="12"/>
  <c r="AI240" i="12"/>
  <c r="AJ240" i="12" s="1"/>
  <c r="AK240" i="12"/>
  <c r="AN240" i="12" s="1"/>
  <c r="AL240" i="12"/>
  <c r="AO240" i="12"/>
  <c r="AP240" i="12"/>
  <c r="AQ240" i="12"/>
  <c r="AS240" i="12"/>
  <c r="R241" i="12"/>
  <c r="S241" i="12"/>
  <c r="Z241" i="12"/>
  <c r="AA241" i="12"/>
  <c r="AD241" i="12"/>
  <c r="AE241" i="12"/>
  <c r="AF241" i="12" s="1"/>
  <c r="AG241" i="12"/>
  <c r="AH241" i="12"/>
  <c r="AI241" i="12"/>
  <c r="AJ241" i="12" s="1"/>
  <c r="AK241" i="12"/>
  <c r="AO241" i="12" s="1"/>
  <c r="AL241" i="12"/>
  <c r="AP241" i="12"/>
  <c r="AS241" i="12"/>
  <c r="R242" i="12"/>
  <c r="S242" i="12"/>
  <c r="Z242" i="12"/>
  <c r="AA242" i="12"/>
  <c r="AD242" i="12"/>
  <c r="AE242" i="12"/>
  <c r="AF242" i="12" s="1"/>
  <c r="AG242" i="12"/>
  <c r="AH242" i="12"/>
  <c r="AI242" i="12"/>
  <c r="AJ242" i="12" s="1"/>
  <c r="AK242" i="12"/>
  <c r="AL242" i="12"/>
  <c r="AP242" i="12"/>
  <c r="AS242" i="12"/>
  <c r="R243" i="12"/>
  <c r="S243" i="12"/>
  <c r="Z243" i="12"/>
  <c r="AA243" i="12"/>
  <c r="AD243" i="12"/>
  <c r="AE243" i="12"/>
  <c r="AF243" i="12" s="1"/>
  <c r="AG243" i="12"/>
  <c r="AH243" i="12"/>
  <c r="AI243" i="12"/>
  <c r="AJ243" i="12" s="1"/>
  <c r="AK243" i="12"/>
  <c r="AN243" i="12" s="1"/>
  <c r="AL243" i="12"/>
  <c r="AP243" i="12"/>
  <c r="AS243" i="12"/>
  <c r="R244" i="12"/>
  <c r="S244" i="12"/>
  <c r="AR244" i="12" s="1"/>
  <c r="Z244" i="12"/>
  <c r="AA244" i="12"/>
  <c r="AC244" i="12" s="1"/>
  <c r="AD244" i="12"/>
  <c r="AE244" i="12"/>
  <c r="AF244" i="12" s="1"/>
  <c r="AG244" i="12"/>
  <c r="AH244" i="12"/>
  <c r="AI244" i="12"/>
  <c r="AJ244" i="12" s="1"/>
  <c r="AK244" i="12"/>
  <c r="AN244" i="12" s="1"/>
  <c r="AL244" i="12"/>
  <c r="AO244" i="12"/>
  <c r="AP244" i="12"/>
  <c r="AQ244" i="12"/>
  <c r="AS244" i="12"/>
  <c r="R245" i="12"/>
  <c r="S245" i="12"/>
  <c r="AR245" i="12" s="1"/>
  <c r="Z245" i="12"/>
  <c r="AA245" i="12"/>
  <c r="AD245" i="12"/>
  <c r="AE245" i="12"/>
  <c r="AF245" i="12" s="1"/>
  <c r="AG245" i="12"/>
  <c r="AH245" i="12"/>
  <c r="AI245" i="12"/>
  <c r="AJ245" i="12" s="1"/>
  <c r="AK245" i="12"/>
  <c r="AO245" i="12" s="1"/>
  <c r="AL245" i="12"/>
  <c r="AN245" i="12"/>
  <c r="AP245" i="12"/>
  <c r="AQ245" i="12"/>
  <c r="AS245" i="12"/>
  <c r="R246" i="12"/>
  <c r="S246" i="12"/>
  <c r="AR246" i="12" s="1"/>
  <c r="Z246" i="12"/>
  <c r="AA246" i="12"/>
  <c r="AD246" i="12"/>
  <c r="AE246" i="12"/>
  <c r="AF246" i="12" s="1"/>
  <c r="AG246" i="12"/>
  <c r="AH246" i="12"/>
  <c r="AI246" i="12"/>
  <c r="AJ246" i="12" s="1"/>
  <c r="AK246" i="12"/>
  <c r="AL246" i="12"/>
  <c r="AP246" i="12"/>
  <c r="AS246" i="12"/>
  <c r="R247" i="12"/>
  <c r="S247" i="12"/>
  <c r="Z247" i="12"/>
  <c r="AA247" i="12"/>
  <c r="AC247" i="12" s="1"/>
  <c r="AD247" i="12"/>
  <c r="AE247" i="12"/>
  <c r="AF247" i="12" s="1"/>
  <c r="AG247" i="12"/>
  <c r="AH247" i="12"/>
  <c r="AI247" i="12"/>
  <c r="AJ247" i="12" s="1"/>
  <c r="AK247" i="12"/>
  <c r="AN247" i="12" s="1"/>
  <c r="AL247" i="12"/>
  <c r="AP247" i="12"/>
  <c r="AS247" i="12"/>
  <c r="R248" i="12"/>
  <c r="S248" i="12"/>
  <c r="Z248" i="12"/>
  <c r="AA248" i="12"/>
  <c r="AC248" i="12" s="1"/>
  <c r="AD248" i="12"/>
  <c r="AE248" i="12"/>
  <c r="AF248" i="12" s="1"/>
  <c r="AG248" i="12"/>
  <c r="AH248" i="12"/>
  <c r="AI248" i="12"/>
  <c r="AJ248" i="12" s="1"/>
  <c r="AK248" i="12"/>
  <c r="AO248" i="12" s="1"/>
  <c r="AL248" i="12"/>
  <c r="AN248" i="12"/>
  <c r="AP248" i="12"/>
  <c r="AS248" i="12"/>
  <c r="R249" i="12"/>
  <c r="S249" i="12"/>
  <c r="AR249" i="12" s="1"/>
  <c r="Z249" i="12"/>
  <c r="AA249" i="12"/>
  <c r="AD249" i="12"/>
  <c r="AE249" i="12"/>
  <c r="AF249" i="12" s="1"/>
  <c r="AG249" i="12"/>
  <c r="AH249" i="12"/>
  <c r="AI249" i="12"/>
  <c r="AJ249" i="12" s="1"/>
  <c r="AK249" i="12"/>
  <c r="AO249" i="12" s="1"/>
  <c r="AL249" i="12"/>
  <c r="AP249" i="12"/>
  <c r="AQ249" i="12"/>
  <c r="AS249" i="12"/>
  <c r="R250" i="12"/>
  <c r="S250" i="12"/>
  <c r="AR250" i="12" s="1"/>
  <c r="Z250" i="12"/>
  <c r="AA250" i="12"/>
  <c r="AD250" i="12"/>
  <c r="AE250" i="12"/>
  <c r="AF250" i="12" s="1"/>
  <c r="AG250" i="12"/>
  <c r="AH250" i="12"/>
  <c r="AI250" i="12"/>
  <c r="AJ250" i="12" s="1"/>
  <c r="AK250" i="12"/>
  <c r="AL250" i="12"/>
  <c r="AP250" i="12"/>
  <c r="AS250" i="12"/>
  <c r="R251" i="12"/>
  <c r="S251" i="12"/>
  <c r="Z251" i="12"/>
  <c r="AA251" i="12"/>
  <c r="AD251" i="12"/>
  <c r="AE251" i="12"/>
  <c r="AF251" i="12" s="1"/>
  <c r="AG251" i="12"/>
  <c r="AH251" i="12"/>
  <c r="AI251" i="12"/>
  <c r="AJ251" i="12" s="1"/>
  <c r="AK251" i="12"/>
  <c r="AN251" i="12" s="1"/>
  <c r="AL251" i="12"/>
  <c r="AP251" i="12"/>
  <c r="AS251" i="12"/>
  <c r="R252" i="12"/>
  <c r="S252" i="12"/>
  <c r="Z252" i="12"/>
  <c r="AA252" i="12"/>
  <c r="AC252" i="12" s="1"/>
  <c r="AD252" i="12"/>
  <c r="AE252" i="12"/>
  <c r="AF252" i="12" s="1"/>
  <c r="AG252" i="12"/>
  <c r="AH252" i="12"/>
  <c r="AI252" i="12"/>
  <c r="AJ252" i="12" s="1"/>
  <c r="AK252" i="12"/>
  <c r="AO252" i="12" s="1"/>
  <c r="AL252" i="12"/>
  <c r="AN252" i="12"/>
  <c r="AP252" i="12"/>
  <c r="AS252" i="12"/>
  <c r="R253" i="12"/>
  <c r="S253" i="12"/>
  <c r="Z253" i="12"/>
  <c r="AA253" i="12"/>
  <c r="AD253" i="12"/>
  <c r="AE253" i="12"/>
  <c r="AF253" i="12" s="1"/>
  <c r="AG253" i="12"/>
  <c r="AH253" i="12"/>
  <c r="AI253" i="12"/>
  <c r="AJ253" i="12" s="1"/>
  <c r="AK253" i="12"/>
  <c r="AO253" i="12" s="1"/>
  <c r="AL253" i="12"/>
  <c r="AN253" i="12"/>
  <c r="AP253" i="12"/>
  <c r="AQ253" i="12"/>
  <c r="AR253" i="12"/>
  <c r="AS253" i="12"/>
  <c r="R254" i="12"/>
  <c r="S254" i="12"/>
  <c r="AR254" i="12" s="1"/>
  <c r="Z254" i="12"/>
  <c r="AA254" i="12"/>
  <c r="AB254" i="12" s="1"/>
  <c r="AD254" i="12"/>
  <c r="AE254" i="12"/>
  <c r="AF254" i="12"/>
  <c r="AG254" i="12"/>
  <c r="AH254" i="12"/>
  <c r="AI254" i="12"/>
  <c r="AJ254" i="12" s="1"/>
  <c r="AK254" i="12"/>
  <c r="AL254" i="12"/>
  <c r="AP254" i="12"/>
  <c r="AS254" i="12"/>
  <c r="R255" i="12"/>
  <c r="S255" i="12"/>
  <c r="Z255" i="12"/>
  <c r="AA255" i="12"/>
  <c r="AC255" i="12" s="1"/>
  <c r="AD255" i="12"/>
  <c r="AE255" i="12"/>
  <c r="AF255" i="12"/>
  <c r="AG255" i="12"/>
  <c r="AH255" i="12"/>
  <c r="AI255" i="12"/>
  <c r="AJ255" i="12" s="1"/>
  <c r="AK255" i="12"/>
  <c r="AN255" i="12" s="1"/>
  <c r="AL255" i="12"/>
  <c r="AP255" i="12"/>
  <c r="AS255" i="12"/>
  <c r="R256" i="12"/>
  <c r="S256" i="12"/>
  <c r="Z256" i="12"/>
  <c r="AA256" i="12"/>
  <c r="AC256" i="12" s="1"/>
  <c r="AD256" i="12"/>
  <c r="AE256" i="12"/>
  <c r="AF256" i="12"/>
  <c r="AG256" i="12"/>
  <c r="AH256" i="12"/>
  <c r="AI256" i="12"/>
  <c r="AJ256" i="12" s="1"/>
  <c r="AK256" i="12"/>
  <c r="AO256" i="12" s="1"/>
  <c r="AL256" i="12"/>
  <c r="AP256" i="12"/>
  <c r="AQ256" i="12"/>
  <c r="AR256" i="12"/>
  <c r="AS256" i="12"/>
  <c r="R257" i="12"/>
  <c r="S257" i="12"/>
  <c r="Z257" i="12"/>
  <c r="AA257" i="12"/>
  <c r="AD257" i="12"/>
  <c r="AE257" i="12"/>
  <c r="AF257" i="12" s="1"/>
  <c r="AG257" i="12"/>
  <c r="AH257" i="12"/>
  <c r="AI257" i="12"/>
  <c r="AJ257" i="12" s="1"/>
  <c r="AK257" i="12"/>
  <c r="AO257" i="12" s="1"/>
  <c r="AL257" i="12"/>
  <c r="AP257" i="12"/>
  <c r="AQ257" i="12"/>
  <c r="AR257" i="12"/>
  <c r="AS257" i="12"/>
  <c r="R258" i="12"/>
  <c r="S258" i="12"/>
  <c r="AR258" i="12" s="1"/>
  <c r="Z258" i="12"/>
  <c r="AA258" i="12"/>
  <c r="AD258" i="12"/>
  <c r="AE258" i="12"/>
  <c r="AF258" i="12" s="1"/>
  <c r="AG258" i="12"/>
  <c r="AH258" i="12"/>
  <c r="AI258" i="12"/>
  <c r="AJ258" i="12" s="1"/>
  <c r="AK258" i="12"/>
  <c r="AL258" i="12"/>
  <c r="AP258" i="12"/>
  <c r="AS258" i="12"/>
  <c r="R259" i="12"/>
  <c r="S259" i="12"/>
  <c r="Z259" i="12"/>
  <c r="AA259" i="12"/>
  <c r="AB259" i="12" s="1"/>
  <c r="AD259" i="12"/>
  <c r="AE259" i="12"/>
  <c r="AF259" i="12" s="1"/>
  <c r="AG259" i="12"/>
  <c r="AH259" i="12"/>
  <c r="AI259" i="12"/>
  <c r="AJ259" i="12" s="1"/>
  <c r="AK259" i="12"/>
  <c r="AN259" i="12" s="1"/>
  <c r="AL259" i="12"/>
  <c r="AP259" i="12"/>
  <c r="AS259" i="12"/>
  <c r="R260" i="12"/>
  <c r="S260" i="12"/>
  <c r="AQ260" i="12" s="1"/>
  <c r="Z260" i="12"/>
  <c r="AA260" i="12"/>
  <c r="AC260" i="12" s="1"/>
  <c r="AD260" i="12"/>
  <c r="AE260" i="12"/>
  <c r="AF260" i="12" s="1"/>
  <c r="AG260" i="12"/>
  <c r="AH260" i="12"/>
  <c r="AI260" i="12"/>
  <c r="AJ260" i="12" s="1"/>
  <c r="AK260" i="12"/>
  <c r="AO260" i="12" s="1"/>
  <c r="AL260" i="12"/>
  <c r="AP260" i="12"/>
  <c r="AS260" i="12"/>
  <c r="R261" i="12"/>
  <c r="S261" i="12"/>
  <c r="AR261" i="12" s="1"/>
  <c r="Z261" i="12"/>
  <c r="AA261" i="12"/>
  <c r="AD261" i="12"/>
  <c r="AE261" i="12"/>
  <c r="AF261" i="12" s="1"/>
  <c r="AG261" i="12"/>
  <c r="AH261" i="12"/>
  <c r="AI261" i="12"/>
  <c r="AJ261" i="12" s="1"/>
  <c r="AK261" i="12"/>
  <c r="AO261" i="12" s="1"/>
  <c r="AL261" i="12"/>
  <c r="AN261" i="12"/>
  <c r="AP261" i="12"/>
  <c r="AQ261" i="12"/>
  <c r="AS261" i="12"/>
  <c r="R262" i="12"/>
  <c r="S262" i="12"/>
  <c r="AR262" i="12" s="1"/>
  <c r="Z262" i="12"/>
  <c r="AA262" i="12"/>
  <c r="AD262" i="12"/>
  <c r="AE262" i="12"/>
  <c r="AF262" i="12" s="1"/>
  <c r="AG262" i="12"/>
  <c r="AH262" i="12"/>
  <c r="AI262" i="12"/>
  <c r="AJ262" i="12" s="1"/>
  <c r="AK262" i="12"/>
  <c r="AL262" i="12"/>
  <c r="AP262" i="12"/>
  <c r="AS262" i="12"/>
  <c r="R263" i="12"/>
  <c r="S263" i="12"/>
  <c r="Z263" i="12"/>
  <c r="AA263" i="12"/>
  <c r="AD263" i="12"/>
  <c r="AE263" i="12"/>
  <c r="AF263" i="12" s="1"/>
  <c r="AG263" i="12"/>
  <c r="AH263" i="12"/>
  <c r="AI263" i="12"/>
  <c r="AJ263" i="12" s="1"/>
  <c r="AK263" i="12"/>
  <c r="AN263" i="12" s="1"/>
  <c r="AL263" i="12"/>
  <c r="AP263" i="12"/>
  <c r="AS263" i="12"/>
  <c r="R264" i="12"/>
  <c r="S264" i="12"/>
  <c r="AQ264" i="12" s="1"/>
  <c r="Z264" i="12"/>
  <c r="AA264" i="12"/>
  <c r="AC264" i="12" s="1"/>
  <c r="AD264" i="12"/>
  <c r="AE264" i="12"/>
  <c r="AF264" i="12" s="1"/>
  <c r="AG264" i="12"/>
  <c r="AH264" i="12"/>
  <c r="AI264" i="12"/>
  <c r="AJ264" i="12" s="1"/>
  <c r="AK264" i="12"/>
  <c r="AN264" i="12" s="1"/>
  <c r="AL264" i="12"/>
  <c r="AO264" i="12"/>
  <c r="AP264" i="12"/>
  <c r="AS264" i="12"/>
  <c r="R265" i="12"/>
  <c r="S265" i="12"/>
  <c r="AR265" i="12" s="1"/>
  <c r="Z265" i="12"/>
  <c r="AA265" i="12"/>
  <c r="AD265" i="12"/>
  <c r="AE265" i="12"/>
  <c r="AF265" i="12" s="1"/>
  <c r="AG265" i="12"/>
  <c r="AH265" i="12"/>
  <c r="AI265" i="12"/>
  <c r="AJ265" i="12" s="1"/>
  <c r="AK265" i="12"/>
  <c r="AO265" i="12" s="1"/>
  <c r="AL265" i="12"/>
  <c r="AN265" i="12"/>
  <c r="AP265" i="12"/>
  <c r="AQ265" i="12"/>
  <c r="AS265" i="12"/>
  <c r="R266" i="12"/>
  <c r="S266" i="12"/>
  <c r="AR266" i="12" s="1"/>
  <c r="Z266" i="12"/>
  <c r="AA266" i="12"/>
  <c r="AC266" i="12" s="1"/>
  <c r="AD266" i="12"/>
  <c r="AE266" i="12"/>
  <c r="AF266" i="12" s="1"/>
  <c r="AG266" i="12"/>
  <c r="AH266" i="12"/>
  <c r="AI266" i="12"/>
  <c r="AJ266" i="12" s="1"/>
  <c r="AK266" i="12"/>
  <c r="AL266" i="12"/>
  <c r="AP266" i="12"/>
  <c r="AS266" i="12"/>
  <c r="R267" i="12"/>
  <c r="S267" i="12"/>
  <c r="Z267" i="12"/>
  <c r="AA267" i="12"/>
  <c r="AB267" i="12" s="1"/>
  <c r="AD267" i="12"/>
  <c r="AE267" i="12"/>
  <c r="AF267" i="12" s="1"/>
  <c r="AG267" i="12"/>
  <c r="AH267" i="12"/>
  <c r="AI267" i="12"/>
  <c r="AJ267" i="12" s="1"/>
  <c r="AK267" i="12"/>
  <c r="AN267" i="12" s="1"/>
  <c r="AL267" i="12"/>
  <c r="AP267" i="12"/>
  <c r="AS267" i="12"/>
  <c r="R268" i="12"/>
  <c r="S268" i="12"/>
  <c r="AQ268" i="12" s="1"/>
  <c r="Z268" i="12"/>
  <c r="AA268" i="12"/>
  <c r="AC268" i="12" s="1"/>
  <c r="AD268" i="12"/>
  <c r="AE268" i="12"/>
  <c r="AF268" i="12"/>
  <c r="AG268" i="12"/>
  <c r="AH268" i="12"/>
  <c r="AI268" i="12"/>
  <c r="AJ268" i="12" s="1"/>
  <c r="AK268" i="12"/>
  <c r="AO268" i="12" s="1"/>
  <c r="AL268" i="12"/>
  <c r="AP268" i="12"/>
  <c r="AR268" i="12"/>
  <c r="AS268" i="12"/>
  <c r="R269" i="12"/>
  <c r="S269" i="12"/>
  <c r="Z269" i="12"/>
  <c r="AA269" i="12"/>
  <c r="AD269" i="12"/>
  <c r="AE269" i="12"/>
  <c r="AF269" i="12" s="1"/>
  <c r="AG269" i="12"/>
  <c r="AH269" i="12"/>
  <c r="AI269" i="12"/>
  <c r="AJ269" i="12" s="1"/>
  <c r="AK269" i="12"/>
  <c r="AO269" i="12" s="1"/>
  <c r="AL269" i="12"/>
  <c r="AP269" i="12"/>
  <c r="AS269" i="12"/>
  <c r="R270" i="12"/>
  <c r="S270" i="12"/>
  <c r="AR270" i="12" s="1"/>
  <c r="Z270" i="12"/>
  <c r="AA270" i="12"/>
  <c r="AB270" i="12" s="1"/>
  <c r="AD270" i="12"/>
  <c r="AE270" i="12"/>
  <c r="AF270" i="12" s="1"/>
  <c r="AG270" i="12"/>
  <c r="AH270" i="12"/>
  <c r="AI270" i="12"/>
  <c r="AJ270" i="12" s="1"/>
  <c r="AK270" i="12"/>
  <c r="AL270" i="12"/>
  <c r="AP270" i="12"/>
  <c r="AS270" i="12"/>
  <c r="R271" i="12"/>
  <c r="S271" i="12"/>
  <c r="Z271" i="12"/>
  <c r="AA271" i="12"/>
  <c r="AC271" i="12" s="1"/>
  <c r="AD271" i="12"/>
  <c r="AE271" i="12"/>
  <c r="AF271" i="12" s="1"/>
  <c r="AG271" i="12"/>
  <c r="AH271" i="12"/>
  <c r="AI271" i="12"/>
  <c r="AJ271" i="12" s="1"/>
  <c r="AK271" i="12"/>
  <c r="AN271" i="12" s="1"/>
  <c r="AL271" i="12"/>
  <c r="AP271" i="12"/>
  <c r="AS271" i="12"/>
  <c r="R272" i="12"/>
  <c r="S272" i="12"/>
  <c r="AQ272" i="12" s="1"/>
  <c r="Z272" i="12"/>
  <c r="AA272" i="12"/>
  <c r="AC272" i="12" s="1"/>
  <c r="AD272" i="12"/>
  <c r="AE272" i="12"/>
  <c r="AF272" i="12" s="1"/>
  <c r="AG272" i="12"/>
  <c r="AH272" i="12"/>
  <c r="AI272" i="12"/>
  <c r="AJ272" i="12" s="1"/>
  <c r="AK272" i="12"/>
  <c r="AO272" i="12" s="1"/>
  <c r="AL272" i="12"/>
  <c r="AP272" i="12"/>
  <c r="AS272" i="12"/>
  <c r="R273" i="12"/>
  <c r="S273" i="12"/>
  <c r="Z273" i="12"/>
  <c r="AA273" i="12"/>
  <c r="AD273" i="12"/>
  <c r="AE273" i="12"/>
  <c r="AF273" i="12" s="1"/>
  <c r="AG273" i="12"/>
  <c r="AH273" i="12"/>
  <c r="AI273" i="12"/>
  <c r="AJ273" i="12" s="1"/>
  <c r="AK273" i="12"/>
  <c r="AO273" i="12" s="1"/>
  <c r="AL273" i="12"/>
  <c r="AN273" i="12"/>
  <c r="AP273" i="12"/>
  <c r="AQ273" i="12"/>
  <c r="AR273" i="12"/>
  <c r="AS273" i="12"/>
  <c r="R274" i="12"/>
  <c r="S274" i="12"/>
  <c r="AR274" i="12" s="1"/>
  <c r="Z274" i="12"/>
  <c r="AA274" i="12"/>
  <c r="AD274" i="12"/>
  <c r="AE274" i="12"/>
  <c r="AF274" i="12" s="1"/>
  <c r="AG274" i="12"/>
  <c r="AH274" i="12"/>
  <c r="AI274" i="12"/>
  <c r="AJ274" i="12" s="1"/>
  <c r="AK274" i="12"/>
  <c r="AL274" i="12"/>
  <c r="AP274" i="12"/>
  <c r="AS274" i="12"/>
  <c r="R275" i="12"/>
  <c r="S275" i="12"/>
  <c r="Z275" i="12"/>
  <c r="AA275" i="12"/>
  <c r="AD275" i="12"/>
  <c r="AE275" i="12"/>
  <c r="AF275" i="12" s="1"/>
  <c r="AG275" i="12"/>
  <c r="AH275" i="12"/>
  <c r="AI275" i="12"/>
  <c r="AJ275" i="12" s="1"/>
  <c r="AK275" i="12"/>
  <c r="AN275" i="12" s="1"/>
  <c r="AL275" i="12"/>
  <c r="AP275" i="12"/>
  <c r="AS275" i="12"/>
  <c r="R276" i="12"/>
  <c r="S276" i="12"/>
  <c r="Z276" i="12"/>
  <c r="AA276" i="12"/>
  <c r="AC276" i="12" s="1"/>
  <c r="AD276" i="12"/>
  <c r="AE276" i="12"/>
  <c r="AF276" i="12" s="1"/>
  <c r="AG276" i="12"/>
  <c r="AH276" i="12"/>
  <c r="AI276" i="12"/>
  <c r="AJ276" i="12" s="1"/>
  <c r="AK276" i="12"/>
  <c r="AO276" i="12" s="1"/>
  <c r="AL276" i="12"/>
  <c r="AP276" i="12"/>
  <c r="AS276" i="12"/>
  <c r="R277" i="12"/>
  <c r="S277" i="12"/>
  <c r="AR277" i="12" s="1"/>
  <c r="Z277" i="12"/>
  <c r="AA277" i="12"/>
  <c r="AD277" i="12"/>
  <c r="AE277" i="12"/>
  <c r="AF277" i="12" s="1"/>
  <c r="AG277" i="12"/>
  <c r="AH277" i="12"/>
  <c r="AI277" i="12"/>
  <c r="AJ277" i="12" s="1"/>
  <c r="AK277" i="12"/>
  <c r="AO277" i="12" s="1"/>
  <c r="AL277" i="12"/>
  <c r="AN277" i="12"/>
  <c r="AP277" i="12"/>
  <c r="AQ277" i="12"/>
  <c r="AS277" i="12"/>
  <c r="R278" i="12"/>
  <c r="S278" i="12"/>
  <c r="AR278" i="12" s="1"/>
  <c r="Z278" i="12"/>
  <c r="AA278" i="12"/>
  <c r="AD278" i="12"/>
  <c r="AE278" i="12"/>
  <c r="AF278" i="12"/>
  <c r="AG278" i="12"/>
  <c r="AH278" i="12"/>
  <c r="AI278" i="12"/>
  <c r="AJ278" i="12" s="1"/>
  <c r="AK278" i="12"/>
  <c r="AL278" i="12"/>
  <c r="AP278" i="12"/>
  <c r="AS278" i="12"/>
  <c r="R279" i="12"/>
  <c r="S279" i="12"/>
  <c r="Z279" i="12"/>
  <c r="AA279" i="12"/>
  <c r="AC279" i="12" s="1"/>
  <c r="AD279" i="12"/>
  <c r="AE279" i="12"/>
  <c r="AF279" i="12" s="1"/>
  <c r="AG279" i="12"/>
  <c r="AH279" i="12"/>
  <c r="AI279" i="12"/>
  <c r="AJ279" i="12" s="1"/>
  <c r="AK279" i="12"/>
  <c r="AN279" i="12" s="1"/>
  <c r="AL279" i="12"/>
  <c r="AP279" i="12"/>
  <c r="AS279" i="12"/>
  <c r="R280" i="12"/>
  <c r="S280" i="12"/>
  <c r="Z280" i="12"/>
  <c r="AA280" i="12"/>
  <c r="AC280" i="12" s="1"/>
  <c r="AD280" i="12"/>
  <c r="AE280" i="12"/>
  <c r="AF280" i="12" s="1"/>
  <c r="AG280" i="12"/>
  <c r="AH280" i="12"/>
  <c r="AI280" i="12"/>
  <c r="AJ280" i="12" s="1"/>
  <c r="AK280" i="12"/>
  <c r="AN280" i="12" s="1"/>
  <c r="AL280" i="12"/>
  <c r="AO280" i="12"/>
  <c r="AP280" i="12"/>
  <c r="AS280" i="12"/>
  <c r="R281" i="12"/>
  <c r="S281" i="12"/>
  <c r="AR281" i="12" s="1"/>
  <c r="Z281" i="12"/>
  <c r="AA281" i="12"/>
  <c r="AD281" i="12"/>
  <c r="AE281" i="12"/>
  <c r="AF281" i="12" s="1"/>
  <c r="AG281" i="12"/>
  <c r="AH281" i="12"/>
  <c r="AI281" i="12"/>
  <c r="AJ281" i="12" s="1"/>
  <c r="AK281" i="12"/>
  <c r="AO281" i="12" s="1"/>
  <c r="AL281" i="12"/>
  <c r="AN281" i="12"/>
  <c r="AP281" i="12"/>
  <c r="AQ281" i="12"/>
  <c r="AS281" i="12"/>
  <c r="R282" i="12"/>
  <c r="S282" i="12"/>
  <c r="AR282" i="12" s="1"/>
  <c r="Z282" i="12"/>
  <c r="AA282" i="12"/>
  <c r="AD282" i="12"/>
  <c r="AE282" i="12"/>
  <c r="AF282" i="12" s="1"/>
  <c r="AG282" i="12"/>
  <c r="AH282" i="12"/>
  <c r="AI282" i="12"/>
  <c r="AJ282" i="12" s="1"/>
  <c r="AK282" i="12"/>
  <c r="AL282" i="12"/>
  <c r="AP282" i="12"/>
  <c r="AS282" i="12"/>
  <c r="R283" i="12"/>
  <c r="S283" i="12"/>
  <c r="Z283" i="12"/>
  <c r="AA283" i="12"/>
  <c r="AD283" i="12"/>
  <c r="AE283" i="12"/>
  <c r="AF283" i="12" s="1"/>
  <c r="AG283" i="12"/>
  <c r="AH283" i="12"/>
  <c r="AI283" i="12"/>
  <c r="AJ283" i="12" s="1"/>
  <c r="AK283" i="12"/>
  <c r="AN283" i="12" s="1"/>
  <c r="AL283" i="12"/>
  <c r="AP283" i="12"/>
  <c r="AS283" i="12"/>
  <c r="R284" i="12"/>
  <c r="S284" i="12"/>
  <c r="AQ284" i="12" s="1"/>
  <c r="Z284" i="12"/>
  <c r="AA284" i="12"/>
  <c r="AC284" i="12" s="1"/>
  <c r="AD284" i="12"/>
  <c r="AE284" i="12"/>
  <c r="AF284" i="12" s="1"/>
  <c r="AG284" i="12"/>
  <c r="AH284" i="12"/>
  <c r="AI284" i="12"/>
  <c r="AJ284" i="12" s="1"/>
  <c r="AK284" i="12"/>
  <c r="AO284" i="12" s="1"/>
  <c r="AL284" i="12"/>
  <c r="AP284" i="12"/>
  <c r="AS284" i="12"/>
  <c r="R285" i="12"/>
  <c r="S285" i="12"/>
  <c r="AR285" i="12" s="1"/>
  <c r="Z285" i="12"/>
  <c r="AA285" i="12"/>
  <c r="AD285" i="12"/>
  <c r="AE285" i="12"/>
  <c r="AF285" i="12" s="1"/>
  <c r="AG285" i="12"/>
  <c r="AH285" i="12"/>
  <c r="AI285" i="12"/>
  <c r="AJ285" i="12" s="1"/>
  <c r="AK285" i="12"/>
  <c r="AO285" i="12" s="1"/>
  <c r="AL285" i="12"/>
  <c r="AN285" i="12"/>
  <c r="AP285" i="12"/>
  <c r="AQ285" i="12"/>
  <c r="AS285" i="12"/>
  <c r="R286" i="12"/>
  <c r="S286" i="12"/>
  <c r="AR286" i="12" s="1"/>
  <c r="Z286" i="12"/>
  <c r="AA286" i="12"/>
  <c r="AD286" i="12"/>
  <c r="AE286" i="12"/>
  <c r="AF286" i="12" s="1"/>
  <c r="AG286" i="12"/>
  <c r="AH286" i="12"/>
  <c r="AI286" i="12"/>
  <c r="AJ286" i="12" s="1"/>
  <c r="AK286" i="12"/>
  <c r="AL286" i="12"/>
  <c r="AP286" i="12"/>
  <c r="AS286" i="12"/>
  <c r="R287" i="12"/>
  <c r="S287" i="12"/>
  <c r="Z287" i="12"/>
  <c r="AA287" i="12"/>
  <c r="AD287" i="12"/>
  <c r="AE287" i="12"/>
  <c r="AF287" i="12" s="1"/>
  <c r="AG287" i="12"/>
  <c r="AH287" i="12"/>
  <c r="AI287" i="12"/>
  <c r="AJ287" i="12" s="1"/>
  <c r="AK287" i="12"/>
  <c r="AN287" i="12" s="1"/>
  <c r="AL287" i="12"/>
  <c r="AP287" i="12"/>
  <c r="AS287" i="12"/>
  <c r="R288" i="12"/>
  <c r="S288" i="12"/>
  <c r="AQ288" i="12" s="1"/>
  <c r="Z288" i="12"/>
  <c r="AA288" i="12"/>
  <c r="AC288" i="12" s="1"/>
  <c r="AD288" i="12"/>
  <c r="AE288" i="12"/>
  <c r="AF288" i="12" s="1"/>
  <c r="AG288" i="12"/>
  <c r="AH288" i="12"/>
  <c r="AI288" i="12"/>
  <c r="AJ288" i="12" s="1"/>
  <c r="AK288" i="12"/>
  <c r="AO288" i="12" s="1"/>
  <c r="AL288" i="12"/>
  <c r="AN288" i="12"/>
  <c r="AP288" i="12"/>
  <c r="AR288" i="12"/>
  <c r="AS288" i="12"/>
  <c r="R289" i="12"/>
  <c r="S289" i="12"/>
  <c r="Z289" i="12"/>
  <c r="AA289" i="12"/>
  <c r="AD289" i="12"/>
  <c r="AE289" i="12"/>
  <c r="AF289" i="12" s="1"/>
  <c r="AG289" i="12"/>
  <c r="AH289" i="12"/>
  <c r="AI289" i="12"/>
  <c r="AJ289" i="12" s="1"/>
  <c r="AK289" i="12"/>
  <c r="AO289" i="12" s="1"/>
  <c r="AL289" i="12"/>
  <c r="AP289" i="12"/>
  <c r="AQ289" i="12"/>
  <c r="AR289" i="12"/>
  <c r="AS289" i="12"/>
  <c r="R290" i="12"/>
  <c r="S290" i="12"/>
  <c r="AR290" i="12" s="1"/>
  <c r="Z290" i="12"/>
  <c r="AA290" i="12"/>
  <c r="AC290" i="12" s="1"/>
  <c r="AD290" i="12"/>
  <c r="AE290" i="12"/>
  <c r="AF290" i="12" s="1"/>
  <c r="AG290" i="12"/>
  <c r="AH290" i="12"/>
  <c r="AI290" i="12"/>
  <c r="AJ290" i="12" s="1"/>
  <c r="AK290" i="12"/>
  <c r="AL290" i="12"/>
  <c r="AP290" i="12"/>
  <c r="AS290" i="12"/>
  <c r="R291" i="12"/>
  <c r="S291" i="12"/>
  <c r="Z291" i="12"/>
  <c r="AA291" i="12"/>
  <c r="AD291" i="12"/>
  <c r="AE291" i="12"/>
  <c r="AF291" i="12" s="1"/>
  <c r="AG291" i="12"/>
  <c r="AH291" i="12"/>
  <c r="AI291" i="12"/>
  <c r="AJ291" i="12" s="1"/>
  <c r="AK291" i="12"/>
  <c r="AN291" i="12" s="1"/>
  <c r="AL291" i="12"/>
  <c r="AP291" i="12"/>
  <c r="AS291" i="12"/>
  <c r="R292" i="12"/>
  <c r="S292" i="12"/>
  <c r="Z292" i="12"/>
  <c r="AA292" i="12"/>
  <c r="AC292" i="12" s="1"/>
  <c r="AD292" i="12"/>
  <c r="AE292" i="12"/>
  <c r="AF292" i="12" s="1"/>
  <c r="AG292" i="12"/>
  <c r="AH292" i="12"/>
  <c r="AI292" i="12"/>
  <c r="AJ292" i="12" s="1"/>
  <c r="AK292" i="12"/>
  <c r="AO292" i="12" s="1"/>
  <c r="AL292" i="12"/>
  <c r="AN292" i="12"/>
  <c r="AP292" i="12"/>
  <c r="AS292" i="12"/>
  <c r="R293" i="12"/>
  <c r="S293" i="12"/>
  <c r="Z293" i="12"/>
  <c r="AA293" i="12"/>
  <c r="AD293" i="12"/>
  <c r="AE293" i="12"/>
  <c r="AF293" i="12" s="1"/>
  <c r="AG293" i="12"/>
  <c r="AH293" i="12"/>
  <c r="AI293" i="12"/>
  <c r="AJ293" i="12" s="1"/>
  <c r="AK293" i="12"/>
  <c r="AO293" i="12" s="1"/>
  <c r="AL293" i="12"/>
  <c r="AP293" i="12"/>
  <c r="AQ293" i="12"/>
  <c r="AR293" i="12"/>
  <c r="AS293" i="12"/>
  <c r="R294" i="12"/>
  <c r="S294" i="12"/>
  <c r="AR294" i="12" s="1"/>
  <c r="Z294" i="12"/>
  <c r="AA294" i="12"/>
  <c r="AC294" i="12" s="1"/>
  <c r="AD294" i="12"/>
  <c r="AE294" i="12"/>
  <c r="AF294" i="12" s="1"/>
  <c r="AG294" i="12"/>
  <c r="AH294" i="12"/>
  <c r="AI294" i="12"/>
  <c r="AJ294" i="12" s="1"/>
  <c r="AK294" i="12"/>
  <c r="AL294" i="12"/>
  <c r="AP294" i="12"/>
  <c r="AS294" i="12"/>
  <c r="R295" i="12"/>
  <c r="S295" i="12"/>
  <c r="Z295" i="12"/>
  <c r="AA295" i="12"/>
  <c r="AD295" i="12"/>
  <c r="AE295" i="12"/>
  <c r="AF295" i="12" s="1"/>
  <c r="AG295" i="12"/>
  <c r="AH295" i="12"/>
  <c r="AI295" i="12"/>
  <c r="AJ295" i="12" s="1"/>
  <c r="AK295" i="12"/>
  <c r="AN295" i="12" s="1"/>
  <c r="AL295" i="12"/>
  <c r="AP295" i="12"/>
  <c r="AS295" i="12"/>
  <c r="R296" i="12"/>
  <c r="S296" i="12"/>
  <c r="AR296" i="12" s="1"/>
  <c r="Z296" i="12"/>
  <c r="AA296" i="12"/>
  <c r="AC296" i="12" s="1"/>
  <c r="AD296" i="12"/>
  <c r="AE296" i="12"/>
  <c r="AF296" i="12" s="1"/>
  <c r="AG296" i="12"/>
  <c r="AH296" i="12"/>
  <c r="AI296" i="12"/>
  <c r="AJ296" i="12" s="1"/>
  <c r="AK296" i="12"/>
  <c r="AN296" i="12" s="1"/>
  <c r="AL296" i="12"/>
  <c r="AO296" i="12"/>
  <c r="AP296" i="12"/>
  <c r="AS296" i="12"/>
  <c r="R297" i="12"/>
  <c r="S297" i="12"/>
  <c r="AR297" i="12" s="1"/>
  <c r="Z297" i="12"/>
  <c r="AA297" i="12"/>
  <c r="AD297" i="12"/>
  <c r="AE297" i="12"/>
  <c r="AF297" i="12" s="1"/>
  <c r="AG297" i="12"/>
  <c r="AH297" i="12"/>
  <c r="AI297" i="12"/>
  <c r="AJ297" i="12" s="1"/>
  <c r="AK297" i="12"/>
  <c r="AO297" i="12" s="1"/>
  <c r="AL297" i="12"/>
  <c r="AN297" i="12"/>
  <c r="AP297" i="12"/>
  <c r="AQ297" i="12"/>
  <c r="AS297" i="12"/>
  <c r="R298" i="12"/>
  <c r="S298" i="12"/>
  <c r="AR298" i="12" s="1"/>
  <c r="Z298" i="12"/>
  <c r="AA298" i="12"/>
  <c r="AD298" i="12"/>
  <c r="AE298" i="12"/>
  <c r="AF298" i="12" s="1"/>
  <c r="AG298" i="12"/>
  <c r="AH298" i="12"/>
  <c r="AI298" i="12"/>
  <c r="AJ298" i="12" s="1"/>
  <c r="AK298" i="12"/>
  <c r="AL298" i="12"/>
  <c r="AP298" i="12"/>
  <c r="AS298" i="12"/>
  <c r="R299" i="12"/>
  <c r="S299" i="12"/>
  <c r="Z299" i="12"/>
  <c r="AA299" i="12"/>
  <c r="AD299" i="12"/>
  <c r="AE299" i="12"/>
  <c r="AF299" i="12" s="1"/>
  <c r="AG299" i="12"/>
  <c r="AH299" i="12"/>
  <c r="AI299" i="12"/>
  <c r="AJ299" i="12" s="1"/>
  <c r="AK299" i="12"/>
  <c r="AN299" i="12" s="1"/>
  <c r="AL299" i="12"/>
  <c r="AP299" i="12"/>
  <c r="AS299" i="12"/>
  <c r="R300" i="12"/>
  <c r="S300" i="12"/>
  <c r="AR300" i="12" s="1"/>
  <c r="Z300" i="12"/>
  <c r="AA300" i="12"/>
  <c r="AC300" i="12" s="1"/>
  <c r="AD300" i="12"/>
  <c r="AE300" i="12"/>
  <c r="AF300" i="12" s="1"/>
  <c r="AG300" i="12"/>
  <c r="AH300" i="12"/>
  <c r="AI300" i="12"/>
  <c r="AJ300" i="12" s="1"/>
  <c r="AK300" i="12"/>
  <c r="AL300" i="12"/>
  <c r="AN300" i="12"/>
  <c r="AO300" i="12"/>
  <c r="AP300" i="12"/>
  <c r="AQ300" i="12"/>
  <c r="AS300" i="12"/>
  <c r="R301" i="12"/>
  <c r="S301" i="12"/>
  <c r="AR301" i="12" s="1"/>
  <c r="Z301" i="12"/>
  <c r="AA301" i="12"/>
  <c r="AD301" i="12"/>
  <c r="AE301" i="12"/>
  <c r="AF301" i="12" s="1"/>
  <c r="AG301" i="12"/>
  <c r="AH301" i="12"/>
  <c r="AI301" i="12"/>
  <c r="AJ301" i="12" s="1"/>
  <c r="AK301" i="12"/>
  <c r="AO301" i="12" s="1"/>
  <c r="AL301" i="12"/>
  <c r="AN301" i="12"/>
  <c r="AP301" i="12"/>
  <c r="AQ301" i="12"/>
  <c r="AS301" i="12"/>
  <c r="R302" i="12"/>
  <c r="S302" i="12"/>
  <c r="AR302" i="12" s="1"/>
  <c r="Z302" i="12"/>
  <c r="AA302" i="12"/>
  <c r="AD302" i="12"/>
  <c r="AE302" i="12"/>
  <c r="AF302" i="12" s="1"/>
  <c r="AG302" i="12"/>
  <c r="AH302" i="12"/>
  <c r="AI302" i="12"/>
  <c r="AJ302" i="12" s="1"/>
  <c r="AK302" i="12"/>
  <c r="AL302" i="12"/>
  <c r="AP302" i="12"/>
  <c r="AS302" i="12"/>
  <c r="R303" i="12"/>
  <c r="S303" i="12"/>
  <c r="Z303" i="12"/>
  <c r="AA303" i="12"/>
  <c r="AD303" i="12"/>
  <c r="AE303" i="12"/>
  <c r="AF303" i="12" s="1"/>
  <c r="AG303" i="12"/>
  <c r="AH303" i="12"/>
  <c r="AI303" i="12"/>
  <c r="AJ303" i="12" s="1"/>
  <c r="AK303" i="12"/>
  <c r="AN303" i="12" s="1"/>
  <c r="AL303" i="12"/>
  <c r="AP303" i="12"/>
  <c r="AS303" i="12"/>
  <c r="R304" i="12"/>
  <c r="S304" i="12"/>
  <c r="AR304" i="12" s="1"/>
  <c r="Z304" i="12"/>
  <c r="AA304" i="12"/>
  <c r="AC304" i="12" s="1"/>
  <c r="AD304" i="12"/>
  <c r="AE304" i="12"/>
  <c r="AF304" i="12" s="1"/>
  <c r="AG304" i="12"/>
  <c r="AH304" i="12"/>
  <c r="AI304" i="12"/>
  <c r="AJ304" i="12" s="1"/>
  <c r="AK304" i="12"/>
  <c r="AO304" i="12" s="1"/>
  <c r="AL304" i="12"/>
  <c r="AN304" i="12"/>
  <c r="AP304" i="12"/>
  <c r="AS304" i="12"/>
  <c r="R305" i="12"/>
  <c r="S305" i="12"/>
  <c r="AR305" i="12" s="1"/>
  <c r="Z305" i="12"/>
  <c r="AA305" i="12"/>
  <c r="AD305" i="12"/>
  <c r="AE305" i="12"/>
  <c r="AF305" i="12" s="1"/>
  <c r="AG305" i="12"/>
  <c r="AH305" i="12"/>
  <c r="AI305" i="12"/>
  <c r="AJ305" i="12" s="1"/>
  <c r="AK305" i="12"/>
  <c r="AO305" i="12" s="1"/>
  <c r="AL305" i="12"/>
  <c r="AP305" i="12"/>
  <c r="AQ305" i="12"/>
  <c r="AS305" i="12"/>
  <c r="R306" i="12"/>
  <c r="S306" i="12"/>
  <c r="AR306" i="12" s="1"/>
  <c r="Z306" i="12"/>
  <c r="AA306" i="12"/>
  <c r="AB306" i="12" s="1"/>
  <c r="AD306" i="12"/>
  <c r="AE306" i="12"/>
  <c r="AF306" i="12" s="1"/>
  <c r="AG306" i="12"/>
  <c r="AH306" i="12"/>
  <c r="AI306" i="12"/>
  <c r="AJ306" i="12" s="1"/>
  <c r="AK306" i="12"/>
  <c r="AL306" i="12"/>
  <c r="AP306" i="12"/>
  <c r="AS306" i="12"/>
  <c r="R307" i="12"/>
  <c r="S307" i="12"/>
  <c r="Z307" i="12"/>
  <c r="AA307" i="12"/>
  <c r="AD307" i="12"/>
  <c r="AE307" i="12"/>
  <c r="AF307" i="12" s="1"/>
  <c r="AG307" i="12"/>
  <c r="AH307" i="12"/>
  <c r="AI307" i="12"/>
  <c r="AJ307" i="12" s="1"/>
  <c r="AK307" i="12"/>
  <c r="AN307" i="12" s="1"/>
  <c r="AL307" i="12"/>
  <c r="AP307" i="12"/>
  <c r="AS307" i="12"/>
  <c r="R308" i="12"/>
  <c r="S308" i="12"/>
  <c r="Z308" i="12"/>
  <c r="AA308" i="12"/>
  <c r="AC308" i="12" s="1"/>
  <c r="AD308" i="12"/>
  <c r="AE308" i="12"/>
  <c r="AF308" i="12" s="1"/>
  <c r="AG308" i="12"/>
  <c r="AH308" i="12"/>
  <c r="AI308" i="12"/>
  <c r="AJ308" i="12" s="1"/>
  <c r="AK308" i="12"/>
  <c r="AL308" i="12"/>
  <c r="AN308" i="12"/>
  <c r="AO308" i="12"/>
  <c r="AP308" i="12"/>
  <c r="AS308" i="12"/>
  <c r="R309" i="12"/>
  <c r="S309" i="12"/>
  <c r="Z309" i="12"/>
  <c r="AA309" i="12"/>
  <c r="AD309" i="12"/>
  <c r="AE309" i="12"/>
  <c r="AF309" i="12" s="1"/>
  <c r="AG309" i="12"/>
  <c r="AH309" i="12"/>
  <c r="AI309" i="12"/>
  <c r="AJ309" i="12" s="1"/>
  <c r="AK309" i="12"/>
  <c r="AO309" i="12" s="1"/>
  <c r="AL309" i="12"/>
  <c r="AP309" i="12"/>
  <c r="AS309" i="12"/>
  <c r="R310" i="12"/>
  <c r="S310" i="12"/>
  <c r="AR310" i="12" s="1"/>
  <c r="Z310" i="12"/>
  <c r="AA310" i="12"/>
  <c r="AD310" i="12"/>
  <c r="AE310" i="12"/>
  <c r="AF310" i="12" s="1"/>
  <c r="AG310" i="12"/>
  <c r="AH310" i="12"/>
  <c r="AI310" i="12"/>
  <c r="AJ310" i="12" s="1"/>
  <c r="AK310" i="12"/>
  <c r="AL310" i="12"/>
  <c r="AP310" i="12"/>
  <c r="AS310" i="12"/>
  <c r="R311" i="12"/>
  <c r="S311" i="12"/>
  <c r="Z311" i="12"/>
  <c r="AA311" i="12"/>
  <c r="AD311" i="12"/>
  <c r="AE311" i="12"/>
  <c r="AF311" i="12" s="1"/>
  <c r="AG311" i="12"/>
  <c r="AH311" i="12"/>
  <c r="AI311" i="12"/>
  <c r="AJ311" i="12" s="1"/>
  <c r="AK311" i="12"/>
  <c r="AN311" i="12" s="1"/>
  <c r="AL311" i="12"/>
  <c r="AP311" i="12"/>
  <c r="AS311" i="12"/>
  <c r="R312" i="12"/>
  <c r="S312" i="12"/>
  <c r="Z312" i="12"/>
  <c r="AA312" i="12"/>
  <c r="AC312" i="12" s="1"/>
  <c r="AD312" i="12"/>
  <c r="AE312" i="12"/>
  <c r="AF312" i="12" s="1"/>
  <c r="AG312" i="12"/>
  <c r="AH312" i="12"/>
  <c r="AI312" i="12"/>
  <c r="AJ312" i="12" s="1"/>
  <c r="AK312" i="12"/>
  <c r="AO312" i="12" s="1"/>
  <c r="AL312" i="12"/>
  <c r="AN312" i="12"/>
  <c r="AP312" i="12"/>
  <c r="AS312" i="12"/>
  <c r="R313" i="12"/>
  <c r="S313" i="12"/>
  <c r="Z313" i="12"/>
  <c r="AA313" i="12"/>
  <c r="AD313" i="12"/>
  <c r="AE313" i="12"/>
  <c r="AF313" i="12" s="1"/>
  <c r="AG313" i="12"/>
  <c r="AH313" i="12"/>
  <c r="AI313" i="12"/>
  <c r="AJ313" i="12" s="1"/>
  <c r="AK313" i="12"/>
  <c r="AO313" i="12" s="1"/>
  <c r="AL313" i="12"/>
  <c r="AP313" i="12"/>
  <c r="AS313" i="12"/>
  <c r="R314" i="12"/>
  <c r="S314" i="12"/>
  <c r="AR314" i="12" s="1"/>
  <c r="Z314" i="12"/>
  <c r="AA314" i="12"/>
  <c r="AC314" i="12" s="1"/>
  <c r="AD314" i="12"/>
  <c r="AE314" i="12"/>
  <c r="AF314" i="12" s="1"/>
  <c r="AG314" i="12"/>
  <c r="AH314" i="12"/>
  <c r="AI314" i="12"/>
  <c r="AJ314" i="12" s="1"/>
  <c r="AK314" i="12"/>
  <c r="AL314" i="12"/>
  <c r="AP314" i="12"/>
  <c r="AS314" i="12"/>
  <c r="R315" i="12"/>
  <c r="S315" i="12"/>
  <c r="Z315" i="12"/>
  <c r="AA315" i="12"/>
  <c r="AD315" i="12"/>
  <c r="AE315" i="12"/>
  <c r="AF315" i="12" s="1"/>
  <c r="AG315" i="12"/>
  <c r="AH315" i="12"/>
  <c r="AI315" i="12"/>
  <c r="AJ315" i="12" s="1"/>
  <c r="AK315" i="12"/>
  <c r="AN315" i="12" s="1"/>
  <c r="AL315" i="12"/>
  <c r="AP315" i="12"/>
  <c r="AS315" i="12"/>
  <c r="R316" i="12"/>
  <c r="S316" i="12"/>
  <c r="AR316" i="12" s="1"/>
  <c r="Z316" i="12"/>
  <c r="AA316" i="12"/>
  <c r="AC316" i="12" s="1"/>
  <c r="AD316" i="12"/>
  <c r="AE316" i="12"/>
  <c r="AF316" i="12" s="1"/>
  <c r="AG316" i="12"/>
  <c r="AH316" i="12"/>
  <c r="AI316" i="12"/>
  <c r="AJ316" i="12" s="1"/>
  <c r="AK316" i="12"/>
  <c r="AO316" i="12" s="1"/>
  <c r="AL316" i="12"/>
  <c r="AN316" i="12"/>
  <c r="AP316" i="12"/>
  <c r="AS316" i="12"/>
  <c r="R317" i="12"/>
  <c r="S317" i="12"/>
  <c r="AR317" i="12" s="1"/>
  <c r="Z317" i="12"/>
  <c r="AA317" i="12"/>
  <c r="AD317" i="12"/>
  <c r="AE317" i="12"/>
  <c r="AF317" i="12" s="1"/>
  <c r="AG317" i="12"/>
  <c r="AH317" i="12"/>
  <c r="AI317" i="12"/>
  <c r="AJ317" i="12" s="1"/>
  <c r="AK317" i="12"/>
  <c r="AO317" i="12" s="1"/>
  <c r="AL317" i="12"/>
  <c r="AN317" i="12"/>
  <c r="AP317" i="12"/>
  <c r="AQ317" i="12"/>
  <c r="AS317" i="12"/>
  <c r="R318" i="12"/>
  <c r="S318" i="12"/>
  <c r="AR318" i="12" s="1"/>
  <c r="Z318" i="12"/>
  <c r="AA318" i="12"/>
  <c r="AD318" i="12"/>
  <c r="AE318" i="12"/>
  <c r="AF318" i="12" s="1"/>
  <c r="AG318" i="12"/>
  <c r="AH318" i="12"/>
  <c r="AI318" i="12"/>
  <c r="AJ318" i="12" s="1"/>
  <c r="AK318" i="12"/>
  <c r="AL318" i="12"/>
  <c r="AP318" i="12"/>
  <c r="AS318" i="12"/>
  <c r="R319" i="12"/>
  <c r="S319" i="12"/>
  <c r="Z319" i="12"/>
  <c r="AA319" i="12"/>
  <c r="AD319" i="12"/>
  <c r="AE319" i="12"/>
  <c r="AF319" i="12" s="1"/>
  <c r="AG319" i="12"/>
  <c r="AH319" i="12"/>
  <c r="AI319" i="12"/>
  <c r="AJ319" i="12" s="1"/>
  <c r="AK319" i="12"/>
  <c r="AN319" i="12" s="1"/>
  <c r="AL319" i="12"/>
  <c r="AP319" i="12"/>
  <c r="AS319" i="12"/>
  <c r="R320" i="12"/>
  <c r="S320" i="12"/>
  <c r="Z320" i="12"/>
  <c r="AA320" i="12"/>
  <c r="AC320" i="12" s="1"/>
  <c r="AD320" i="12"/>
  <c r="AE320" i="12"/>
  <c r="AF320" i="12" s="1"/>
  <c r="AG320" i="12"/>
  <c r="AH320" i="12"/>
  <c r="AI320" i="12"/>
  <c r="AJ320" i="12" s="1"/>
  <c r="AK320" i="12"/>
  <c r="AO320" i="12" s="1"/>
  <c r="AL320" i="12"/>
  <c r="AN320" i="12"/>
  <c r="AP320" i="12"/>
  <c r="AS320" i="12"/>
  <c r="R321" i="12"/>
  <c r="S321" i="12"/>
  <c r="AR321" i="12" s="1"/>
  <c r="Z321" i="12"/>
  <c r="AA321" i="12"/>
  <c r="AD321" i="12"/>
  <c r="AE321" i="12"/>
  <c r="AF321" i="12" s="1"/>
  <c r="AG321" i="12"/>
  <c r="AH321" i="12"/>
  <c r="AI321" i="12"/>
  <c r="AJ321" i="12" s="1"/>
  <c r="AK321" i="12"/>
  <c r="AO321" i="12" s="1"/>
  <c r="AL321" i="12"/>
  <c r="AN321" i="12"/>
  <c r="AP321" i="12"/>
  <c r="AQ321" i="12"/>
  <c r="AS321" i="12"/>
  <c r="R322" i="12"/>
  <c r="S322" i="12"/>
  <c r="AR322" i="12" s="1"/>
  <c r="Z322" i="12"/>
  <c r="AA322" i="12"/>
  <c r="AD322" i="12"/>
  <c r="AE322" i="12"/>
  <c r="AF322" i="12" s="1"/>
  <c r="AG322" i="12"/>
  <c r="AH322" i="12"/>
  <c r="AI322" i="12"/>
  <c r="AJ322" i="12" s="1"/>
  <c r="AK322" i="12"/>
  <c r="AL322" i="12"/>
  <c r="AP322" i="12"/>
  <c r="AS322" i="12"/>
  <c r="R323" i="12"/>
  <c r="S323" i="12"/>
  <c r="Z323" i="12"/>
  <c r="AA323" i="12"/>
  <c r="AD323" i="12"/>
  <c r="AE323" i="12"/>
  <c r="AF323" i="12" s="1"/>
  <c r="AG323" i="12"/>
  <c r="AH323" i="12"/>
  <c r="AI323" i="12"/>
  <c r="AJ323" i="12" s="1"/>
  <c r="AK323" i="12"/>
  <c r="AN323" i="12" s="1"/>
  <c r="AL323" i="12"/>
  <c r="AP323" i="12"/>
  <c r="AS323" i="12"/>
  <c r="R324" i="12"/>
  <c r="S324" i="12"/>
  <c r="AR324" i="12" s="1"/>
  <c r="Z324" i="12"/>
  <c r="AA324" i="12"/>
  <c r="AC324" i="12" s="1"/>
  <c r="AD324" i="12"/>
  <c r="AE324" i="12"/>
  <c r="AF324" i="12" s="1"/>
  <c r="AG324" i="12"/>
  <c r="AH324" i="12"/>
  <c r="AI324" i="12"/>
  <c r="AJ324" i="12" s="1"/>
  <c r="AK324" i="12"/>
  <c r="AO324" i="12" s="1"/>
  <c r="AL324" i="12"/>
  <c r="AN324" i="12"/>
  <c r="AP324" i="12"/>
  <c r="AQ324" i="12"/>
  <c r="AS324" i="12"/>
  <c r="R325" i="12"/>
  <c r="S325" i="12"/>
  <c r="AR325" i="12" s="1"/>
  <c r="Z325" i="12"/>
  <c r="AA325" i="12"/>
  <c r="AD325" i="12"/>
  <c r="AE325" i="12"/>
  <c r="AF325" i="12" s="1"/>
  <c r="AG325" i="12"/>
  <c r="AH325" i="12"/>
  <c r="AI325" i="12"/>
  <c r="AJ325" i="12" s="1"/>
  <c r="AK325" i="12"/>
  <c r="AO325" i="12" s="1"/>
  <c r="AL325" i="12"/>
  <c r="AN325" i="12"/>
  <c r="AP325" i="12"/>
  <c r="AQ325" i="12"/>
  <c r="AS325" i="12"/>
  <c r="R326" i="12"/>
  <c r="S326" i="12"/>
  <c r="AR326" i="12" s="1"/>
  <c r="Z326" i="12"/>
  <c r="AA326" i="12"/>
  <c r="AC326" i="12" s="1"/>
  <c r="AD326" i="12"/>
  <c r="AE326" i="12"/>
  <c r="AF326" i="12" s="1"/>
  <c r="AG326" i="12"/>
  <c r="AH326" i="12"/>
  <c r="AI326" i="12"/>
  <c r="AJ326" i="12" s="1"/>
  <c r="AK326" i="12"/>
  <c r="AL326" i="12"/>
  <c r="AP326" i="12"/>
  <c r="AS326" i="12"/>
  <c r="R327" i="12"/>
  <c r="S327" i="12"/>
  <c r="Z327" i="12"/>
  <c r="AA327" i="12"/>
  <c r="AC327" i="12" s="1"/>
  <c r="AD327" i="12"/>
  <c r="AE327" i="12"/>
  <c r="AF327" i="12" s="1"/>
  <c r="AG327" i="12"/>
  <c r="AH327" i="12"/>
  <c r="AI327" i="12"/>
  <c r="AJ327" i="12" s="1"/>
  <c r="AK327" i="12"/>
  <c r="AN327" i="12" s="1"/>
  <c r="AL327" i="12"/>
  <c r="AP327" i="12"/>
  <c r="AS327" i="12"/>
  <c r="R328" i="12"/>
  <c r="S328" i="12"/>
  <c r="AR328" i="12" s="1"/>
  <c r="Z328" i="12"/>
  <c r="AA328" i="12"/>
  <c r="AC328" i="12" s="1"/>
  <c r="AD328" i="12"/>
  <c r="AE328" i="12"/>
  <c r="AF328" i="12" s="1"/>
  <c r="AG328" i="12"/>
  <c r="AH328" i="12"/>
  <c r="AI328" i="12"/>
  <c r="AJ328" i="12" s="1"/>
  <c r="AK328" i="12"/>
  <c r="AO328" i="12" s="1"/>
  <c r="AL328" i="12"/>
  <c r="AN328" i="12"/>
  <c r="AP328" i="12"/>
  <c r="AS328" i="12"/>
  <c r="R329" i="12"/>
  <c r="S329" i="12"/>
  <c r="AR329" i="12" s="1"/>
  <c r="Z329" i="12"/>
  <c r="AA329" i="12"/>
  <c r="AD329" i="12"/>
  <c r="AE329" i="12"/>
  <c r="AF329" i="12" s="1"/>
  <c r="AG329" i="12"/>
  <c r="AH329" i="12"/>
  <c r="AI329" i="12"/>
  <c r="AJ329" i="12" s="1"/>
  <c r="AK329" i="12"/>
  <c r="AO329" i="12" s="1"/>
  <c r="AL329" i="12"/>
  <c r="AP329" i="12"/>
  <c r="AQ329" i="12"/>
  <c r="AS329" i="12"/>
  <c r="R330" i="12"/>
  <c r="S330" i="12"/>
  <c r="AR330" i="12" s="1"/>
  <c r="Z330" i="12"/>
  <c r="AA330" i="12"/>
  <c r="AD330" i="12"/>
  <c r="AE330" i="12"/>
  <c r="AF330" i="12"/>
  <c r="AG330" i="12"/>
  <c r="AH330" i="12"/>
  <c r="AI330" i="12"/>
  <c r="AJ330" i="12" s="1"/>
  <c r="AK330" i="12"/>
  <c r="AL330" i="12"/>
  <c r="AP330" i="12"/>
  <c r="AS330" i="12"/>
  <c r="R331" i="12"/>
  <c r="S331" i="12"/>
  <c r="Z331" i="12"/>
  <c r="AA331" i="12"/>
  <c r="AD331" i="12"/>
  <c r="AE331" i="12"/>
  <c r="AF331" i="12" s="1"/>
  <c r="AG331" i="12"/>
  <c r="AH331" i="12"/>
  <c r="AI331" i="12"/>
  <c r="AJ331" i="12" s="1"/>
  <c r="AK331" i="12"/>
  <c r="AN331" i="12" s="1"/>
  <c r="AL331" i="12"/>
  <c r="AP331" i="12"/>
  <c r="AS331" i="12"/>
  <c r="R332" i="12"/>
  <c r="S332" i="12"/>
  <c r="AQ332" i="12" s="1"/>
  <c r="Z332" i="12"/>
  <c r="AA332" i="12"/>
  <c r="AC332" i="12" s="1"/>
  <c r="AD332" i="12"/>
  <c r="AE332" i="12"/>
  <c r="AF332" i="12" s="1"/>
  <c r="AG332" i="12"/>
  <c r="AH332" i="12"/>
  <c r="AI332" i="12"/>
  <c r="AJ332" i="12" s="1"/>
  <c r="AK332" i="12"/>
  <c r="AO332" i="12" s="1"/>
  <c r="AL332" i="12"/>
  <c r="AN332" i="12"/>
  <c r="AP332" i="12"/>
  <c r="AS332" i="12"/>
  <c r="R333" i="12"/>
  <c r="S333" i="12"/>
  <c r="Z333" i="12"/>
  <c r="AA333" i="12"/>
  <c r="AD333" i="12"/>
  <c r="AE333" i="12"/>
  <c r="AF333" i="12" s="1"/>
  <c r="AG333" i="12"/>
  <c r="AH333" i="12"/>
  <c r="AI333" i="12"/>
  <c r="AJ333" i="12" s="1"/>
  <c r="AK333" i="12"/>
  <c r="AO333" i="12" s="1"/>
  <c r="AL333" i="12"/>
  <c r="AN333" i="12"/>
  <c r="AP333" i="12"/>
  <c r="AQ333" i="12"/>
  <c r="AR333" i="12"/>
  <c r="AS333" i="12"/>
  <c r="R334" i="12"/>
  <c r="S334" i="12"/>
  <c r="AR334" i="12" s="1"/>
  <c r="Z334" i="12"/>
  <c r="AA334" i="12"/>
  <c r="AD334" i="12"/>
  <c r="AE334" i="12"/>
  <c r="AF334" i="12"/>
  <c r="AG334" i="12"/>
  <c r="AH334" i="12"/>
  <c r="AI334" i="12"/>
  <c r="AJ334" i="12" s="1"/>
  <c r="AK334" i="12"/>
  <c r="AL334" i="12"/>
  <c r="AP334" i="12"/>
  <c r="AS334" i="12"/>
  <c r="R335" i="12"/>
  <c r="S335" i="12"/>
  <c r="Z335" i="12"/>
  <c r="AA335" i="12"/>
  <c r="AC335" i="12" s="1"/>
  <c r="AD335" i="12"/>
  <c r="AE335" i="12"/>
  <c r="AF335" i="12"/>
  <c r="AG335" i="12"/>
  <c r="AH335" i="12"/>
  <c r="AI335" i="12"/>
  <c r="AJ335" i="12" s="1"/>
  <c r="AK335" i="12"/>
  <c r="AN335" i="12" s="1"/>
  <c r="AL335" i="12"/>
  <c r="AP335" i="12"/>
  <c r="AS335" i="12"/>
  <c r="R336" i="12"/>
  <c r="S336" i="12"/>
  <c r="AQ336" i="12" s="1"/>
  <c r="Z336" i="12"/>
  <c r="AA336" i="12"/>
  <c r="AC336" i="12" s="1"/>
  <c r="AD336" i="12"/>
  <c r="AE336" i="12"/>
  <c r="AF336" i="12" s="1"/>
  <c r="AG336" i="12"/>
  <c r="AH336" i="12"/>
  <c r="AI336" i="12"/>
  <c r="AJ336" i="12" s="1"/>
  <c r="AK336" i="12"/>
  <c r="AL336" i="12"/>
  <c r="AN336" i="12"/>
  <c r="AO336" i="12"/>
  <c r="AP336" i="12"/>
  <c r="AR336" i="12"/>
  <c r="AS336" i="12"/>
  <c r="R337" i="12"/>
  <c r="S337" i="12"/>
  <c r="Z337" i="12"/>
  <c r="AA337" i="12"/>
  <c r="AD337" i="12"/>
  <c r="AE337" i="12"/>
  <c r="AF337" i="12" s="1"/>
  <c r="AG337" i="12"/>
  <c r="AH337" i="12"/>
  <c r="AI337" i="12"/>
  <c r="AJ337" i="12" s="1"/>
  <c r="AK337" i="12"/>
  <c r="AO337" i="12" s="1"/>
  <c r="AL337" i="12"/>
  <c r="AN337" i="12"/>
  <c r="AP337" i="12"/>
  <c r="AQ337" i="12"/>
  <c r="AR337" i="12"/>
  <c r="AS337" i="12"/>
  <c r="R338" i="12"/>
  <c r="S338" i="12"/>
  <c r="AR338" i="12" s="1"/>
  <c r="Z338" i="12"/>
  <c r="AA338" i="12"/>
  <c r="AD338" i="12"/>
  <c r="AE338" i="12"/>
  <c r="AF338" i="12" s="1"/>
  <c r="AG338" i="12"/>
  <c r="AH338" i="12"/>
  <c r="AI338" i="12"/>
  <c r="AJ338" i="12" s="1"/>
  <c r="AK338" i="12"/>
  <c r="AL338" i="12"/>
  <c r="AP338" i="12"/>
  <c r="AS338" i="12"/>
  <c r="R339" i="12"/>
  <c r="S339" i="12"/>
  <c r="Z339" i="12"/>
  <c r="AA339" i="12"/>
  <c r="AC339" i="12" s="1"/>
  <c r="AD339" i="12"/>
  <c r="AE339" i="12"/>
  <c r="AF339" i="12" s="1"/>
  <c r="AG339" i="12"/>
  <c r="AH339" i="12"/>
  <c r="AI339" i="12"/>
  <c r="AJ339" i="12" s="1"/>
  <c r="AK339" i="12"/>
  <c r="AN339" i="12" s="1"/>
  <c r="AL339" i="12"/>
  <c r="AP339" i="12"/>
  <c r="AS339" i="12"/>
  <c r="R340" i="12"/>
  <c r="S340" i="12"/>
  <c r="Z340" i="12"/>
  <c r="AA340" i="12"/>
  <c r="AC340" i="12" s="1"/>
  <c r="AD340" i="12"/>
  <c r="AE340" i="12"/>
  <c r="AF340" i="12" s="1"/>
  <c r="AG340" i="12"/>
  <c r="AH340" i="12"/>
  <c r="AI340" i="12"/>
  <c r="AJ340" i="12" s="1"/>
  <c r="AK340" i="12"/>
  <c r="AO340" i="12" s="1"/>
  <c r="AL340" i="12"/>
  <c r="AP340" i="12"/>
  <c r="AS340" i="12"/>
  <c r="R341" i="12"/>
  <c r="S341" i="12"/>
  <c r="AR341" i="12" s="1"/>
  <c r="Z341" i="12"/>
  <c r="AA341" i="12"/>
  <c r="AD341" i="12"/>
  <c r="AE341" i="12"/>
  <c r="AF341" i="12" s="1"/>
  <c r="AG341" i="12"/>
  <c r="AH341" i="12"/>
  <c r="AI341" i="12"/>
  <c r="AJ341" i="12" s="1"/>
  <c r="AK341" i="12"/>
  <c r="AO341" i="12" s="1"/>
  <c r="AL341" i="12"/>
  <c r="AN341" i="12"/>
  <c r="AP341" i="12"/>
  <c r="AQ341" i="12"/>
  <c r="AS341" i="12"/>
  <c r="R342" i="12"/>
  <c r="S342" i="12"/>
  <c r="AR342" i="12" s="1"/>
  <c r="Z342" i="12"/>
  <c r="AA342" i="12"/>
  <c r="AD342" i="12"/>
  <c r="AE342" i="12"/>
  <c r="AF342" i="12" s="1"/>
  <c r="AG342" i="12"/>
  <c r="AH342" i="12"/>
  <c r="AI342" i="12"/>
  <c r="AJ342" i="12" s="1"/>
  <c r="AK342" i="12"/>
  <c r="AL342" i="12"/>
  <c r="AP342" i="12"/>
  <c r="AS342" i="12"/>
  <c r="R343" i="12"/>
  <c r="S343" i="12"/>
  <c r="Z343" i="12"/>
  <c r="AA343" i="12"/>
  <c r="AC343" i="12" s="1"/>
  <c r="AD343" i="12"/>
  <c r="AE343" i="12"/>
  <c r="AF343" i="12" s="1"/>
  <c r="AG343" i="12"/>
  <c r="AH343" i="12"/>
  <c r="AI343" i="12"/>
  <c r="AJ343" i="12" s="1"/>
  <c r="AK343" i="12"/>
  <c r="AN343" i="12" s="1"/>
  <c r="AL343" i="12"/>
  <c r="AP343" i="12"/>
  <c r="AS343" i="12"/>
  <c r="R344" i="12"/>
  <c r="S344" i="12"/>
  <c r="AQ344" i="12" s="1"/>
  <c r="Z344" i="12"/>
  <c r="AA344" i="12"/>
  <c r="AC344" i="12" s="1"/>
  <c r="AD344" i="12"/>
  <c r="AE344" i="12"/>
  <c r="AF344" i="12" s="1"/>
  <c r="AG344" i="12"/>
  <c r="AH344" i="12"/>
  <c r="AI344" i="12"/>
  <c r="AJ344" i="12" s="1"/>
  <c r="AK344" i="12"/>
  <c r="AO344" i="12" s="1"/>
  <c r="AL344" i="12"/>
  <c r="AN344" i="12"/>
  <c r="AP344" i="12"/>
  <c r="AS344" i="12"/>
  <c r="R345" i="12"/>
  <c r="S345" i="12"/>
  <c r="Z345" i="12"/>
  <c r="AA345" i="12"/>
  <c r="AD345" i="12"/>
  <c r="AE345" i="12"/>
  <c r="AF345" i="12" s="1"/>
  <c r="AG345" i="12"/>
  <c r="AH345" i="12"/>
  <c r="AI345" i="12"/>
  <c r="AJ345" i="12" s="1"/>
  <c r="AK345" i="12"/>
  <c r="AO345" i="12" s="1"/>
  <c r="AL345" i="12"/>
  <c r="AP345" i="12"/>
  <c r="AQ345" i="12"/>
  <c r="AR345" i="12"/>
  <c r="AS345" i="12"/>
  <c r="R346" i="12"/>
  <c r="S346" i="12"/>
  <c r="AR346" i="12" s="1"/>
  <c r="Z346" i="12"/>
  <c r="AA346" i="12"/>
  <c r="AD346" i="12"/>
  <c r="AE346" i="12"/>
  <c r="AF346" i="12" s="1"/>
  <c r="AG346" i="12"/>
  <c r="AH346" i="12"/>
  <c r="AI346" i="12"/>
  <c r="AJ346" i="12" s="1"/>
  <c r="AK346" i="12"/>
  <c r="AL346" i="12"/>
  <c r="AP346" i="12"/>
  <c r="AS346" i="12"/>
  <c r="R347" i="12"/>
  <c r="S347" i="12"/>
  <c r="Z347" i="12"/>
  <c r="AA347" i="12"/>
  <c r="AB347" i="12" s="1"/>
  <c r="AD347" i="12"/>
  <c r="AE347" i="12"/>
  <c r="AF347" i="12" s="1"/>
  <c r="AG347" i="12"/>
  <c r="AH347" i="12"/>
  <c r="AI347" i="12"/>
  <c r="AJ347" i="12" s="1"/>
  <c r="AK347" i="12"/>
  <c r="AN347" i="12" s="1"/>
  <c r="AL347" i="12"/>
  <c r="AP347" i="12"/>
  <c r="AS347" i="12"/>
  <c r="R348" i="12"/>
  <c r="S348" i="12"/>
  <c r="Z348" i="12"/>
  <c r="AA348" i="12"/>
  <c r="AC348" i="12" s="1"/>
  <c r="AD348" i="12"/>
  <c r="AE348" i="12"/>
  <c r="AF348" i="12" s="1"/>
  <c r="AG348" i="12"/>
  <c r="AH348" i="12"/>
  <c r="AI348" i="12"/>
  <c r="AJ348" i="12" s="1"/>
  <c r="AK348" i="12"/>
  <c r="AO348" i="12" s="1"/>
  <c r="AL348" i="12"/>
  <c r="AN348" i="12"/>
  <c r="AP348" i="12"/>
  <c r="AS348" i="12"/>
  <c r="R349" i="12"/>
  <c r="S349" i="12"/>
  <c r="AR349" i="12" s="1"/>
  <c r="Z349" i="12"/>
  <c r="AA349" i="12"/>
  <c r="AD349" i="12"/>
  <c r="AE349" i="12"/>
  <c r="AF349" i="12" s="1"/>
  <c r="AG349" i="12"/>
  <c r="AH349" i="12"/>
  <c r="AI349" i="12"/>
  <c r="AJ349" i="12" s="1"/>
  <c r="AK349" i="12"/>
  <c r="AO349" i="12" s="1"/>
  <c r="AL349" i="12"/>
  <c r="AN349" i="12"/>
  <c r="AP349" i="12"/>
  <c r="AQ349" i="12"/>
  <c r="AS349" i="12"/>
  <c r="R350" i="12"/>
  <c r="S350" i="12"/>
  <c r="AR350" i="12" s="1"/>
  <c r="Z350" i="12"/>
  <c r="AA350" i="12"/>
  <c r="AB350" i="12" s="1"/>
  <c r="AD350" i="12"/>
  <c r="AE350" i="12"/>
  <c r="AF350" i="12" s="1"/>
  <c r="AG350" i="12"/>
  <c r="AH350" i="12"/>
  <c r="AI350" i="12"/>
  <c r="AJ350" i="12" s="1"/>
  <c r="AK350" i="12"/>
  <c r="AL350" i="12"/>
  <c r="AP350" i="12"/>
  <c r="AS350" i="12"/>
  <c r="R351" i="12"/>
  <c r="S351" i="12"/>
  <c r="Z351" i="12"/>
  <c r="AA351" i="12"/>
  <c r="AD351" i="12"/>
  <c r="AE351" i="12"/>
  <c r="AF351" i="12" s="1"/>
  <c r="AG351" i="12"/>
  <c r="AH351" i="12"/>
  <c r="AI351" i="12"/>
  <c r="AJ351" i="12" s="1"/>
  <c r="AK351" i="12"/>
  <c r="AN351" i="12" s="1"/>
  <c r="AL351" i="12"/>
  <c r="AP351" i="12"/>
  <c r="AS351" i="12"/>
  <c r="R352" i="12"/>
  <c r="S352" i="12"/>
  <c r="Z352" i="12"/>
  <c r="AA352" i="12"/>
  <c r="AC352" i="12" s="1"/>
  <c r="AD352" i="12"/>
  <c r="AE352" i="12"/>
  <c r="AF352" i="12" s="1"/>
  <c r="AG352" i="12"/>
  <c r="AH352" i="12"/>
  <c r="AI352" i="12"/>
  <c r="AJ352" i="12" s="1"/>
  <c r="AK352" i="12"/>
  <c r="AO352" i="12" s="1"/>
  <c r="AL352" i="12"/>
  <c r="AP352" i="12"/>
  <c r="AS352" i="12"/>
  <c r="R353" i="12"/>
  <c r="S353" i="12"/>
  <c r="AQ353" i="12" s="1"/>
  <c r="Z353" i="12"/>
  <c r="AA353" i="12"/>
  <c r="AD353" i="12"/>
  <c r="AE353" i="12"/>
  <c r="AF353" i="12" s="1"/>
  <c r="AG353" i="12"/>
  <c r="AH353" i="12"/>
  <c r="AI353" i="12"/>
  <c r="AJ353" i="12" s="1"/>
  <c r="AK353" i="12"/>
  <c r="AO353" i="12" s="1"/>
  <c r="AL353" i="12"/>
  <c r="AP353" i="12"/>
  <c r="AR353" i="12"/>
  <c r="AS353" i="12"/>
  <c r="R354" i="12"/>
  <c r="S354" i="12"/>
  <c r="AR354" i="12" s="1"/>
  <c r="Z354" i="12"/>
  <c r="AA354" i="12"/>
  <c r="AC354" i="12" s="1"/>
  <c r="AD354" i="12"/>
  <c r="AE354" i="12"/>
  <c r="AF354" i="12" s="1"/>
  <c r="AG354" i="12"/>
  <c r="AH354" i="12"/>
  <c r="AI354" i="12"/>
  <c r="AJ354" i="12" s="1"/>
  <c r="AK354" i="12"/>
  <c r="AL354" i="12"/>
  <c r="AP354" i="12"/>
  <c r="AS354" i="12"/>
  <c r="R355" i="12"/>
  <c r="S355" i="12"/>
  <c r="Z355" i="12"/>
  <c r="AA355" i="12"/>
  <c r="AD355" i="12"/>
  <c r="AE355" i="12"/>
  <c r="AF355" i="12" s="1"/>
  <c r="AG355" i="12"/>
  <c r="AH355" i="12"/>
  <c r="AI355" i="12"/>
  <c r="AJ355" i="12" s="1"/>
  <c r="AK355" i="12"/>
  <c r="AN355" i="12" s="1"/>
  <c r="AL355" i="12"/>
  <c r="AP355" i="12"/>
  <c r="AS355" i="12"/>
  <c r="R356" i="12"/>
  <c r="S356" i="12"/>
  <c r="AQ356" i="12" s="1"/>
  <c r="Z356" i="12"/>
  <c r="AA356" i="12"/>
  <c r="AC356" i="12" s="1"/>
  <c r="AD356" i="12"/>
  <c r="AE356" i="12"/>
  <c r="AF356" i="12" s="1"/>
  <c r="AG356" i="12"/>
  <c r="AH356" i="12"/>
  <c r="AI356" i="12"/>
  <c r="AJ356" i="12" s="1"/>
  <c r="AK356" i="12"/>
  <c r="AL356" i="12"/>
  <c r="AN356" i="12"/>
  <c r="AO356" i="12"/>
  <c r="AP356" i="12"/>
  <c r="AR356" i="12"/>
  <c r="AS356" i="12"/>
  <c r="R357" i="12"/>
  <c r="S357" i="12"/>
  <c r="Z357" i="12"/>
  <c r="AA357" i="12"/>
  <c r="AD357" i="12"/>
  <c r="AE357" i="12"/>
  <c r="AF357" i="12" s="1"/>
  <c r="AG357" i="12"/>
  <c r="AH357" i="12"/>
  <c r="AI357" i="12"/>
  <c r="AJ357" i="12" s="1"/>
  <c r="AK357" i="12"/>
  <c r="AO357" i="12" s="1"/>
  <c r="AL357" i="12"/>
  <c r="AN357" i="12"/>
  <c r="AP357" i="12"/>
  <c r="AQ357" i="12"/>
  <c r="AR357" i="12"/>
  <c r="AS357" i="12"/>
  <c r="R358" i="12"/>
  <c r="S358" i="12"/>
  <c r="AR358" i="12" s="1"/>
  <c r="Z358" i="12"/>
  <c r="AA358" i="12"/>
  <c r="AD358" i="12"/>
  <c r="AE358" i="12"/>
  <c r="AF358" i="12" s="1"/>
  <c r="AG358" i="12"/>
  <c r="AH358" i="12"/>
  <c r="AI358" i="12"/>
  <c r="AJ358" i="12" s="1"/>
  <c r="AK358" i="12"/>
  <c r="AL358" i="12"/>
  <c r="AP358" i="12"/>
  <c r="AS358" i="12"/>
  <c r="R359" i="12"/>
  <c r="S359" i="12"/>
  <c r="Z359" i="12"/>
  <c r="AA359" i="12"/>
  <c r="AC359" i="12" s="1"/>
  <c r="AD359" i="12"/>
  <c r="AE359" i="12"/>
  <c r="AF359" i="12" s="1"/>
  <c r="AG359" i="12"/>
  <c r="AH359" i="12"/>
  <c r="AI359" i="12"/>
  <c r="AJ359" i="12" s="1"/>
  <c r="AK359" i="12"/>
  <c r="AN359" i="12" s="1"/>
  <c r="AL359" i="12"/>
  <c r="AP359" i="12"/>
  <c r="AS359" i="12"/>
  <c r="R360" i="12"/>
  <c r="S360" i="12"/>
  <c r="AQ360" i="12" s="1"/>
  <c r="Z360" i="12"/>
  <c r="AA360" i="12"/>
  <c r="AC360" i="12" s="1"/>
  <c r="AD360" i="12"/>
  <c r="AE360" i="12"/>
  <c r="AF360" i="12"/>
  <c r="AG360" i="12"/>
  <c r="AH360" i="12"/>
  <c r="AI360" i="12"/>
  <c r="AJ360" i="12" s="1"/>
  <c r="AK360" i="12"/>
  <c r="AO360" i="12" s="1"/>
  <c r="AL360" i="12"/>
  <c r="AN360" i="12"/>
  <c r="AP360" i="12"/>
  <c r="AR360" i="12"/>
  <c r="AS360" i="12"/>
  <c r="R361" i="12"/>
  <c r="S361" i="12"/>
  <c r="AR361" i="12" s="1"/>
  <c r="Z361" i="12"/>
  <c r="AA361" i="12"/>
  <c r="AD361" i="12"/>
  <c r="AE361" i="12"/>
  <c r="AF361" i="12" s="1"/>
  <c r="AG361" i="12"/>
  <c r="AH361" i="12"/>
  <c r="AI361" i="12"/>
  <c r="AJ361" i="12" s="1"/>
  <c r="AK361" i="12"/>
  <c r="AO361" i="12" s="1"/>
  <c r="AL361" i="12"/>
  <c r="AN361" i="12"/>
  <c r="AP361" i="12"/>
  <c r="AQ361" i="12"/>
  <c r="AS361" i="12"/>
  <c r="R362" i="12"/>
  <c r="S362" i="12"/>
  <c r="AR362" i="12" s="1"/>
  <c r="Z362" i="12"/>
  <c r="AA362" i="12"/>
  <c r="AD362" i="12"/>
  <c r="AE362" i="12"/>
  <c r="AF362" i="12" s="1"/>
  <c r="AG362" i="12"/>
  <c r="AH362" i="12"/>
  <c r="AI362" i="12"/>
  <c r="AJ362" i="12" s="1"/>
  <c r="AK362" i="12"/>
  <c r="AL362" i="12"/>
  <c r="AP362" i="12"/>
  <c r="AS362" i="12"/>
  <c r="R363" i="12"/>
  <c r="S363" i="12"/>
  <c r="Z363" i="12"/>
  <c r="AA363" i="12"/>
  <c r="AD363" i="12"/>
  <c r="AE363" i="12"/>
  <c r="AF363" i="12"/>
  <c r="AG363" i="12"/>
  <c r="AH363" i="12"/>
  <c r="AI363" i="12"/>
  <c r="AJ363" i="12" s="1"/>
  <c r="AK363" i="12"/>
  <c r="AN363" i="12" s="1"/>
  <c r="AL363" i="12"/>
  <c r="AP363" i="12"/>
  <c r="AS363" i="12"/>
  <c r="R364" i="12"/>
  <c r="S364" i="12"/>
  <c r="Z364" i="12"/>
  <c r="AA364" i="12"/>
  <c r="AC364" i="12" s="1"/>
  <c r="AD364" i="12"/>
  <c r="AE364" i="12"/>
  <c r="AF364" i="12"/>
  <c r="AG364" i="12"/>
  <c r="AH364" i="12"/>
  <c r="AI364" i="12"/>
  <c r="AJ364" i="12" s="1"/>
  <c r="AK364" i="12"/>
  <c r="AO364" i="12" s="1"/>
  <c r="AL364" i="12"/>
  <c r="AP364" i="12"/>
  <c r="AQ364" i="12"/>
  <c r="AR364" i="12"/>
  <c r="AS364" i="12"/>
  <c r="R365" i="12"/>
  <c r="S365" i="12"/>
  <c r="AR365" i="12" s="1"/>
  <c r="Z365" i="12"/>
  <c r="AA365" i="12"/>
  <c r="AD365" i="12"/>
  <c r="AE365" i="12"/>
  <c r="AF365" i="12" s="1"/>
  <c r="AG365" i="12"/>
  <c r="AH365" i="12"/>
  <c r="AI365" i="12"/>
  <c r="AJ365" i="12" s="1"/>
  <c r="AK365" i="12"/>
  <c r="AO365" i="12" s="1"/>
  <c r="AL365" i="12"/>
  <c r="AP365" i="12"/>
  <c r="AQ365" i="12"/>
  <c r="AS365" i="12"/>
  <c r="R366" i="12"/>
  <c r="S366" i="12"/>
  <c r="AR366" i="12" s="1"/>
  <c r="Z366" i="12"/>
  <c r="AA366" i="12"/>
  <c r="AB366" i="12" s="1"/>
  <c r="AD366" i="12"/>
  <c r="AE366" i="12"/>
  <c r="AF366" i="12" s="1"/>
  <c r="AG366" i="12"/>
  <c r="AH366" i="12"/>
  <c r="AI366" i="12"/>
  <c r="AJ366" i="12" s="1"/>
  <c r="AK366" i="12"/>
  <c r="AL366" i="12"/>
  <c r="AP366" i="12"/>
  <c r="AS366" i="12"/>
  <c r="R367" i="12"/>
  <c r="S367" i="12"/>
  <c r="Z367" i="12"/>
  <c r="AA367" i="12"/>
  <c r="AD367" i="12"/>
  <c r="AE367" i="12"/>
  <c r="AF367" i="12" s="1"/>
  <c r="AG367" i="12"/>
  <c r="AH367" i="12"/>
  <c r="AI367" i="12"/>
  <c r="AJ367" i="12" s="1"/>
  <c r="AK367" i="12"/>
  <c r="AN367" i="12" s="1"/>
  <c r="AL367" i="12"/>
  <c r="AP367" i="12"/>
  <c r="AS367" i="12"/>
  <c r="R368" i="12"/>
  <c r="S368" i="12"/>
  <c r="Z368" i="12"/>
  <c r="AA368" i="12"/>
  <c r="AC368" i="12" s="1"/>
  <c r="AD368" i="12"/>
  <c r="AE368" i="12"/>
  <c r="AF368" i="12" s="1"/>
  <c r="AG368" i="12"/>
  <c r="AH368" i="12"/>
  <c r="AI368" i="12"/>
  <c r="AJ368" i="12" s="1"/>
  <c r="AK368" i="12"/>
  <c r="AO368" i="12" s="1"/>
  <c r="AL368" i="12"/>
  <c r="AN368" i="12"/>
  <c r="AP368" i="12"/>
  <c r="AS368" i="12"/>
  <c r="R369" i="12"/>
  <c r="S369" i="12"/>
  <c r="Z369" i="12"/>
  <c r="AA369" i="12"/>
  <c r="AD369" i="12"/>
  <c r="AE369" i="12"/>
  <c r="AF369" i="12" s="1"/>
  <c r="AG369" i="12"/>
  <c r="AH369" i="12"/>
  <c r="AI369" i="12"/>
  <c r="AJ369" i="12" s="1"/>
  <c r="AK369" i="12"/>
  <c r="AO369" i="12" s="1"/>
  <c r="AL369" i="12"/>
  <c r="AP369" i="12"/>
  <c r="AQ369" i="12"/>
  <c r="AR369" i="12"/>
  <c r="AS369" i="12"/>
  <c r="R370" i="12"/>
  <c r="S370" i="12"/>
  <c r="AR370" i="12" s="1"/>
  <c r="Z370" i="12"/>
  <c r="AA370" i="12"/>
  <c r="AC370" i="12" s="1"/>
  <c r="AD370" i="12"/>
  <c r="AE370" i="12"/>
  <c r="AF370" i="12" s="1"/>
  <c r="AG370" i="12"/>
  <c r="AH370" i="12"/>
  <c r="AI370" i="12"/>
  <c r="AJ370" i="12" s="1"/>
  <c r="AK370" i="12"/>
  <c r="AL370" i="12"/>
  <c r="AP370" i="12"/>
  <c r="AS370" i="12"/>
  <c r="R371" i="12"/>
  <c r="S371" i="12"/>
  <c r="AQ371" i="12" s="1"/>
  <c r="Z371" i="12"/>
  <c r="AA371" i="12"/>
  <c r="AD371" i="12"/>
  <c r="AE371" i="12"/>
  <c r="AF371" i="12" s="1"/>
  <c r="AG371" i="12"/>
  <c r="AH371" i="12"/>
  <c r="AI371" i="12"/>
  <c r="AJ371" i="12" s="1"/>
  <c r="AK371" i="12"/>
  <c r="AO371" i="12" s="1"/>
  <c r="AL371" i="12"/>
  <c r="AP371" i="12"/>
  <c r="AS371" i="12"/>
  <c r="R372" i="12"/>
  <c r="S372" i="12"/>
  <c r="AQ372" i="12" s="1"/>
  <c r="Z372" i="12"/>
  <c r="AA372" i="12"/>
  <c r="AC372" i="12" s="1"/>
  <c r="AD372" i="12"/>
  <c r="AE372" i="12"/>
  <c r="AF372" i="12" s="1"/>
  <c r="AG372" i="12"/>
  <c r="AH372" i="12"/>
  <c r="AI372" i="12"/>
  <c r="AJ372" i="12" s="1"/>
  <c r="AK372" i="12"/>
  <c r="AO372" i="12" s="1"/>
  <c r="AL372" i="12"/>
  <c r="AN372" i="12"/>
  <c r="AP372" i="12"/>
  <c r="AS372" i="12"/>
  <c r="R373" i="12"/>
  <c r="S373" i="12"/>
  <c r="AQ373" i="12" s="1"/>
  <c r="Z373" i="12"/>
  <c r="AA373" i="12"/>
  <c r="AB373" i="12" s="1"/>
  <c r="AD373" i="12"/>
  <c r="AE373" i="12"/>
  <c r="AF373" i="12" s="1"/>
  <c r="AG373" i="12"/>
  <c r="AH373" i="12"/>
  <c r="AI373" i="12"/>
  <c r="AJ373" i="12" s="1"/>
  <c r="AK373" i="12"/>
  <c r="AO373" i="12" s="1"/>
  <c r="AL373" i="12"/>
  <c r="AN373" i="12"/>
  <c r="AP373" i="12"/>
  <c r="AS373" i="12"/>
  <c r="R374" i="12"/>
  <c r="S374" i="12"/>
  <c r="Z374" i="12"/>
  <c r="AA374" i="12"/>
  <c r="AC374" i="12" s="1"/>
  <c r="AD374" i="12"/>
  <c r="AE374" i="12"/>
  <c r="AF374" i="12" s="1"/>
  <c r="AG374" i="12"/>
  <c r="AH374" i="12"/>
  <c r="AI374" i="12"/>
  <c r="AJ374" i="12" s="1"/>
  <c r="AK374" i="12"/>
  <c r="AN374" i="12" s="1"/>
  <c r="AL374" i="12"/>
  <c r="AP374" i="12"/>
  <c r="AS374" i="12"/>
  <c r="R375" i="12"/>
  <c r="S375" i="12"/>
  <c r="AQ375" i="12" s="1"/>
  <c r="Z375" i="12"/>
  <c r="AA375" i="12"/>
  <c r="AC375" i="12" s="1"/>
  <c r="AD375" i="12"/>
  <c r="AE375" i="12"/>
  <c r="AF375" i="12" s="1"/>
  <c r="AG375" i="12"/>
  <c r="AH375" i="12"/>
  <c r="AI375" i="12"/>
  <c r="AJ375" i="12" s="1"/>
  <c r="AK375" i="12"/>
  <c r="AO375" i="12" s="1"/>
  <c r="AL375" i="12"/>
  <c r="AP375" i="12"/>
  <c r="AS375" i="12"/>
  <c r="R376" i="12"/>
  <c r="S376" i="12"/>
  <c r="Z376" i="12"/>
  <c r="AA376" i="12"/>
  <c r="AD376" i="12"/>
  <c r="AE376" i="12"/>
  <c r="AF376" i="12" s="1"/>
  <c r="AG376" i="12"/>
  <c r="AH376" i="12"/>
  <c r="AI376" i="12"/>
  <c r="AJ376" i="12" s="1"/>
  <c r="AK376" i="12"/>
  <c r="AO376" i="12" s="1"/>
  <c r="AL376" i="12"/>
  <c r="AP376" i="12"/>
  <c r="AS376" i="12"/>
  <c r="R377" i="12"/>
  <c r="S377" i="12"/>
  <c r="AQ377" i="12" s="1"/>
  <c r="Z377" i="12"/>
  <c r="AA377" i="12"/>
  <c r="AB377" i="12" s="1"/>
  <c r="AD377" i="12"/>
  <c r="AE377" i="12"/>
  <c r="AF377" i="12" s="1"/>
  <c r="AG377" i="12"/>
  <c r="AH377" i="12"/>
  <c r="AI377" i="12"/>
  <c r="AJ377" i="12" s="1"/>
  <c r="AK377" i="12"/>
  <c r="AO377" i="12" s="1"/>
  <c r="AL377" i="12"/>
  <c r="AN377" i="12"/>
  <c r="AP377" i="12"/>
  <c r="AS377" i="12"/>
  <c r="R378" i="12"/>
  <c r="S378" i="12"/>
  <c r="AR378" i="12" s="1"/>
  <c r="Z378" i="12"/>
  <c r="AA378" i="12"/>
  <c r="AD378" i="12"/>
  <c r="AE378" i="12"/>
  <c r="AF378" i="12" s="1"/>
  <c r="AG378" i="12"/>
  <c r="AH378" i="12"/>
  <c r="AI378" i="12"/>
  <c r="AJ378" i="12" s="1"/>
  <c r="AK378" i="12"/>
  <c r="AN378" i="12" s="1"/>
  <c r="AL378" i="12"/>
  <c r="AP378" i="12"/>
  <c r="AQ378" i="12"/>
  <c r="AS378" i="12"/>
  <c r="R379" i="12"/>
  <c r="S379" i="12"/>
  <c r="AQ379" i="12" s="1"/>
  <c r="Z379" i="12"/>
  <c r="AA379" i="12"/>
  <c r="AB379" i="12" s="1"/>
  <c r="AD379" i="12"/>
  <c r="AE379" i="12"/>
  <c r="AF379" i="12" s="1"/>
  <c r="AG379" i="12"/>
  <c r="AH379" i="12"/>
  <c r="AI379" i="12"/>
  <c r="AJ379" i="12" s="1"/>
  <c r="AK379" i="12"/>
  <c r="AO379" i="12" s="1"/>
  <c r="AL379" i="12"/>
  <c r="AP379" i="12"/>
  <c r="AS379" i="12"/>
  <c r="R380" i="12"/>
  <c r="S380" i="12"/>
  <c r="AR380" i="12" s="1"/>
  <c r="Z380" i="12"/>
  <c r="AA380" i="12"/>
  <c r="AD380" i="12"/>
  <c r="AE380" i="12"/>
  <c r="AF380" i="12" s="1"/>
  <c r="AG380" i="12"/>
  <c r="AH380" i="12"/>
  <c r="AI380" i="12"/>
  <c r="AJ380" i="12" s="1"/>
  <c r="AK380" i="12"/>
  <c r="AO380" i="12" s="1"/>
  <c r="AL380" i="12"/>
  <c r="AP380" i="12"/>
  <c r="AS380" i="12"/>
  <c r="R381" i="12"/>
  <c r="S381" i="12"/>
  <c r="AQ381" i="12" s="1"/>
  <c r="Z381" i="12"/>
  <c r="AA381" i="12"/>
  <c r="AB381" i="12" s="1"/>
  <c r="AD381" i="12"/>
  <c r="AE381" i="12"/>
  <c r="AF381" i="12" s="1"/>
  <c r="AG381" i="12"/>
  <c r="AH381" i="12"/>
  <c r="AI381" i="12"/>
  <c r="AJ381" i="12" s="1"/>
  <c r="AK381" i="12"/>
  <c r="AO381" i="12" s="1"/>
  <c r="AL381" i="12"/>
  <c r="AP381" i="12"/>
  <c r="AS381" i="12"/>
  <c r="R382" i="12"/>
  <c r="S382" i="12"/>
  <c r="AR382" i="12" s="1"/>
  <c r="Z382" i="12"/>
  <c r="AA382" i="12"/>
  <c r="AD382" i="12"/>
  <c r="AE382" i="12"/>
  <c r="AF382" i="12" s="1"/>
  <c r="AG382" i="12"/>
  <c r="AH382" i="12"/>
  <c r="AI382" i="12"/>
  <c r="AJ382" i="12" s="1"/>
  <c r="AK382" i="12"/>
  <c r="AN382" i="12" s="1"/>
  <c r="AL382" i="12"/>
  <c r="AO382" i="12"/>
  <c r="AP382" i="12"/>
  <c r="AQ382" i="12"/>
  <c r="AS382" i="12"/>
  <c r="R383" i="12"/>
  <c r="S383" i="12"/>
  <c r="AQ383" i="12" s="1"/>
  <c r="Z383" i="12"/>
  <c r="AA383" i="12"/>
  <c r="AC383" i="12" s="1"/>
  <c r="AD383" i="12"/>
  <c r="AE383" i="12"/>
  <c r="AF383" i="12" s="1"/>
  <c r="AG383" i="12"/>
  <c r="AH383" i="12"/>
  <c r="AI383" i="12"/>
  <c r="AJ383" i="12" s="1"/>
  <c r="AK383" i="12"/>
  <c r="AN383" i="12" s="1"/>
  <c r="AL383" i="12"/>
  <c r="AP383" i="12"/>
  <c r="AS383" i="12"/>
  <c r="R384" i="12"/>
  <c r="S384" i="12"/>
  <c r="AQ384" i="12" s="1"/>
  <c r="Z384" i="12"/>
  <c r="AA384" i="12"/>
  <c r="AD384" i="12"/>
  <c r="AE384" i="12"/>
  <c r="AF384" i="12"/>
  <c r="AG384" i="12"/>
  <c r="AH384" i="12"/>
  <c r="AI384" i="12"/>
  <c r="AJ384" i="12" s="1"/>
  <c r="AK384" i="12"/>
  <c r="AO384" i="12" s="1"/>
  <c r="AL384" i="12"/>
  <c r="AN384" i="12"/>
  <c r="AP384" i="12"/>
  <c r="AR384" i="12"/>
  <c r="AS384" i="12"/>
  <c r="R385" i="12"/>
  <c r="S385" i="12"/>
  <c r="AQ385" i="12" s="1"/>
  <c r="Z385" i="12"/>
  <c r="AA385" i="12"/>
  <c r="AD385" i="12"/>
  <c r="AE385" i="12"/>
  <c r="AF385" i="12" s="1"/>
  <c r="AG385" i="12"/>
  <c r="AH385" i="12"/>
  <c r="AI385" i="12"/>
  <c r="AJ385" i="12" s="1"/>
  <c r="AK385" i="12"/>
  <c r="AO385" i="12" s="1"/>
  <c r="AL385" i="12"/>
  <c r="AN385" i="12"/>
  <c r="AP385" i="12"/>
  <c r="AS385" i="12"/>
  <c r="R386" i="12"/>
  <c r="S386" i="12"/>
  <c r="AR386" i="12" s="1"/>
  <c r="Z386" i="12"/>
  <c r="AA386" i="12"/>
  <c r="AC386" i="12" s="1"/>
  <c r="AD386" i="12"/>
  <c r="AE386" i="12"/>
  <c r="AF386" i="12" s="1"/>
  <c r="AG386" i="12"/>
  <c r="AH386" i="12"/>
  <c r="AI386" i="12"/>
  <c r="AJ386" i="12" s="1"/>
  <c r="AK386" i="12"/>
  <c r="AN386" i="12" s="1"/>
  <c r="AL386" i="12"/>
  <c r="AO386" i="12"/>
  <c r="AP386" i="12"/>
  <c r="AS386" i="12"/>
  <c r="R387" i="12"/>
  <c r="S387" i="12"/>
  <c r="AQ387" i="12" s="1"/>
  <c r="Z387" i="12"/>
  <c r="AA387" i="12"/>
  <c r="AB387" i="12" s="1"/>
  <c r="AD387" i="12"/>
  <c r="AE387" i="12"/>
  <c r="AF387" i="12" s="1"/>
  <c r="AG387" i="12"/>
  <c r="AH387" i="12"/>
  <c r="AI387" i="12"/>
  <c r="AJ387" i="12" s="1"/>
  <c r="AK387" i="12"/>
  <c r="AO387" i="12" s="1"/>
  <c r="AL387" i="12"/>
  <c r="AP387" i="12"/>
  <c r="AS387" i="12"/>
  <c r="R388" i="12"/>
  <c r="S388" i="12"/>
  <c r="Z388" i="12"/>
  <c r="AA388" i="12"/>
  <c r="AD388" i="12"/>
  <c r="AE388" i="12"/>
  <c r="AF388" i="12" s="1"/>
  <c r="AG388" i="12"/>
  <c r="AH388" i="12"/>
  <c r="AI388" i="12"/>
  <c r="AJ388" i="12" s="1"/>
  <c r="AK388" i="12"/>
  <c r="AL388" i="12"/>
  <c r="AN388" i="12"/>
  <c r="AO388" i="12"/>
  <c r="AP388" i="12"/>
  <c r="AQ388" i="12"/>
  <c r="AR388" i="12"/>
  <c r="AS388" i="12"/>
  <c r="R389" i="12"/>
  <c r="S389" i="12"/>
  <c r="AQ389" i="12" s="1"/>
  <c r="Z389" i="12"/>
  <c r="AA389" i="12"/>
  <c r="AB389" i="12" s="1"/>
  <c r="AD389" i="12"/>
  <c r="AE389" i="12"/>
  <c r="AF389" i="12" s="1"/>
  <c r="AG389" i="12"/>
  <c r="AH389" i="12"/>
  <c r="AI389" i="12"/>
  <c r="AJ389" i="12" s="1"/>
  <c r="AK389" i="12"/>
  <c r="AO389" i="12" s="1"/>
  <c r="AL389" i="12"/>
  <c r="AN389" i="12"/>
  <c r="AP389" i="12"/>
  <c r="AS389" i="12"/>
  <c r="R390" i="12"/>
  <c r="S390" i="12"/>
  <c r="Z390" i="12"/>
  <c r="AA390" i="12"/>
  <c r="AB390" i="12" s="1"/>
  <c r="AD390" i="12"/>
  <c r="AE390" i="12"/>
  <c r="AF390" i="12" s="1"/>
  <c r="AG390" i="12"/>
  <c r="AH390" i="12"/>
  <c r="AI390" i="12"/>
  <c r="AJ390" i="12" s="1"/>
  <c r="AK390" i="12"/>
  <c r="AN390" i="12" s="1"/>
  <c r="AL390" i="12"/>
  <c r="AP390" i="12"/>
  <c r="AS390" i="12"/>
  <c r="R391" i="12"/>
  <c r="S391" i="12"/>
  <c r="AQ391" i="12" s="1"/>
  <c r="Z391" i="12"/>
  <c r="AA391" i="12"/>
  <c r="AC391" i="12" s="1"/>
  <c r="AD391" i="12"/>
  <c r="AE391" i="12"/>
  <c r="AF391" i="12" s="1"/>
  <c r="AG391" i="12"/>
  <c r="AH391" i="12"/>
  <c r="AI391" i="12"/>
  <c r="AJ391" i="12" s="1"/>
  <c r="AK391" i="12"/>
  <c r="AO391" i="12" s="1"/>
  <c r="AL391" i="12"/>
  <c r="AP391" i="12"/>
  <c r="AS391" i="12"/>
  <c r="R392" i="12"/>
  <c r="S392" i="12"/>
  <c r="AR392" i="12" s="1"/>
  <c r="Z392" i="12"/>
  <c r="AA392" i="12"/>
  <c r="AC392" i="12" s="1"/>
  <c r="AD392" i="12"/>
  <c r="AE392" i="12"/>
  <c r="AF392" i="12" s="1"/>
  <c r="AG392" i="12"/>
  <c r="AH392" i="12"/>
  <c r="AI392" i="12"/>
  <c r="AJ392" i="12" s="1"/>
  <c r="AK392" i="12"/>
  <c r="AN392" i="12" s="1"/>
  <c r="AL392" i="12"/>
  <c r="AO392" i="12"/>
  <c r="AP392" i="12"/>
  <c r="AQ392" i="12"/>
  <c r="AS392" i="12"/>
  <c r="R393" i="12"/>
  <c r="S393" i="12"/>
  <c r="AQ393" i="12" s="1"/>
  <c r="Z393" i="12"/>
  <c r="AA393" i="12"/>
  <c r="AB393" i="12" s="1"/>
  <c r="AD393" i="12"/>
  <c r="AE393" i="12"/>
  <c r="AF393" i="12" s="1"/>
  <c r="AG393" i="12"/>
  <c r="AH393" i="12"/>
  <c r="AI393" i="12"/>
  <c r="AJ393" i="12" s="1"/>
  <c r="AK393" i="12"/>
  <c r="AO393" i="12" s="1"/>
  <c r="AL393" i="12"/>
  <c r="AP393" i="12"/>
  <c r="AS393" i="12"/>
  <c r="R394" i="12"/>
  <c r="S394" i="12"/>
  <c r="AR394" i="12" s="1"/>
  <c r="Z394" i="12"/>
  <c r="AA394" i="12"/>
  <c r="AC394" i="12" s="1"/>
  <c r="AD394" i="12"/>
  <c r="AE394" i="12"/>
  <c r="AF394" i="12" s="1"/>
  <c r="AG394" i="12"/>
  <c r="AH394" i="12"/>
  <c r="AI394" i="12"/>
  <c r="AJ394" i="12" s="1"/>
  <c r="AK394" i="12"/>
  <c r="AN394" i="12" s="1"/>
  <c r="AL394" i="12"/>
  <c r="AP394" i="12"/>
  <c r="AS394" i="12"/>
  <c r="R395" i="12"/>
  <c r="S395" i="12"/>
  <c r="AQ395" i="12" s="1"/>
  <c r="Z395" i="12"/>
  <c r="AA395" i="12"/>
  <c r="AB395" i="12" s="1"/>
  <c r="AD395" i="12"/>
  <c r="AE395" i="12"/>
  <c r="AF395" i="12" s="1"/>
  <c r="AG395" i="12"/>
  <c r="AH395" i="12"/>
  <c r="AI395" i="12"/>
  <c r="AJ395" i="12" s="1"/>
  <c r="AK395" i="12"/>
  <c r="AO395" i="12" s="1"/>
  <c r="AL395" i="12"/>
  <c r="AP395" i="12"/>
  <c r="AS395" i="12"/>
  <c r="R396" i="12"/>
  <c r="S396" i="12"/>
  <c r="AR396" i="12" s="1"/>
  <c r="Z396" i="12"/>
  <c r="AA396" i="12"/>
  <c r="AC396" i="12" s="1"/>
  <c r="AD396" i="12"/>
  <c r="AE396" i="12"/>
  <c r="AF396" i="12" s="1"/>
  <c r="AG396" i="12"/>
  <c r="AH396" i="12"/>
  <c r="AI396" i="12"/>
  <c r="AJ396" i="12" s="1"/>
  <c r="AK396" i="12"/>
  <c r="AN396" i="12" s="1"/>
  <c r="AL396" i="12"/>
  <c r="AO396" i="12"/>
  <c r="AP396" i="12"/>
  <c r="AS396" i="12"/>
  <c r="R397" i="12"/>
  <c r="S397" i="12"/>
  <c r="AQ397" i="12" s="1"/>
  <c r="Z397" i="12"/>
  <c r="AA397" i="12"/>
  <c r="AB397" i="12" s="1"/>
  <c r="AD397" i="12"/>
  <c r="AE397" i="12"/>
  <c r="AF397" i="12" s="1"/>
  <c r="AG397" i="12"/>
  <c r="AH397" i="12"/>
  <c r="AI397" i="12"/>
  <c r="AJ397" i="12" s="1"/>
  <c r="AK397" i="12"/>
  <c r="AO397" i="12" s="1"/>
  <c r="AL397" i="12"/>
  <c r="AN397" i="12"/>
  <c r="AP397" i="12"/>
  <c r="AS397" i="12"/>
  <c r="R398" i="12"/>
  <c r="S398" i="12"/>
  <c r="AR398" i="12" s="1"/>
  <c r="Z398" i="12"/>
  <c r="AA398" i="12"/>
  <c r="AB398" i="12" s="1"/>
  <c r="AD398" i="12"/>
  <c r="AE398" i="12"/>
  <c r="AF398" i="12" s="1"/>
  <c r="AG398" i="12"/>
  <c r="AH398" i="12"/>
  <c r="AI398" i="12"/>
  <c r="AJ398" i="12" s="1"/>
  <c r="AK398" i="12"/>
  <c r="AN398" i="12" s="1"/>
  <c r="AL398" i="12"/>
  <c r="AP398" i="12"/>
  <c r="AS398" i="12"/>
  <c r="R399" i="12"/>
  <c r="S399" i="12"/>
  <c r="AQ399" i="12" s="1"/>
  <c r="Z399" i="12"/>
  <c r="AA399" i="12"/>
  <c r="AD399" i="12"/>
  <c r="AE399" i="12"/>
  <c r="AF399" i="12" s="1"/>
  <c r="AG399" i="12"/>
  <c r="AH399" i="12"/>
  <c r="AI399" i="12"/>
  <c r="AJ399" i="12" s="1"/>
  <c r="AK399" i="12"/>
  <c r="AN399" i="12" s="1"/>
  <c r="AL399" i="12"/>
  <c r="AP399" i="12"/>
  <c r="AS399" i="12"/>
  <c r="R400" i="12"/>
  <c r="S400" i="12"/>
  <c r="AR400" i="12" s="1"/>
  <c r="Z400" i="12"/>
  <c r="AA400" i="12"/>
  <c r="AC400" i="12" s="1"/>
  <c r="AD400" i="12"/>
  <c r="AE400" i="12"/>
  <c r="AF400" i="12" s="1"/>
  <c r="AG400" i="12"/>
  <c r="AH400" i="12"/>
  <c r="AI400" i="12"/>
  <c r="AJ400" i="12" s="1"/>
  <c r="AK400" i="12"/>
  <c r="AN400" i="12" s="1"/>
  <c r="AL400" i="12"/>
  <c r="AO400" i="12"/>
  <c r="AP400" i="12"/>
  <c r="AQ400" i="12"/>
  <c r="AS400" i="12"/>
  <c r="R401" i="12"/>
  <c r="S401" i="12"/>
  <c r="AQ401" i="12" s="1"/>
  <c r="Z401" i="12"/>
  <c r="AA401" i="12"/>
  <c r="AB401" i="12" s="1"/>
  <c r="AD401" i="12"/>
  <c r="AE401" i="12"/>
  <c r="AF401" i="12" s="1"/>
  <c r="AG401" i="12"/>
  <c r="AH401" i="12"/>
  <c r="AI401" i="12"/>
  <c r="AJ401" i="12" s="1"/>
  <c r="AK401" i="12"/>
  <c r="AO401" i="12" s="1"/>
  <c r="AL401" i="12"/>
  <c r="AP401" i="12"/>
  <c r="AS401" i="12"/>
  <c r="R402" i="12"/>
  <c r="S402" i="12"/>
  <c r="AR402" i="12" s="1"/>
  <c r="Z402" i="12"/>
  <c r="AA402" i="12"/>
  <c r="AD402" i="12"/>
  <c r="AE402" i="12"/>
  <c r="AF402" i="12" s="1"/>
  <c r="AG402" i="12"/>
  <c r="AH402" i="12"/>
  <c r="AI402" i="12"/>
  <c r="AJ402" i="12" s="1"/>
  <c r="AK402" i="12"/>
  <c r="AN402" i="12" s="1"/>
  <c r="AL402" i="12"/>
  <c r="AO402" i="12"/>
  <c r="AP402" i="12"/>
  <c r="AQ402" i="12"/>
  <c r="AS402" i="12"/>
  <c r="R403" i="12"/>
  <c r="S403" i="12"/>
  <c r="AQ403" i="12" s="1"/>
  <c r="Z403" i="12"/>
  <c r="AA403" i="12"/>
  <c r="AB403" i="12" s="1"/>
  <c r="AD403" i="12"/>
  <c r="AE403" i="12"/>
  <c r="AF403" i="12" s="1"/>
  <c r="AG403" i="12"/>
  <c r="AH403" i="12"/>
  <c r="AI403" i="12"/>
  <c r="AJ403" i="12" s="1"/>
  <c r="AK403" i="12"/>
  <c r="AO403" i="12" s="1"/>
  <c r="AL403" i="12"/>
  <c r="AP403" i="12"/>
  <c r="AS403" i="12"/>
  <c r="R404" i="12"/>
  <c r="S404" i="12"/>
  <c r="AQ404" i="12" s="1"/>
  <c r="Z404" i="12"/>
  <c r="AA404" i="12"/>
  <c r="AC404" i="12" s="1"/>
  <c r="AD404" i="12"/>
  <c r="AE404" i="12"/>
  <c r="AF404" i="12" s="1"/>
  <c r="AG404" i="12"/>
  <c r="AH404" i="12"/>
  <c r="AI404" i="12"/>
  <c r="AJ404" i="12" s="1"/>
  <c r="AK404" i="12"/>
  <c r="AO404" i="12" s="1"/>
  <c r="AL404" i="12"/>
  <c r="AN404" i="12"/>
  <c r="AP404" i="12"/>
  <c r="AS404" i="12"/>
  <c r="R405" i="12"/>
  <c r="S405" i="12"/>
  <c r="AQ405" i="12" s="1"/>
  <c r="Z405" i="12"/>
  <c r="AA405" i="12"/>
  <c r="AD405" i="12"/>
  <c r="AE405" i="12"/>
  <c r="AF405" i="12" s="1"/>
  <c r="AG405" i="12"/>
  <c r="AH405" i="12"/>
  <c r="AI405" i="12"/>
  <c r="AJ405" i="12" s="1"/>
  <c r="AK405" i="12"/>
  <c r="AO405" i="12" s="1"/>
  <c r="AL405" i="12"/>
  <c r="AP405" i="12"/>
  <c r="AS405" i="12"/>
  <c r="R406" i="12"/>
  <c r="S406" i="12"/>
  <c r="AR406" i="12" s="1"/>
  <c r="Z406" i="12"/>
  <c r="AA406" i="12"/>
  <c r="AB406" i="12" s="1"/>
  <c r="AD406" i="12"/>
  <c r="AE406" i="12"/>
  <c r="AF406" i="12" s="1"/>
  <c r="AG406" i="12"/>
  <c r="AH406" i="12"/>
  <c r="AI406" i="12"/>
  <c r="AJ406" i="12" s="1"/>
  <c r="AK406" i="12"/>
  <c r="AN406" i="12" s="1"/>
  <c r="AL406" i="12"/>
  <c r="AO406" i="12"/>
  <c r="AP406" i="12"/>
  <c r="AS406" i="12"/>
  <c r="R407" i="12"/>
  <c r="S407" i="12"/>
  <c r="AQ407" i="12" s="1"/>
  <c r="Z407" i="12"/>
  <c r="AA407" i="12"/>
  <c r="AD407" i="12"/>
  <c r="AE407" i="12"/>
  <c r="AF407" i="12"/>
  <c r="AG407" i="12"/>
  <c r="AH407" i="12"/>
  <c r="AI407" i="12"/>
  <c r="AJ407" i="12" s="1"/>
  <c r="AK407" i="12"/>
  <c r="AO407" i="12" s="1"/>
  <c r="AL407" i="12"/>
  <c r="AP407" i="12"/>
  <c r="AS407" i="12"/>
  <c r="R408" i="12"/>
  <c r="S408" i="12"/>
  <c r="Z408" i="12"/>
  <c r="AA408" i="12"/>
  <c r="AC408" i="12" s="1"/>
  <c r="AD408" i="12"/>
  <c r="AE408" i="12"/>
  <c r="AF408" i="12" s="1"/>
  <c r="AG408" i="12"/>
  <c r="AH408" i="12"/>
  <c r="AI408" i="12"/>
  <c r="AJ408" i="12" s="1"/>
  <c r="AK408" i="12"/>
  <c r="AL408" i="12"/>
  <c r="AN408" i="12"/>
  <c r="AO408" i="12"/>
  <c r="AP408" i="12"/>
  <c r="AQ408" i="12"/>
  <c r="AR408" i="12"/>
  <c r="AS408" i="12"/>
  <c r="R409" i="12"/>
  <c r="S409" i="12"/>
  <c r="AQ409" i="12" s="1"/>
  <c r="Z409" i="12"/>
  <c r="AA409" i="12"/>
  <c r="AB409" i="12" s="1"/>
  <c r="AD409" i="12"/>
  <c r="AE409" i="12"/>
  <c r="AF409" i="12" s="1"/>
  <c r="AG409" i="12"/>
  <c r="AH409" i="12"/>
  <c r="AI409" i="12"/>
  <c r="AJ409" i="12" s="1"/>
  <c r="AK409" i="12"/>
  <c r="AO409" i="12" s="1"/>
  <c r="AL409" i="12"/>
  <c r="AP409" i="12"/>
  <c r="AS409" i="12"/>
  <c r="R410" i="12"/>
  <c r="S410" i="12"/>
  <c r="AR410" i="12" s="1"/>
  <c r="Z410" i="12"/>
  <c r="AA410" i="12"/>
  <c r="AD410" i="12"/>
  <c r="AE410" i="12"/>
  <c r="AF410" i="12" s="1"/>
  <c r="AG410" i="12"/>
  <c r="AH410" i="12"/>
  <c r="AI410" i="12"/>
  <c r="AJ410" i="12" s="1"/>
  <c r="AK410" i="12"/>
  <c r="AN410" i="12" s="1"/>
  <c r="AL410" i="12"/>
  <c r="AO410" i="12"/>
  <c r="AP410" i="12"/>
  <c r="AS410" i="12"/>
  <c r="R411" i="12"/>
  <c r="S411" i="12"/>
  <c r="AQ411" i="12" s="1"/>
  <c r="Z411" i="12"/>
  <c r="AA411" i="12"/>
  <c r="AB411" i="12" s="1"/>
  <c r="AD411" i="12"/>
  <c r="AE411" i="12"/>
  <c r="AF411" i="12" s="1"/>
  <c r="AG411" i="12"/>
  <c r="AH411" i="12"/>
  <c r="AI411" i="12"/>
  <c r="AJ411" i="12" s="1"/>
  <c r="AK411" i="12"/>
  <c r="AN411" i="12" s="1"/>
  <c r="AL411" i="12"/>
  <c r="AP411" i="12"/>
  <c r="AS411" i="12"/>
  <c r="R412" i="12"/>
  <c r="S412" i="12"/>
  <c r="AR412" i="12" s="1"/>
  <c r="Z412" i="12"/>
  <c r="AA412" i="12"/>
  <c r="AC412" i="12" s="1"/>
  <c r="AD412" i="12"/>
  <c r="AE412" i="12"/>
  <c r="AF412" i="12" s="1"/>
  <c r="AG412" i="12"/>
  <c r="AH412" i="12"/>
  <c r="AI412" i="12"/>
  <c r="AJ412" i="12" s="1"/>
  <c r="AK412" i="12"/>
  <c r="AN412" i="12" s="1"/>
  <c r="AL412" i="12"/>
  <c r="AO412" i="12"/>
  <c r="AP412" i="12"/>
  <c r="AS412" i="12"/>
  <c r="R413" i="12"/>
  <c r="S413" i="12"/>
  <c r="AQ413" i="12" s="1"/>
  <c r="Z413" i="12"/>
  <c r="AA413" i="12"/>
  <c r="AD413" i="12"/>
  <c r="AE413" i="12"/>
  <c r="AF413" i="12" s="1"/>
  <c r="AG413" i="12"/>
  <c r="AH413" i="12"/>
  <c r="AI413" i="12"/>
  <c r="AJ413" i="12" s="1"/>
  <c r="AK413" i="12"/>
  <c r="AO413" i="12" s="1"/>
  <c r="AL413" i="12"/>
  <c r="AP413" i="12"/>
  <c r="AS413" i="12"/>
  <c r="R414" i="12"/>
  <c r="S414" i="12"/>
  <c r="AR414" i="12" s="1"/>
  <c r="Z414" i="12"/>
  <c r="AA414" i="12"/>
  <c r="AC414" i="12" s="1"/>
  <c r="AD414" i="12"/>
  <c r="AE414" i="12"/>
  <c r="AF414" i="12"/>
  <c r="AG414" i="12"/>
  <c r="AH414" i="12"/>
  <c r="AI414" i="12"/>
  <c r="AJ414" i="12" s="1"/>
  <c r="AK414" i="12"/>
  <c r="AN414" i="12" s="1"/>
  <c r="AL414" i="12"/>
  <c r="AP414" i="12"/>
  <c r="AQ414" i="12"/>
  <c r="AS414" i="12"/>
  <c r="R415" i="12"/>
  <c r="S415" i="12"/>
  <c r="AQ415" i="12" s="1"/>
  <c r="Z415" i="12"/>
  <c r="AA415" i="12"/>
  <c r="AB415" i="12" s="1"/>
  <c r="AD415" i="12"/>
  <c r="AE415" i="12"/>
  <c r="AF415" i="12" s="1"/>
  <c r="AG415" i="12"/>
  <c r="AH415" i="12"/>
  <c r="AI415" i="12"/>
  <c r="AJ415" i="12" s="1"/>
  <c r="AK415" i="12"/>
  <c r="AO415" i="12" s="1"/>
  <c r="AL415" i="12"/>
  <c r="AP415" i="12"/>
  <c r="AS415" i="12"/>
  <c r="R416" i="12"/>
  <c r="S416" i="12"/>
  <c r="AQ416" i="12" s="1"/>
  <c r="Z416" i="12"/>
  <c r="AA416" i="12"/>
  <c r="AC416" i="12" s="1"/>
  <c r="AD416" i="12"/>
  <c r="AE416" i="12"/>
  <c r="AF416" i="12" s="1"/>
  <c r="AG416" i="12"/>
  <c r="AH416" i="12"/>
  <c r="AI416" i="12"/>
  <c r="AJ416" i="12" s="1"/>
  <c r="AK416" i="12"/>
  <c r="AO416" i="12" s="1"/>
  <c r="AL416" i="12"/>
  <c r="AP416" i="12"/>
  <c r="AS416" i="12"/>
  <c r="R417" i="12"/>
  <c r="S417" i="12"/>
  <c r="AQ417" i="12" s="1"/>
  <c r="Z417" i="12"/>
  <c r="AA417" i="12"/>
  <c r="AB417" i="12" s="1"/>
  <c r="AD417" i="12"/>
  <c r="AE417" i="12"/>
  <c r="AF417" i="12" s="1"/>
  <c r="AG417" i="12"/>
  <c r="AH417" i="12"/>
  <c r="AI417" i="12"/>
  <c r="AJ417" i="12" s="1"/>
  <c r="AK417" i="12"/>
  <c r="AO417" i="12" s="1"/>
  <c r="AL417" i="12"/>
  <c r="AN417" i="12"/>
  <c r="AP417" i="12"/>
  <c r="AS417" i="12"/>
  <c r="R418" i="12"/>
  <c r="S418" i="12"/>
  <c r="AR418" i="12" s="1"/>
  <c r="Z418" i="12"/>
  <c r="AA418" i="12"/>
  <c r="AB418" i="12" s="1"/>
  <c r="AD418" i="12"/>
  <c r="AE418" i="12"/>
  <c r="AF418" i="12" s="1"/>
  <c r="AG418" i="12"/>
  <c r="AH418" i="12"/>
  <c r="AI418" i="12"/>
  <c r="AJ418" i="12" s="1"/>
  <c r="AK418" i="12"/>
  <c r="AN418" i="12" s="1"/>
  <c r="AL418" i="12"/>
  <c r="AP418" i="12"/>
  <c r="AS418" i="12"/>
  <c r="R419" i="12"/>
  <c r="S419" i="12"/>
  <c r="AQ419" i="12" s="1"/>
  <c r="Z419" i="12"/>
  <c r="AA419" i="12"/>
  <c r="AB419" i="12" s="1"/>
  <c r="AD419" i="12"/>
  <c r="AE419" i="12"/>
  <c r="AF419" i="12" s="1"/>
  <c r="AG419" i="12"/>
  <c r="AH419" i="12"/>
  <c r="AI419" i="12"/>
  <c r="AJ419" i="12" s="1"/>
  <c r="AK419" i="12"/>
  <c r="AN419" i="12" s="1"/>
  <c r="AL419" i="12"/>
  <c r="AP419" i="12"/>
  <c r="AS419" i="12"/>
  <c r="R420" i="12"/>
  <c r="S420" i="12"/>
  <c r="AQ420" i="12" s="1"/>
  <c r="Z420" i="12"/>
  <c r="AA420" i="12"/>
  <c r="AD420" i="12"/>
  <c r="AE420" i="12"/>
  <c r="AF420" i="12" s="1"/>
  <c r="AG420" i="12"/>
  <c r="AH420" i="12"/>
  <c r="AI420" i="12"/>
  <c r="AJ420" i="12" s="1"/>
  <c r="AK420" i="12"/>
  <c r="AO420" i="12" s="1"/>
  <c r="AL420" i="12"/>
  <c r="AN420" i="12"/>
  <c r="AP420" i="12"/>
  <c r="AS420" i="12"/>
  <c r="R421" i="12"/>
  <c r="S421" i="12"/>
  <c r="AQ421" i="12" s="1"/>
  <c r="Z421" i="12"/>
  <c r="AA421" i="12"/>
  <c r="AD421" i="12"/>
  <c r="AE421" i="12"/>
  <c r="AF421" i="12" s="1"/>
  <c r="AG421" i="12"/>
  <c r="AH421" i="12"/>
  <c r="AI421" i="12"/>
  <c r="AJ421" i="12" s="1"/>
  <c r="AK421" i="12"/>
  <c r="AO421" i="12" s="1"/>
  <c r="AL421" i="12"/>
  <c r="AP421" i="12"/>
  <c r="AS421" i="12"/>
  <c r="R422" i="12"/>
  <c r="S422" i="12"/>
  <c r="AR422" i="12" s="1"/>
  <c r="Z422" i="12"/>
  <c r="AA422" i="12"/>
  <c r="AB422" i="12" s="1"/>
  <c r="AD422" i="12"/>
  <c r="AE422" i="12"/>
  <c r="AF422" i="12" s="1"/>
  <c r="AG422" i="12"/>
  <c r="AH422" i="12"/>
  <c r="AI422" i="12"/>
  <c r="AJ422" i="12" s="1"/>
  <c r="AK422" i="12"/>
  <c r="AN422" i="12" s="1"/>
  <c r="AL422" i="12"/>
  <c r="AP422" i="12"/>
  <c r="AQ422" i="12"/>
  <c r="AS422" i="12"/>
  <c r="R423" i="12"/>
  <c r="S423" i="12"/>
  <c r="AQ423" i="12" s="1"/>
  <c r="Z423" i="12"/>
  <c r="AA423" i="12"/>
  <c r="AC423" i="12" s="1"/>
  <c r="AD423" i="12"/>
  <c r="AE423" i="12"/>
  <c r="AF423" i="12" s="1"/>
  <c r="AG423" i="12"/>
  <c r="AH423" i="12"/>
  <c r="AI423" i="12"/>
  <c r="AJ423" i="12" s="1"/>
  <c r="AK423" i="12"/>
  <c r="AN423" i="12" s="1"/>
  <c r="AL423" i="12"/>
  <c r="AP423" i="12"/>
  <c r="AS423" i="12"/>
  <c r="R424" i="12"/>
  <c r="S424" i="12"/>
  <c r="AR424" i="12" s="1"/>
  <c r="Z424" i="12"/>
  <c r="AA424" i="12"/>
  <c r="AC424" i="12" s="1"/>
  <c r="AD424" i="12"/>
  <c r="AE424" i="12"/>
  <c r="AF424" i="12" s="1"/>
  <c r="AG424" i="12"/>
  <c r="AH424" i="12"/>
  <c r="AI424" i="12"/>
  <c r="AJ424" i="12" s="1"/>
  <c r="AK424" i="12"/>
  <c r="AN424" i="12" s="1"/>
  <c r="AL424" i="12"/>
  <c r="AO424" i="12"/>
  <c r="AP424" i="12"/>
  <c r="AS424" i="12"/>
  <c r="R425" i="12"/>
  <c r="S425" i="12"/>
  <c r="AQ425" i="12" s="1"/>
  <c r="Z425" i="12"/>
  <c r="AA425" i="12"/>
  <c r="AB425" i="12" s="1"/>
  <c r="AD425" i="12"/>
  <c r="AE425" i="12"/>
  <c r="AF425" i="12" s="1"/>
  <c r="AG425" i="12"/>
  <c r="AH425" i="12"/>
  <c r="AI425" i="12"/>
  <c r="AJ425" i="12" s="1"/>
  <c r="AK425" i="12"/>
  <c r="AO425" i="12" s="1"/>
  <c r="AL425" i="12"/>
  <c r="AN425" i="12"/>
  <c r="AP425" i="12"/>
  <c r="AS425" i="12"/>
  <c r="R426" i="12"/>
  <c r="S426" i="12"/>
  <c r="Z426" i="12"/>
  <c r="AA426" i="12"/>
  <c r="AD426" i="12"/>
  <c r="AE426" i="12"/>
  <c r="AF426" i="12" s="1"/>
  <c r="AG426" i="12"/>
  <c r="AH426" i="12"/>
  <c r="AI426" i="12"/>
  <c r="AJ426" i="12" s="1"/>
  <c r="AK426" i="12"/>
  <c r="AN426" i="12" s="1"/>
  <c r="AL426" i="12"/>
  <c r="AP426" i="12"/>
  <c r="AS426" i="12"/>
  <c r="R427" i="12"/>
  <c r="S427" i="12"/>
  <c r="AQ427" i="12" s="1"/>
  <c r="Z427" i="12"/>
  <c r="AA427" i="12"/>
  <c r="AC427" i="12" s="1"/>
  <c r="AD427" i="12"/>
  <c r="AE427" i="12"/>
  <c r="AF427" i="12" s="1"/>
  <c r="AG427" i="12"/>
  <c r="AH427" i="12"/>
  <c r="AI427" i="12"/>
  <c r="AJ427" i="12" s="1"/>
  <c r="AK427" i="12"/>
  <c r="AN427" i="12" s="1"/>
  <c r="AL427" i="12"/>
  <c r="AP427" i="12"/>
  <c r="AS427" i="12"/>
  <c r="R428" i="12"/>
  <c r="S428" i="12"/>
  <c r="AR428" i="12" s="1"/>
  <c r="Z428" i="12"/>
  <c r="AA428" i="12"/>
  <c r="AD428" i="12"/>
  <c r="AE428" i="12"/>
  <c r="AF428" i="12" s="1"/>
  <c r="AG428" i="12"/>
  <c r="AH428" i="12"/>
  <c r="AI428" i="12"/>
  <c r="AJ428" i="12" s="1"/>
  <c r="AK428" i="12"/>
  <c r="AN428" i="12" s="1"/>
  <c r="AL428" i="12"/>
  <c r="AO428" i="12"/>
  <c r="AP428" i="12"/>
  <c r="AS428" i="12"/>
  <c r="R429" i="12"/>
  <c r="S429" i="12"/>
  <c r="AQ429" i="12" s="1"/>
  <c r="Z429" i="12"/>
  <c r="AA429" i="12"/>
  <c r="AD429" i="12"/>
  <c r="AE429" i="12"/>
  <c r="AF429" i="12" s="1"/>
  <c r="AG429" i="12"/>
  <c r="AH429" i="12"/>
  <c r="AI429" i="12"/>
  <c r="AJ429" i="12" s="1"/>
  <c r="AK429" i="12"/>
  <c r="AO429" i="12" s="1"/>
  <c r="AL429" i="12"/>
  <c r="AN429" i="12"/>
  <c r="AP429" i="12"/>
  <c r="AS429" i="12"/>
  <c r="R430" i="12"/>
  <c r="S430" i="12"/>
  <c r="AR430" i="12" s="1"/>
  <c r="Z430" i="12"/>
  <c r="AA430" i="12"/>
  <c r="AC430" i="12" s="1"/>
  <c r="AD430" i="12"/>
  <c r="AE430" i="12"/>
  <c r="AF430" i="12" s="1"/>
  <c r="AG430" i="12"/>
  <c r="AH430" i="12"/>
  <c r="AI430" i="12"/>
  <c r="AJ430" i="12" s="1"/>
  <c r="AK430" i="12"/>
  <c r="AN430" i="12" s="1"/>
  <c r="AL430" i="12"/>
  <c r="AP430" i="12"/>
  <c r="AS430" i="12"/>
  <c r="R431" i="12"/>
  <c r="S431" i="12"/>
  <c r="AQ431" i="12" s="1"/>
  <c r="Z431" i="12"/>
  <c r="AA431" i="12"/>
  <c r="AC431" i="12" s="1"/>
  <c r="AD431" i="12"/>
  <c r="AE431" i="12"/>
  <c r="AF431" i="12" s="1"/>
  <c r="AG431" i="12"/>
  <c r="AH431" i="12"/>
  <c r="AI431" i="12"/>
  <c r="AJ431" i="12" s="1"/>
  <c r="AK431" i="12"/>
  <c r="AN431" i="12" s="1"/>
  <c r="AL431" i="12"/>
  <c r="AP431" i="12"/>
  <c r="AS431" i="12"/>
  <c r="R432" i="12"/>
  <c r="S432" i="12"/>
  <c r="AR432" i="12" s="1"/>
  <c r="Z432" i="12"/>
  <c r="AA432" i="12"/>
  <c r="AC432" i="12" s="1"/>
  <c r="AD432" i="12"/>
  <c r="AE432" i="12"/>
  <c r="AF432" i="12" s="1"/>
  <c r="AG432" i="12"/>
  <c r="AH432" i="12"/>
  <c r="AI432" i="12"/>
  <c r="AJ432" i="12" s="1"/>
  <c r="AK432" i="12"/>
  <c r="AO432" i="12" s="1"/>
  <c r="AL432" i="12"/>
  <c r="AN432" i="12"/>
  <c r="AP432" i="12"/>
  <c r="AS432" i="12"/>
  <c r="R433" i="12"/>
  <c r="S433" i="12"/>
  <c r="AQ433" i="12" s="1"/>
  <c r="Z433" i="12"/>
  <c r="AA433" i="12"/>
  <c r="AB433" i="12" s="1"/>
  <c r="AD433" i="12"/>
  <c r="AE433" i="12"/>
  <c r="AF433" i="12" s="1"/>
  <c r="AG433" i="12"/>
  <c r="AH433" i="12"/>
  <c r="AI433" i="12"/>
  <c r="AJ433" i="12" s="1"/>
  <c r="AK433" i="12"/>
  <c r="AO433" i="12" s="1"/>
  <c r="AL433" i="12"/>
  <c r="AN433" i="12"/>
  <c r="AP433" i="12"/>
  <c r="AS433" i="12"/>
  <c r="R434" i="12"/>
  <c r="S434" i="12"/>
  <c r="AR434" i="12" s="1"/>
  <c r="Z434" i="12"/>
  <c r="AA434" i="12"/>
  <c r="AB434" i="12" s="1"/>
  <c r="AD434" i="12"/>
  <c r="AE434" i="12"/>
  <c r="AF434" i="12" s="1"/>
  <c r="AG434" i="12"/>
  <c r="AH434" i="12"/>
  <c r="AI434" i="12"/>
  <c r="AJ434" i="12" s="1"/>
  <c r="AK434" i="12"/>
  <c r="AN434" i="12" s="1"/>
  <c r="AL434" i="12"/>
  <c r="AO434" i="12"/>
  <c r="AP434" i="12"/>
  <c r="AS434" i="12"/>
  <c r="R435" i="12"/>
  <c r="S435" i="12"/>
  <c r="AQ435" i="12" s="1"/>
  <c r="Z435" i="12"/>
  <c r="AA435" i="12"/>
  <c r="AB435" i="12" s="1"/>
  <c r="AD435" i="12"/>
  <c r="AE435" i="12"/>
  <c r="AF435" i="12" s="1"/>
  <c r="AG435" i="12"/>
  <c r="AH435" i="12"/>
  <c r="AI435" i="12"/>
  <c r="AJ435" i="12" s="1"/>
  <c r="AK435" i="12"/>
  <c r="AN435" i="12" s="1"/>
  <c r="AL435" i="12"/>
  <c r="AP435" i="12"/>
  <c r="AS435" i="12"/>
  <c r="R436" i="12"/>
  <c r="S436" i="12"/>
  <c r="AQ436" i="12" s="1"/>
  <c r="Z436" i="12"/>
  <c r="AA436" i="12"/>
  <c r="AC436" i="12" s="1"/>
  <c r="AD436" i="12"/>
  <c r="AE436" i="12"/>
  <c r="AF436" i="12" s="1"/>
  <c r="AG436" i="12"/>
  <c r="AH436" i="12"/>
  <c r="AI436" i="12"/>
  <c r="AJ436" i="12" s="1"/>
  <c r="AK436" i="12"/>
  <c r="AO436" i="12" s="1"/>
  <c r="AL436" i="12"/>
  <c r="AP436" i="12"/>
  <c r="AR436" i="12"/>
  <c r="AS436" i="12"/>
  <c r="R437" i="12"/>
  <c r="S437" i="12"/>
  <c r="AQ437" i="12" s="1"/>
  <c r="Z437" i="12"/>
  <c r="AA437" i="12"/>
  <c r="AD437" i="12"/>
  <c r="AE437" i="12"/>
  <c r="AF437" i="12" s="1"/>
  <c r="AG437" i="12"/>
  <c r="AH437" i="12"/>
  <c r="AI437" i="12"/>
  <c r="AJ437" i="12" s="1"/>
  <c r="AK437" i="12"/>
  <c r="AO437" i="12" s="1"/>
  <c r="AL437" i="12"/>
  <c r="AP437" i="12"/>
  <c r="AS437" i="12"/>
  <c r="R438" i="12"/>
  <c r="S438" i="12"/>
  <c r="AR438" i="12" s="1"/>
  <c r="Z438" i="12"/>
  <c r="AA438" i="12"/>
  <c r="AB438" i="12" s="1"/>
  <c r="AD438" i="12"/>
  <c r="AE438" i="12"/>
  <c r="AF438" i="12" s="1"/>
  <c r="AG438" i="12"/>
  <c r="AH438" i="12"/>
  <c r="AI438" i="12"/>
  <c r="AJ438" i="12" s="1"/>
  <c r="AK438" i="12"/>
  <c r="AN438" i="12" s="1"/>
  <c r="AL438" i="12"/>
  <c r="AO438" i="12"/>
  <c r="AP438" i="12"/>
  <c r="AS438" i="12"/>
  <c r="R439" i="12"/>
  <c r="S439" i="12"/>
  <c r="AQ439" i="12" s="1"/>
  <c r="Z439" i="12"/>
  <c r="AA439" i="12"/>
  <c r="AD439" i="12"/>
  <c r="AE439" i="12"/>
  <c r="AF439" i="12" s="1"/>
  <c r="AG439" i="12"/>
  <c r="AH439" i="12"/>
  <c r="AI439" i="12"/>
  <c r="AJ439" i="12" s="1"/>
  <c r="AK439" i="12"/>
  <c r="AO439" i="12" s="1"/>
  <c r="AL439" i="12"/>
  <c r="AP439" i="12"/>
  <c r="AS439" i="12"/>
  <c r="R440" i="12"/>
  <c r="S440" i="12"/>
  <c r="AQ440" i="12" s="1"/>
  <c r="Z440" i="12"/>
  <c r="AA440" i="12"/>
  <c r="AC440" i="12" s="1"/>
  <c r="AD440" i="12"/>
  <c r="AE440" i="12"/>
  <c r="AF440" i="12" s="1"/>
  <c r="AG440" i="12"/>
  <c r="AH440" i="12"/>
  <c r="AI440" i="12"/>
  <c r="AJ440" i="12" s="1"/>
  <c r="AK440" i="12"/>
  <c r="AO440" i="12" s="1"/>
  <c r="AL440" i="12"/>
  <c r="AP440" i="12"/>
  <c r="AS440" i="12"/>
  <c r="R441" i="12"/>
  <c r="S441" i="12"/>
  <c r="AR441" i="12" s="1"/>
  <c r="Z441" i="12"/>
  <c r="AA441" i="12"/>
  <c r="AB441" i="12" s="1"/>
  <c r="AD441" i="12"/>
  <c r="AE441" i="12"/>
  <c r="AF441" i="12" s="1"/>
  <c r="AG441" i="12"/>
  <c r="AH441" i="12"/>
  <c r="AI441" i="12"/>
  <c r="AJ441" i="12" s="1"/>
  <c r="AK441" i="12"/>
  <c r="AO441" i="12" s="1"/>
  <c r="AL441" i="12"/>
  <c r="AN441" i="12"/>
  <c r="AP441" i="12"/>
  <c r="AQ441" i="12"/>
  <c r="AS441" i="12"/>
  <c r="R442" i="12"/>
  <c r="S442" i="12"/>
  <c r="AR442" i="12" s="1"/>
  <c r="Z442" i="12"/>
  <c r="AA442" i="12"/>
  <c r="AB442" i="12" s="1"/>
  <c r="AD442" i="12"/>
  <c r="AE442" i="12"/>
  <c r="AF442" i="12" s="1"/>
  <c r="AG442" i="12"/>
  <c r="AH442" i="12"/>
  <c r="AI442" i="12"/>
  <c r="AJ442" i="12" s="1"/>
  <c r="AK442" i="12"/>
  <c r="AN442" i="12" s="1"/>
  <c r="AL442" i="12"/>
  <c r="AP442" i="12"/>
  <c r="AQ442" i="12"/>
  <c r="AS442" i="12"/>
  <c r="R443" i="12"/>
  <c r="S443" i="12"/>
  <c r="AQ443" i="12" s="1"/>
  <c r="Z443" i="12"/>
  <c r="AA443" i="12"/>
  <c r="AD443" i="12"/>
  <c r="AE443" i="12"/>
  <c r="AF443" i="12" s="1"/>
  <c r="AG443" i="12"/>
  <c r="AH443" i="12"/>
  <c r="AI443" i="12"/>
  <c r="AJ443" i="12" s="1"/>
  <c r="AK443" i="12"/>
  <c r="AN443" i="12" s="1"/>
  <c r="AL443" i="12"/>
  <c r="AP443" i="12"/>
  <c r="AS443" i="12"/>
  <c r="R444" i="12"/>
  <c r="S444" i="12"/>
  <c r="AR444" i="12" s="1"/>
  <c r="Z444" i="12"/>
  <c r="AA444" i="12"/>
  <c r="AC444" i="12" s="1"/>
  <c r="AD444" i="12"/>
  <c r="AE444" i="12"/>
  <c r="AF444" i="12" s="1"/>
  <c r="AG444" i="12"/>
  <c r="AH444" i="12"/>
  <c r="AI444" i="12"/>
  <c r="AJ444" i="12" s="1"/>
  <c r="AK444" i="12"/>
  <c r="AO444" i="12" s="1"/>
  <c r="AL444" i="12"/>
  <c r="AN444" i="12"/>
  <c r="AP444" i="12"/>
  <c r="AS444" i="12"/>
  <c r="R445" i="12"/>
  <c r="S445" i="12"/>
  <c r="AR445" i="12" s="1"/>
  <c r="Z445" i="12"/>
  <c r="AA445" i="12"/>
  <c r="AB445" i="12" s="1"/>
  <c r="AD445" i="12"/>
  <c r="AE445" i="12"/>
  <c r="AF445" i="12" s="1"/>
  <c r="AG445" i="12"/>
  <c r="AH445" i="12"/>
  <c r="AI445" i="12"/>
  <c r="AJ445" i="12" s="1"/>
  <c r="AK445" i="12"/>
  <c r="AO445" i="12" s="1"/>
  <c r="AL445" i="12"/>
  <c r="AN445" i="12"/>
  <c r="AP445" i="12"/>
  <c r="AQ445" i="12"/>
  <c r="AS445" i="12"/>
  <c r="R446" i="12"/>
  <c r="S446" i="12"/>
  <c r="AR446" i="12" s="1"/>
  <c r="Z446" i="12"/>
  <c r="AA446" i="12"/>
  <c r="AC446" i="12" s="1"/>
  <c r="AD446" i="12"/>
  <c r="AE446" i="12"/>
  <c r="AF446" i="12" s="1"/>
  <c r="AG446" i="12"/>
  <c r="AH446" i="12"/>
  <c r="AI446" i="12"/>
  <c r="AJ446" i="12" s="1"/>
  <c r="AK446" i="12"/>
  <c r="AN446" i="12" s="1"/>
  <c r="AL446" i="12"/>
  <c r="AP446" i="12"/>
  <c r="AS446" i="12"/>
  <c r="R447" i="12"/>
  <c r="S447" i="12"/>
  <c r="AQ447" i="12" s="1"/>
  <c r="Z447" i="12"/>
  <c r="AA447" i="12"/>
  <c r="AB447" i="12" s="1"/>
  <c r="AD447" i="12"/>
  <c r="AE447" i="12"/>
  <c r="AF447" i="12" s="1"/>
  <c r="AG447" i="12"/>
  <c r="AH447" i="12"/>
  <c r="AI447" i="12"/>
  <c r="AJ447" i="12" s="1"/>
  <c r="AK447" i="12"/>
  <c r="AO447" i="12" s="1"/>
  <c r="AL447" i="12"/>
  <c r="AP447" i="12"/>
  <c r="AS447" i="12"/>
  <c r="R448" i="12"/>
  <c r="S448" i="12"/>
  <c r="AQ448" i="12" s="1"/>
  <c r="Z448" i="12"/>
  <c r="AA448" i="12"/>
  <c r="AC448" i="12" s="1"/>
  <c r="AD448" i="12"/>
  <c r="AE448" i="12"/>
  <c r="AF448" i="12" s="1"/>
  <c r="AG448" i="12"/>
  <c r="AH448" i="12"/>
  <c r="AI448" i="12"/>
  <c r="AJ448" i="12" s="1"/>
  <c r="AK448" i="12"/>
  <c r="AO448" i="12" s="1"/>
  <c r="AL448" i="12"/>
  <c r="AN448" i="12"/>
  <c r="AP448" i="12"/>
  <c r="AR448" i="12"/>
  <c r="AS448" i="12"/>
  <c r="R449" i="12"/>
  <c r="S449" i="12"/>
  <c r="AR449" i="12" s="1"/>
  <c r="Z449" i="12"/>
  <c r="AA449" i="12"/>
  <c r="AB449" i="12" s="1"/>
  <c r="AD449" i="12"/>
  <c r="AE449" i="12"/>
  <c r="AF449" i="12" s="1"/>
  <c r="AG449" i="12"/>
  <c r="AH449" i="12"/>
  <c r="AI449" i="12"/>
  <c r="AJ449" i="12" s="1"/>
  <c r="AK449" i="12"/>
  <c r="AO449" i="12" s="1"/>
  <c r="AL449" i="12"/>
  <c r="AN449" i="12"/>
  <c r="AP449" i="12"/>
  <c r="AQ449" i="12"/>
  <c r="AS449" i="12"/>
  <c r="R450" i="12"/>
  <c r="S450" i="12"/>
  <c r="AR450" i="12" s="1"/>
  <c r="Z450" i="12"/>
  <c r="AA450" i="12"/>
  <c r="AC450" i="12" s="1"/>
  <c r="AD450" i="12"/>
  <c r="AE450" i="12"/>
  <c r="AF450" i="12" s="1"/>
  <c r="AG450" i="12"/>
  <c r="AH450" i="12"/>
  <c r="AI450" i="12"/>
  <c r="AJ450" i="12" s="1"/>
  <c r="AK450" i="12"/>
  <c r="AN450" i="12" s="1"/>
  <c r="AL450" i="12"/>
  <c r="AP450" i="12"/>
  <c r="AS450" i="12"/>
  <c r="R451" i="12"/>
  <c r="S451" i="12"/>
  <c r="AQ451" i="12" s="1"/>
  <c r="Z451" i="12"/>
  <c r="AA451" i="12"/>
  <c r="AB451" i="12" s="1"/>
  <c r="AD451" i="12"/>
  <c r="AE451" i="12"/>
  <c r="AF451" i="12" s="1"/>
  <c r="AG451" i="12"/>
  <c r="AH451" i="12"/>
  <c r="AI451" i="12"/>
  <c r="AJ451" i="12" s="1"/>
  <c r="AK451" i="12"/>
  <c r="AN451" i="12" s="1"/>
  <c r="AL451" i="12"/>
  <c r="AP451" i="12"/>
  <c r="AS451" i="12"/>
  <c r="R452" i="12"/>
  <c r="S452" i="12"/>
  <c r="AQ452" i="12" s="1"/>
  <c r="Z452" i="12"/>
  <c r="AA452" i="12"/>
  <c r="AC452" i="12" s="1"/>
  <c r="AD452" i="12"/>
  <c r="AE452" i="12"/>
  <c r="AF452" i="12" s="1"/>
  <c r="AG452" i="12"/>
  <c r="AH452" i="12"/>
  <c r="AI452" i="12"/>
  <c r="AJ452" i="12" s="1"/>
  <c r="AK452" i="12"/>
  <c r="AO452" i="12" s="1"/>
  <c r="AL452" i="12"/>
  <c r="AN452" i="12"/>
  <c r="AP452" i="12"/>
  <c r="AS452" i="12"/>
  <c r="R453" i="12"/>
  <c r="S453" i="12"/>
  <c r="AQ453" i="12" s="1"/>
  <c r="Z453" i="12"/>
  <c r="AA453" i="12"/>
  <c r="AB453" i="12" s="1"/>
  <c r="AD453" i="12"/>
  <c r="AE453" i="12"/>
  <c r="AF453" i="12" s="1"/>
  <c r="AG453" i="12"/>
  <c r="AH453" i="12"/>
  <c r="AI453" i="12"/>
  <c r="AJ453" i="12" s="1"/>
  <c r="AK453" i="12"/>
  <c r="AO453" i="12" s="1"/>
  <c r="AL453" i="12"/>
  <c r="AP453" i="12"/>
  <c r="AR453" i="12"/>
  <c r="AS453" i="12"/>
  <c r="R454" i="12"/>
  <c r="S454" i="12"/>
  <c r="AR454" i="12" s="1"/>
  <c r="Z454" i="12"/>
  <c r="AA454" i="12"/>
  <c r="AB454" i="12" s="1"/>
  <c r="AD454" i="12"/>
  <c r="AE454" i="12"/>
  <c r="AF454" i="12" s="1"/>
  <c r="AG454" i="12"/>
  <c r="AH454" i="12"/>
  <c r="AI454" i="12"/>
  <c r="AJ454" i="12" s="1"/>
  <c r="AK454" i="12"/>
  <c r="AN454" i="12" s="1"/>
  <c r="AL454" i="12"/>
  <c r="AP454" i="12"/>
  <c r="AS454" i="12"/>
  <c r="R455" i="12"/>
  <c r="S455" i="12"/>
  <c r="AQ455" i="12" s="1"/>
  <c r="Z455" i="12"/>
  <c r="AA455" i="12"/>
  <c r="AD455" i="12"/>
  <c r="AE455" i="12"/>
  <c r="AF455" i="12" s="1"/>
  <c r="AG455" i="12"/>
  <c r="AH455" i="12"/>
  <c r="AI455" i="12"/>
  <c r="AJ455" i="12" s="1"/>
  <c r="AK455" i="12"/>
  <c r="AN455" i="12" s="1"/>
  <c r="AL455" i="12"/>
  <c r="AP455" i="12"/>
  <c r="AS455" i="12"/>
  <c r="R456" i="12"/>
  <c r="S456" i="12"/>
  <c r="AQ456" i="12" s="1"/>
  <c r="Z456" i="12"/>
  <c r="AA456" i="12"/>
  <c r="AC456" i="12" s="1"/>
  <c r="AD456" i="12"/>
  <c r="AE456" i="12"/>
  <c r="AF456" i="12" s="1"/>
  <c r="AG456" i="12"/>
  <c r="AH456" i="12"/>
  <c r="AI456" i="12"/>
  <c r="AJ456" i="12" s="1"/>
  <c r="AK456" i="12"/>
  <c r="AO456" i="12" s="1"/>
  <c r="AL456" i="12"/>
  <c r="AN456" i="12"/>
  <c r="AP456" i="12"/>
  <c r="AS456" i="12"/>
  <c r="R457" i="12"/>
  <c r="S457" i="12"/>
  <c r="AR457" i="12" s="1"/>
  <c r="Z457" i="12"/>
  <c r="AA457" i="12"/>
  <c r="AB457" i="12" s="1"/>
  <c r="AD457" i="12"/>
  <c r="AE457" i="12"/>
  <c r="AF457" i="12" s="1"/>
  <c r="AG457" i="12"/>
  <c r="AH457" i="12"/>
  <c r="AI457" i="12"/>
  <c r="AJ457" i="12" s="1"/>
  <c r="AK457" i="12"/>
  <c r="AO457" i="12" s="1"/>
  <c r="AL457" i="12"/>
  <c r="AN457" i="12"/>
  <c r="AP457" i="12"/>
  <c r="AQ457" i="12"/>
  <c r="AS457" i="12"/>
  <c r="R458" i="12"/>
  <c r="S458" i="12"/>
  <c r="AR458" i="12" s="1"/>
  <c r="Z458" i="12"/>
  <c r="AA458" i="12"/>
  <c r="AB458" i="12" s="1"/>
  <c r="AD458" i="12"/>
  <c r="AE458" i="12"/>
  <c r="AF458" i="12" s="1"/>
  <c r="AG458" i="12"/>
  <c r="AH458" i="12"/>
  <c r="AI458" i="12"/>
  <c r="AJ458" i="12" s="1"/>
  <c r="AK458" i="12"/>
  <c r="AN458" i="12" s="1"/>
  <c r="AL458" i="12"/>
  <c r="AP458" i="12"/>
  <c r="AS458" i="12"/>
  <c r="R459" i="12"/>
  <c r="S459" i="12"/>
  <c r="AQ459" i="12" s="1"/>
  <c r="Z459" i="12"/>
  <c r="AA459" i="12"/>
  <c r="AB459" i="12" s="1"/>
  <c r="AD459" i="12"/>
  <c r="AE459" i="12"/>
  <c r="AF459" i="12" s="1"/>
  <c r="AG459" i="12"/>
  <c r="AH459" i="12"/>
  <c r="AI459" i="12"/>
  <c r="AJ459" i="12" s="1"/>
  <c r="AK459" i="12"/>
  <c r="AN459" i="12" s="1"/>
  <c r="AL459" i="12"/>
  <c r="AP459" i="12"/>
  <c r="AS459" i="12"/>
  <c r="R460" i="12"/>
  <c r="S460" i="12"/>
  <c r="AQ460" i="12" s="1"/>
  <c r="Z460" i="12"/>
  <c r="AA460" i="12"/>
  <c r="AD460" i="12"/>
  <c r="AE460" i="12"/>
  <c r="AF460" i="12" s="1"/>
  <c r="AG460" i="12"/>
  <c r="AH460" i="12"/>
  <c r="AI460" i="12"/>
  <c r="AJ460" i="12" s="1"/>
  <c r="AK460" i="12"/>
  <c r="AO460" i="12" s="1"/>
  <c r="AL460" i="12"/>
  <c r="AN460" i="12"/>
  <c r="AP460" i="12"/>
  <c r="AR460" i="12"/>
  <c r="AS460" i="12"/>
  <c r="R461" i="12"/>
  <c r="S461" i="12"/>
  <c r="AR461" i="12" s="1"/>
  <c r="Z461" i="12"/>
  <c r="AA461" i="12"/>
  <c r="AB461" i="12" s="1"/>
  <c r="AD461" i="12"/>
  <c r="AE461" i="12"/>
  <c r="AF461" i="12" s="1"/>
  <c r="AG461" i="12"/>
  <c r="AH461" i="12"/>
  <c r="AI461" i="12"/>
  <c r="AJ461" i="12" s="1"/>
  <c r="AK461" i="12"/>
  <c r="AO461" i="12" s="1"/>
  <c r="AL461" i="12"/>
  <c r="AN461" i="12"/>
  <c r="AP461" i="12"/>
  <c r="AQ461" i="12"/>
  <c r="AS461" i="12"/>
  <c r="R462" i="12"/>
  <c r="S462" i="12"/>
  <c r="AR462" i="12" s="1"/>
  <c r="Z462" i="12"/>
  <c r="AA462" i="12"/>
  <c r="AC462" i="12" s="1"/>
  <c r="AD462" i="12"/>
  <c r="AE462" i="12"/>
  <c r="AF462" i="12" s="1"/>
  <c r="AG462" i="12"/>
  <c r="AH462" i="12"/>
  <c r="AI462" i="12"/>
  <c r="AJ462" i="12" s="1"/>
  <c r="AK462" i="12"/>
  <c r="AN462" i="12" s="1"/>
  <c r="AL462" i="12"/>
  <c r="AP462" i="12"/>
  <c r="AS462" i="12"/>
  <c r="R463" i="12"/>
  <c r="S463" i="12"/>
  <c r="AQ463" i="12" s="1"/>
  <c r="Z463" i="12"/>
  <c r="AA463" i="12"/>
  <c r="AB463" i="12" s="1"/>
  <c r="AD463" i="12"/>
  <c r="AE463" i="12"/>
  <c r="AF463" i="12" s="1"/>
  <c r="AG463" i="12"/>
  <c r="AH463" i="12"/>
  <c r="AI463" i="12"/>
  <c r="AJ463" i="12" s="1"/>
  <c r="AK463" i="12"/>
  <c r="AN463" i="12" s="1"/>
  <c r="AL463" i="12"/>
  <c r="AP463" i="12"/>
  <c r="AS463" i="12"/>
  <c r="R464" i="12"/>
  <c r="S464" i="12"/>
  <c r="AR464" i="12" s="1"/>
  <c r="Z464" i="12"/>
  <c r="AA464" i="12"/>
  <c r="AC464" i="12" s="1"/>
  <c r="AD464" i="12"/>
  <c r="AE464" i="12"/>
  <c r="AF464" i="12" s="1"/>
  <c r="AG464" i="12"/>
  <c r="AH464" i="12"/>
  <c r="AI464" i="12"/>
  <c r="AJ464" i="12" s="1"/>
  <c r="AK464" i="12"/>
  <c r="AO464" i="12" s="1"/>
  <c r="AL464" i="12"/>
  <c r="AN464" i="12"/>
  <c r="AP464" i="12"/>
  <c r="AS464" i="12"/>
  <c r="R465" i="12"/>
  <c r="S465" i="12"/>
  <c r="AR465" i="12" s="1"/>
  <c r="Z465" i="12"/>
  <c r="AA465" i="12"/>
  <c r="AB465" i="12" s="1"/>
  <c r="AD465" i="12"/>
  <c r="AE465" i="12"/>
  <c r="AF465" i="12" s="1"/>
  <c r="AG465" i="12"/>
  <c r="AH465" i="12"/>
  <c r="AI465" i="12"/>
  <c r="AJ465" i="12" s="1"/>
  <c r="AK465" i="12"/>
  <c r="AO465" i="12" s="1"/>
  <c r="AL465" i="12"/>
  <c r="AP465" i="12"/>
  <c r="AS465" i="12"/>
  <c r="R466" i="12"/>
  <c r="S466" i="12"/>
  <c r="AR466" i="12" s="1"/>
  <c r="Z466" i="12"/>
  <c r="AA466" i="12"/>
  <c r="AC466" i="12" s="1"/>
  <c r="AD466" i="12"/>
  <c r="AE466" i="12"/>
  <c r="AF466" i="12" s="1"/>
  <c r="AG466" i="12"/>
  <c r="AH466" i="12"/>
  <c r="AI466" i="12"/>
  <c r="AJ466" i="12" s="1"/>
  <c r="AK466" i="12"/>
  <c r="AN466" i="12" s="1"/>
  <c r="AL466" i="12"/>
  <c r="AP466" i="12"/>
  <c r="AS466" i="12"/>
  <c r="R467" i="12"/>
  <c r="S467" i="12"/>
  <c r="AQ467" i="12" s="1"/>
  <c r="Z467" i="12"/>
  <c r="AA467" i="12"/>
  <c r="AB467" i="12" s="1"/>
  <c r="AD467" i="12"/>
  <c r="AE467" i="12"/>
  <c r="AF467" i="12" s="1"/>
  <c r="AG467" i="12"/>
  <c r="AH467" i="12"/>
  <c r="AI467" i="12"/>
  <c r="AJ467" i="12" s="1"/>
  <c r="AK467" i="12"/>
  <c r="AN467" i="12" s="1"/>
  <c r="AL467" i="12"/>
  <c r="AP467" i="12"/>
  <c r="AS467" i="12"/>
  <c r="R468" i="12"/>
  <c r="S468" i="12"/>
  <c r="AQ468" i="12" s="1"/>
  <c r="Z468" i="12"/>
  <c r="AA468" i="12"/>
  <c r="AD468" i="12"/>
  <c r="AE468" i="12"/>
  <c r="AF468" i="12" s="1"/>
  <c r="AG468" i="12"/>
  <c r="AH468" i="12"/>
  <c r="AI468" i="12"/>
  <c r="AJ468" i="12" s="1"/>
  <c r="AK468" i="12"/>
  <c r="AO468" i="12" s="1"/>
  <c r="AL468" i="12"/>
  <c r="AN468" i="12"/>
  <c r="AP468" i="12"/>
  <c r="AR468" i="12"/>
  <c r="AS468" i="12"/>
  <c r="R469" i="12"/>
  <c r="S469" i="12"/>
  <c r="AR469" i="12" s="1"/>
  <c r="Z469" i="12"/>
  <c r="AA469" i="12"/>
  <c r="AB469" i="12" s="1"/>
  <c r="AD469" i="12"/>
  <c r="AE469" i="12"/>
  <c r="AF469" i="12" s="1"/>
  <c r="AG469" i="12"/>
  <c r="AH469" i="12"/>
  <c r="AI469" i="12"/>
  <c r="AJ469" i="12" s="1"/>
  <c r="AK469" i="12"/>
  <c r="AO469" i="12" s="1"/>
  <c r="AL469" i="12"/>
  <c r="AP469" i="12"/>
  <c r="AQ469" i="12"/>
  <c r="AS469" i="12"/>
  <c r="R470" i="12"/>
  <c r="S470" i="12"/>
  <c r="AR470" i="12" s="1"/>
  <c r="Z470" i="12"/>
  <c r="AA470" i="12"/>
  <c r="AB470" i="12" s="1"/>
  <c r="AD470" i="12"/>
  <c r="AE470" i="12"/>
  <c r="AF470" i="12" s="1"/>
  <c r="AG470" i="12"/>
  <c r="AH470" i="12"/>
  <c r="AI470" i="12"/>
  <c r="AJ470" i="12" s="1"/>
  <c r="AK470" i="12"/>
  <c r="AN470" i="12" s="1"/>
  <c r="AL470" i="12"/>
  <c r="AP470" i="12"/>
  <c r="AS470" i="12"/>
  <c r="R471" i="12"/>
  <c r="S471" i="12"/>
  <c r="AQ471" i="12" s="1"/>
  <c r="Z471" i="12"/>
  <c r="AA471" i="12"/>
  <c r="AC471" i="12" s="1"/>
  <c r="AD471" i="12"/>
  <c r="AE471" i="12"/>
  <c r="AF471" i="12" s="1"/>
  <c r="AG471" i="12"/>
  <c r="AH471" i="12"/>
  <c r="AI471" i="12"/>
  <c r="AJ471" i="12" s="1"/>
  <c r="AK471" i="12"/>
  <c r="AO471" i="12" s="1"/>
  <c r="AL471" i="12"/>
  <c r="AP471" i="12"/>
  <c r="AS471" i="12"/>
  <c r="R472" i="12"/>
  <c r="S472" i="12"/>
  <c r="AQ472" i="12" s="1"/>
  <c r="Z472" i="12"/>
  <c r="AA472" i="12"/>
  <c r="AC472" i="12" s="1"/>
  <c r="AD472" i="12"/>
  <c r="AE472" i="12"/>
  <c r="AF472" i="12" s="1"/>
  <c r="AG472" i="12"/>
  <c r="AH472" i="12"/>
  <c r="AI472" i="12"/>
  <c r="AJ472" i="12" s="1"/>
  <c r="AK472" i="12"/>
  <c r="AN472" i="12" s="1"/>
  <c r="AL472" i="12"/>
  <c r="AO472" i="12"/>
  <c r="AP472" i="12"/>
  <c r="AR472" i="12"/>
  <c r="AS472" i="12"/>
  <c r="R473" i="12"/>
  <c r="S473" i="12"/>
  <c r="AQ473" i="12" s="1"/>
  <c r="Z473" i="12"/>
  <c r="AA473" i="12"/>
  <c r="AB473" i="12" s="1"/>
  <c r="AD473" i="12"/>
  <c r="AE473" i="12"/>
  <c r="AF473" i="12" s="1"/>
  <c r="AG473" i="12"/>
  <c r="AH473" i="12"/>
  <c r="AI473" i="12"/>
  <c r="AJ473" i="12" s="1"/>
  <c r="AK473" i="12"/>
  <c r="AO473" i="12" s="1"/>
  <c r="AL473" i="12"/>
  <c r="AP473" i="12"/>
  <c r="AR473" i="12"/>
  <c r="AS473" i="12"/>
  <c r="R474" i="12"/>
  <c r="S474" i="12"/>
  <c r="AR474" i="12" s="1"/>
  <c r="Z474" i="12"/>
  <c r="AA474" i="12"/>
  <c r="AB474" i="12" s="1"/>
  <c r="AD474" i="12"/>
  <c r="AE474" i="12"/>
  <c r="AF474" i="12"/>
  <c r="AG474" i="12"/>
  <c r="AH474" i="12"/>
  <c r="AI474" i="12"/>
  <c r="AJ474" i="12" s="1"/>
  <c r="AK474" i="12"/>
  <c r="AN474" i="12" s="1"/>
  <c r="AL474" i="12"/>
  <c r="AP474" i="12"/>
  <c r="AQ474" i="12"/>
  <c r="AS474" i="12"/>
  <c r="R475" i="12"/>
  <c r="S475" i="12"/>
  <c r="AQ475" i="12" s="1"/>
  <c r="Z475" i="12"/>
  <c r="AA475" i="12"/>
  <c r="AC475" i="12" s="1"/>
  <c r="AD475" i="12"/>
  <c r="AE475" i="12"/>
  <c r="AF475" i="12" s="1"/>
  <c r="AG475" i="12"/>
  <c r="AH475" i="12"/>
  <c r="AI475" i="12"/>
  <c r="AJ475" i="12" s="1"/>
  <c r="AK475" i="12"/>
  <c r="AN475" i="12" s="1"/>
  <c r="AL475" i="12"/>
  <c r="AP475" i="12"/>
  <c r="AS475" i="12"/>
  <c r="R476" i="12"/>
  <c r="S476" i="12"/>
  <c r="AR476" i="12" s="1"/>
  <c r="Z476" i="12"/>
  <c r="AA476" i="12"/>
  <c r="AD476" i="12"/>
  <c r="AE476" i="12"/>
  <c r="AF476" i="12" s="1"/>
  <c r="AG476" i="12"/>
  <c r="AH476" i="12"/>
  <c r="AI476" i="12"/>
  <c r="AJ476" i="12" s="1"/>
  <c r="AK476" i="12"/>
  <c r="AL476" i="12"/>
  <c r="AN476" i="12"/>
  <c r="AO476" i="12"/>
  <c r="AP476" i="12"/>
  <c r="AS476" i="12"/>
  <c r="R477" i="12"/>
  <c r="S477" i="12"/>
  <c r="AR477" i="12" s="1"/>
  <c r="Z477" i="12"/>
  <c r="AA477" i="12"/>
  <c r="AB477" i="12" s="1"/>
  <c r="AD477" i="12"/>
  <c r="AE477" i="12"/>
  <c r="AF477" i="12" s="1"/>
  <c r="AG477" i="12"/>
  <c r="AH477" i="12"/>
  <c r="AI477" i="12"/>
  <c r="AJ477" i="12" s="1"/>
  <c r="AK477" i="12"/>
  <c r="AO477" i="12" s="1"/>
  <c r="AL477" i="12"/>
  <c r="AN477" i="12"/>
  <c r="AP477" i="12"/>
  <c r="AQ477" i="12"/>
  <c r="AS477" i="12"/>
  <c r="R478" i="12"/>
  <c r="S478" i="12"/>
  <c r="AR478" i="12" s="1"/>
  <c r="Z478" i="12"/>
  <c r="AA478" i="12"/>
  <c r="AD478" i="12"/>
  <c r="AE478" i="12"/>
  <c r="AF478" i="12" s="1"/>
  <c r="AG478" i="12"/>
  <c r="AH478" i="12"/>
  <c r="AI478" i="12"/>
  <c r="AJ478" i="12" s="1"/>
  <c r="AK478" i="12"/>
  <c r="AN478" i="12" s="1"/>
  <c r="AL478" i="12"/>
  <c r="AP478" i="12"/>
  <c r="AQ478" i="12"/>
  <c r="AS478" i="12"/>
  <c r="R479" i="12"/>
  <c r="S479" i="12"/>
  <c r="AQ479" i="12" s="1"/>
  <c r="Z479" i="12"/>
  <c r="AA479" i="12"/>
  <c r="AB479" i="12" s="1"/>
  <c r="AD479" i="12"/>
  <c r="AE479" i="12"/>
  <c r="AF479" i="12" s="1"/>
  <c r="AG479" i="12"/>
  <c r="AH479" i="12"/>
  <c r="AI479" i="12"/>
  <c r="AJ479" i="12" s="1"/>
  <c r="AK479" i="12"/>
  <c r="AN479" i="12" s="1"/>
  <c r="AL479" i="12"/>
  <c r="AP479" i="12"/>
  <c r="AS479" i="12"/>
  <c r="R480" i="12"/>
  <c r="S480" i="12"/>
  <c r="AQ480" i="12" s="1"/>
  <c r="Z480" i="12"/>
  <c r="AA480" i="12"/>
  <c r="AC480" i="12" s="1"/>
  <c r="AD480" i="12"/>
  <c r="AE480" i="12"/>
  <c r="AF480" i="12" s="1"/>
  <c r="AG480" i="12"/>
  <c r="AH480" i="12"/>
  <c r="AI480" i="12"/>
  <c r="AJ480" i="12" s="1"/>
  <c r="AK480" i="12"/>
  <c r="AO480" i="12" s="1"/>
  <c r="AL480" i="12"/>
  <c r="AN480" i="12"/>
  <c r="AP480" i="12"/>
  <c r="AR480" i="12"/>
  <c r="AS480" i="12"/>
  <c r="R481" i="12"/>
  <c r="S481" i="12"/>
  <c r="Z481" i="12"/>
  <c r="AA481" i="12"/>
  <c r="AB481" i="12" s="1"/>
  <c r="AD481" i="12"/>
  <c r="AE481" i="12"/>
  <c r="AF481" i="12" s="1"/>
  <c r="AG481" i="12"/>
  <c r="AH481" i="12"/>
  <c r="AI481" i="12"/>
  <c r="AJ481" i="12" s="1"/>
  <c r="AK481" i="12"/>
  <c r="AO481" i="12" s="1"/>
  <c r="AL481" i="12"/>
  <c r="AP481" i="12"/>
  <c r="AQ481" i="12"/>
  <c r="AR481" i="12"/>
  <c r="AS481" i="12"/>
  <c r="R482" i="12"/>
  <c r="S482" i="12"/>
  <c r="AR482" i="12" s="1"/>
  <c r="Z482" i="12"/>
  <c r="AA482" i="12"/>
  <c r="AB482" i="12" s="1"/>
  <c r="AD482" i="12"/>
  <c r="AE482" i="12"/>
  <c r="AF482" i="12" s="1"/>
  <c r="AG482" i="12"/>
  <c r="AH482" i="12"/>
  <c r="AI482" i="12"/>
  <c r="AJ482" i="12" s="1"/>
  <c r="AK482" i="12"/>
  <c r="AN482" i="12" s="1"/>
  <c r="AL482" i="12"/>
  <c r="AP482" i="12"/>
  <c r="AS482" i="12"/>
  <c r="R483" i="12"/>
  <c r="S483" i="12"/>
  <c r="AQ483" i="12" s="1"/>
  <c r="Z483" i="12"/>
  <c r="AA483" i="12"/>
  <c r="AB483" i="12" s="1"/>
  <c r="AD483" i="12"/>
  <c r="AE483" i="12"/>
  <c r="AF483" i="12" s="1"/>
  <c r="AG483" i="12"/>
  <c r="AH483" i="12"/>
  <c r="AI483" i="12"/>
  <c r="AJ483" i="12" s="1"/>
  <c r="AK483" i="12"/>
  <c r="AN483" i="12" s="1"/>
  <c r="AL483" i="12"/>
  <c r="AP483" i="12"/>
  <c r="AS483" i="12"/>
  <c r="R484" i="12"/>
  <c r="S484" i="12"/>
  <c r="AQ484" i="12" s="1"/>
  <c r="Z484" i="12"/>
  <c r="AA484" i="12"/>
  <c r="AC484" i="12" s="1"/>
  <c r="AD484" i="12"/>
  <c r="AE484" i="12"/>
  <c r="AF484" i="12" s="1"/>
  <c r="AG484" i="12"/>
  <c r="AH484" i="12"/>
  <c r="AI484" i="12"/>
  <c r="AJ484" i="12" s="1"/>
  <c r="AK484" i="12"/>
  <c r="AN484" i="12" s="1"/>
  <c r="AL484" i="12"/>
  <c r="AO484" i="12"/>
  <c r="AP484" i="12"/>
  <c r="AR484" i="12"/>
  <c r="AS484" i="12"/>
  <c r="R485" i="12"/>
  <c r="S485" i="12"/>
  <c r="Z485" i="12"/>
  <c r="AA485" i="12"/>
  <c r="AB485" i="12" s="1"/>
  <c r="AD485" i="12"/>
  <c r="AE485" i="12"/>
  <c r="AF485" i="12" s="1"/>
  <c r="AG485" i="12"/>
  <c r="AH485" i="12"/>
  <c r="AI485" i="12"/>
  <c r="AJ485" i="12" s="1"/>
  <c r="AK485" i="12"/>
  <c r="AO485" i="12" s="1"/>
  <c r="AL485" i="12"/>
  <c r="AP485" i="12"/>
  <c r="AQ485" i="12"/>
  <c r="AR485" i="12"/>
  <c r="AS485" i="12"/>
  <c r="R486" i="12"/>
  <c r="S486" i="12"/>
  <c r="AR486" i="12" s="1"/>
  <c r="Z486" i="12"/>
  <c r="AA486" i="12"/>
  <c r="AB486" i="12" s="1"/>
  <c r="AD486" i="12"/>
  <c r="AE486" i="12"/>
  <c r="AF486" i="12" s="1"/>
  <c r="AG486" i="12"/>
  <c r="AH486" i="12"/>
  <c r="AI486" i="12"/>
  <c r="AJ486" i="12" s="1"/>
  <c r="AK486" i="12"/>
  <c r="AN486" i="12" s="1"/>
  <c r="AL486" i="12"/>
  <c r="AP486" i="12"/>
  <c r="AS486" i="12"/>
  <c r="R487" i="12"/>
  <c r="S487" i="12"/>
  <c r="AQ487" i="12" s="1"/>
  <c r="Z487" i="12"/>
  <c r="AA487" i="12"/>
  <c r="AC487" i="12" s="1"/>
  <c r="AD487" i="12"/>
  <c r="AE487" i="12"/>
  <c r="AF487" i="12" s="1"/>
  <c r="AG487" i="12"/>
  <c r="AH487" i="12"/>
  <c r="AI487" i="12"/>
  <c r="AJ487" i="12" s="1"/>
  <c r="AK487" i="12"/>
  <c r="AN487" i="12" s="1"/>
  <c r="AL487" i="12"/>
  <c r="AP487" i="12"/>
  <c r="AS487" i="12"/>
  <c r="R488" i="12"/>
  <c r="S488" i="12"/>
  <c r="AQ488" i="12" s="1"/>
  <c r="Z488" i="12"/>
  <c r="AA488" i="12"/>
  <c r="AC488" i="12" s="1"/>
  <c r="AD488" i="12"/>
  <c r="AE488" i="12"/>
  <c r="AF488" i="12" s="1"/>
  <c r="AG488" i="12"/>
  <c r="AH488" i="12"/>
  <c r="AI488" i="12"/>
  <c r="AJ488" i="12" s="1"/>
  <c r="AK488" i="12"/>
  <c r="AO488" i="12" s="1"/>
  <c r="AL488" i="12"/>
  <c r="AP488" i="12"/>
  <c r="AS488" i="12"/>
  <c r="R489" i="12"/>
  <c r="S489" i="12"/>
  <c r="AR489" i="12" s="1"/>
  <c r="Z489" i="12"/>
  <c r="AA489" i="12"/>
  <c r="AB489" i="12" s="1"/>
  <c r="AD489" i="12"/>
  <c r="AE489" i="12"/>
  <c r="AF489" i="12" s="1"/>
  <c r="AG489" i="12"/>
  <c r="AH489" i="12"/>
  <c r="AI489" i="12"/>
  <c r="AJ489" i="12" s="1"/>
  <c r="AK489" i="12"/>
  <c r="AO489" i="12" s="1"/>
  <c r="AL489" i="12"/>
  <c r="AN489" i="12"/>
  <c r="AP489" i="12"/>
  <c r="AQ489" i="12"/>
  <c r="AS489" i="12"/>
  <c r="R490" i="12"/>
  <c r="S490" i="12"/>
  <c r="AR490" i="12" s="1"/>
  <c r="Z490" i="12"/>
  <c r="AA490" i="12"/>
  <c r="AB490" i="12" s="1"/>
  <c r="AD490" i="12"/>
  <c r="AE490" i="12"/>
  <c r="AF490" i="12" s="1"/>
  <c r="AG490" i="12"/>
  <c r="AH490" i="12"/>
  <c r="AI490" i="12"/>
  <c r="AJ490" i="12" s="1"/>
  <c r="AK490" i="12"/>
  <c r="AN490" i="12" s="1"/>
  <c r="AL490" i="12"/>
  <c r="AP490" i="12"/>
  <c r="AQ490" i="12"/>
  <c r="AS490" i="12"/>
  <c r="R491" i="12"/>
  <c r="S491" i="12"/>
  <c r="AQ491" i="12" s="1"/>
  <c r="Z491" i="12"/>
  <c r="AA491" i="12"/>
  <c r="AB491" i="12" s="1"/>
  <c r="AD491" i="12"/>
  <c r="AE491" i="12"/>
  <c r="AF491" i="12" s="1"/>
  <c r="AG491" i="12"/>
  <c r="AH491" i="12"/>
  <c r="AI491" i="12"/>
  <c r="AJ491" i="12" s="1"/>
  <c r="AK491" i="12"/>
  <c r="AN491" i="12" s="1"/>
  <c r="AL491" i="12"/>
  <c r="AP491" i="12"/>
  <c r="AS491" i="12"/>
  <c r="R492" i="12"/>
  <c r="S492" i="12"/>
  <c r="AQ492" i="12" s="1"/>
  <c r="Z492" i="12"/>
  <c r="AA492" i="12"/>
  <c r="AC492" i="12" s="1"/>
  <c r="AD492" i="12"/>
  <c r="AE492" i="12"/>
  <c r="AF492" i="12" s="1"/>
  <c r="AG492" i="12"/>
  <c r="AH492" i="12"/>
  <c r="AI492" i="12"/>
  <c r="AJ492" i="12" s="1"/>
  <c r="AK492" i="12"/>
  <c r="AO492" i="12" s="1"/>
  <c r="AL492" i="12"/>
  <c r="AN492" i="12"/>
  <c r="AP492" i="12"/>
  <c r="AR492" i="12"/>
  <c r="AS492" i="12"/>
  <c r="R493" i="12"/>
  <c r="S493" i="12"/>
  <c r="Z493" i="12"/>
  <c r="AA493" i="12"/>
  <c r="AB493" i="12" s="1"/>
  <c r="AD493" i="12"/>
  <c r="AE493" i="12"/>
  <c r="AF493" i="12" s="1"/>
  <c r="AG493" i="12"/>
  <c r="AH493" i="12"/>
  <c r="AI493" i="12"/>
  <c r="AJ493" i="12" s="1"/>
  <c r="AK493" i="12"/>
  <c r="AO493" i="12" s="1"/>
  <c r="AL493" i="12"/>
  <c r="AP493" i="12"/>
  <c r="AQ493" i="12"/>
  <c r="AR493" i="12"/>
  <c r="AS493" i="12"/>
  <c r="R494" i="12"/>
  <c r="S494" i="12"/>
  <c r="AR494" i="12" s="1"/>
  <c r="Z494" i="12"/>
  <c r="AA494" i="12"/>
  <c r="AC494" i="12" s="1"/>
  <c r="AD494" i="12"/>
  <c r="AE494" i="12"/>
  <c r="AF494" i="12" s="1"/>
  <c r="AG494" i="12"/>
  <c r="AH494" i="12"/>
  <c r="AI494" i="12"/>
  <c r="AJ494" i="12" s="1"/>
  <c r="AK494" i="12"/>
  <c r="AN494" i="12" s="1"/>
  <c r="AL494" i="12"/>
  <c r="AP494" i="12"/>
  <c r="AS494" i="12"/>
  <c r="R495" i="12"/>
  <c r="S495" i="12"/>
  <c r="AQ495" i="12" s="1"/>
  <c r="Z495" i="12"/>
  <c r="AA495" i="12"/>
  <c r="AB495" i="12" s="1"/>
  <c r="AD495" i="12"/>
  <c r="AE495" i="12"/>
  <c r="AF495" i="12" s="1"/>
  <c r="AG495" i="12"/>
  <c r="AH495" i="12"/>
  <c r="AI495" i="12"/>
  <c r="AJ495" i="12" s="1"/>
  <c r="AK495" i="12"/>
  <c r="AO495" i="12" s="1"/>
  <c r="AL495" i="12"/>
  <c r="AP495" i="12"/>
  <c r="AS495" i="12"/>
  <c r="R496" i="12"/>
  <c r="S496" i="12"/>
  <c r="AR496" i="12" s="1"/>
  <c r="Z496" i="12"/>
  <c r="AA496" i="12"/>
  <c r="AC496" i="12" s="1"/>
  <c r="AD496" i="12"/>
  <c r="AE496" i="12"/>
  <c r="AF496" i="12" s="1"/>
  <c r="AG496" i="12"/>
  <c r="AH496" i="12"/>
  <c r="AI496" i="12"/>
  <c r="AJ496" i="12" s="1"/>
  <c r="AK496" i="12"/>
  <c r="AN496" i="12" s="1"/>
  <c r="AL496" i="12"/>
  <c r="AO496" i="12"/>
  <c r="AP496" i="12"/>
  <c r="AQ496" i="12"/>
  <c r="AS496" i="12"/>
  <c r="AR313" i="12" l="1"/>
  <c r="AQ313" i="12"/>
  <c r="AR312" i="12"/>
  <c r="AQ312" i="12"/>
  <c r="AR242" i="12"/>
  <c r="AQ242" i="12"/>
  <c r="AR232" i="12"/>
  <c r="AQ232" i="12"/>
  <c r="AR230" i="12"/>
  <c r="AQ229" i="12"/>
  <c r="AR229" i="12"/>
  <c r="AQ209" i="12"/>
  <c r="AR209" i="12"/>
  <c r="AR207" i="12"/>
  <c r="AQ205" i="12"/>
  <c r="AR205" i="12"/>
  <c r="AR199" i="12"/>
  <c r="AR178" i="12"/>
  <c r="AQ178" i="12"/>
  <c r="AQ133" i="12"/>
  <c r="AR133" i="12"/>
  <c r="AQ130" i="12"/>
  <c r="AQ117" i="12"/>
  <c r="AR117" i="12"/>
  <c r="AQ105" i="12"/>
  <c r="AR105" i="12"/>
  <c r="AQ104" i="12"/>
  <c r="AR104" i="12"/>
  <c r="AR98" i="12"/>
  <c r="AQ98" i="12"/>
  <c r="AQ93" i="12"/>
  <c r="AR93" i="12"/>
  <c r="AR72" i="12"/>
  <c r="AQ72" i="12"/>
  <c r="AR58" i="12"/>
  <c r="AQ58" i="12"/>
  <c r="AR53" i="12"/>
  <c r="AQ53" i="12"/>
  <c r="AQ47" i="12"/>
  <c r="AR47" i="12"/>
  <c r="AQ7" i="12"/>
  <c r="AR7" i="12"/>
  <c r="AR6" i="12"/>
  <c r="AQ6" i="12"/>
  <c r="AQ4" i="12"/>
  <c r="AN488" i="12"/>
  <c r="AQ466" i="12"/>
  <c r="AQ465" i="12"/>
  <c r="AQ464" i="12"/>
  <c r="AQ458" i="12"/>
  <c r="AR452" i="12"/>
  <c r="AQ446" i="12"/>
  <c r="AQ434" i="12"/>
  <c r="AQ432" i="12"/>
  <c r="AQ418" i="12"/>
  <c r="AR309" i="12"/>
  <c r="AQ309" i="12"/>
  <c r="AR269" i="12"/>
  <c r="AQ269" i="12"/>
  <c r="AR241" i="12"/>
  <c r="AQ241" i="12"/>
  <c r="AQ215" i="12"/>
  <c r="AR215" i="12"/>
  <c r="AQ181" i="12"/>
  <c r="AR181" i="12"/>
  <c r="AQ177" i="12"/>
  <c r="AR177" i="12"/>
  <c r="AQ168" i="12"/>
  <c r="AR148" i="12"/>
  <c r="AQ147" i="12"/>
  <c r="AR147" i="12"/>
  <c r="AR145" i="12"/>
  <c r="AR125" i="12"/>
  <c r="AQ103" i="12"/>
  <c r="AR103" i="12"/>
  <c r="AR54" i="12"/>
  <c r="AQ54" i="12"/>
  <c r="AR48" i="12"/>
  <c r="AQ48" i="12"/>
  <c r="AR43" i="12"/>
  <c r="AQ43" i="12"/>
  <c r="AQ35" i="12"/>
  <c r="AR35" i="12"/>
  <c r="AQ30" i="12"/>
  <c r="AR30" i="12"/>
  <c r="AQ10" i="12"/>
  <c r="AN465" i="12"/>
  <c r="AQ444" i="12"/>
  <c r="AN440" i="12"/>
  <c r="AN437" i="12"/>
  <c r="AN436" i="12"/>
  <c r="AQ428" i="12"/>
  <c r="AO426" i="12"/>
  <c r="AQ424" i="12"/>
  <c r="AO414" i="12"/>
  <c r="AN401" i="12"/>
  <c r="AN217" i="12"/>
  <c r="AN209" i="12"/>
  <c r="AR194" i="12"/>
  <c r="AQ194" i="12"/>
  <c r="AN189" i="12"/>
  <c r="AO16" i="12"/>
  <c r="AO10" i="12"/>
  <c r="AQ476" i="12"/>
  <c r="AO422" i="12"/>
  <c r="AN416" i="12"/>
  <c r="AQ412" i="12"/>
  <c r="AN409" i="12"/>
  <c r="AO398" i="12"/>
  <c r="AN393" i="12"/>
  <c r="AO390" i="12"/>
  <c r="AN380" i="12"/>
  <c r="AN340" i="12"/>
  <c r="AN329" i="12"/>
  <c r="AN309" i="12"/>
  <c r="AN305" i="12"/>
  <c r="AN284" i="12"/>
  <c r="AN269" i="12"/>
  <c r="AR234" i="12"/>
  <c r="AQ234" i="12"/>
  <c r="AN177" i="12"/>
  <c r="AQ129" i="12"/>
  <c r="AR129" i="12"/>
  <c r="AQ120" i="12"/>
  <c r="AR120" i="12"/>
  <c r="AR108" i="12"/>
  <c r="AQ108" i="12"/>
  <c r="AN103" i="12"/>
  <c r="AQ92" i="12"/>
  <c r="AR92" i="12"/>
  <c r="AN53" i="12"/>
  <c r="AQ29" i="12"/>
  <c r="AR29" i="12"/>
  <c r="AO28" i="12"/>
  <c r="AN493" i="12"/>
  <c r="AN485" i="12"/>
  <c r="AN481" i="12"/>
  <c r="AN473" i="12"/>
  <c r="AN469" i="12"/>
  <c r="AN453" i="12"/>
  <c r="AQ430" i="12"/>
  <c r="AO394" i="12"/>
  <c r="AQ386" i="12"/>
  <c r="AN381" i="12"/>
  <c r="AO378" i="12"/>
  <c r="AN376" i="12"/>
  <c r="AQ328" i="12"/>
  <c r="AQ304" i="12"/>
  <c r="AR276" i="12"/>
  <c r="AQ276" i="12"/>
  <c r="AQ223" i="12"/>
  <c r="AR223" i="12"/>
  <c r="AQ219" i="12"/>
  <c r="AR219" i="12"/>
  <c r="AR211" i="12"/>
  <c r="AQ202" i="12"/>
  <c r="AQ186" i="12"/>
  <c r="AR186" i="12"/>
  <c r="AQ179" i="12"/>
  <c r="AR179" i="12"/>
  <c r="AO162" i="12"/>
  <c r="AN154" i="12"/>
  <c r="AO148" i="12"/>
  <c r="AN124" i="12"/>
  <c r="AR100" i="12"/>
  <c r="AQ100" i="12"/>
  <c r="AQ97" i="12"/>
  <c r="AR97" i="12"/>
  <c r="AQ81" i="12"/>
  <c r="AR81" i="12"/>
  <c r="AR77" i="12"/>
  <c r="AN63" i="12"/>
  <c r="AR45" i="12"/>
  <c r="AN41" i="12"/>
  <c r="AO15" i="12"/>
  <c r="AN15" i="12"/>
  <c r="AQ340" i="12"/>
  <c r="AR340" i="12"/>
  <c r="AR238" i="12"/>
  <c r="AQ238" i="12"/>
  <c r="AQ235" i="12"/>
  <c r="AR235" i="12"/>
  <c r="AO99" i="12"/>
  <c r="AN99" i="12"/>
  <c r="AQ99" i="12"/>
  <c r="AR99" i="12"/>
  <c r="AQ71" i="12"/>
  <c r="AR71" i="12"/>
  <c r="AR56" i="12"/>
  <c r="AQ56" i="12"/>
  <c r="AQ51" i="12"/>
  <c r="AR51" i="12"/>
  <c r="AN8" i="12"/>
  <c r="AO8" i="12"/>
  <c r="AR488" i="12"/>
  <c r="AR456" i="12"/>
  <c r="AQ438" i="12"/>
  <c r="AO430" i="12"/>
  <c r="AN421" i="12"/>
  <c r="AO418" i="12"/>
  <c r="AN413" i="12"/>
  <c r="AQ410" i="12"/>
  <c r="AN405" i="12"/>
  <c r="AQ394" i="12"/>
  <c r="AR376" i="12"/>
  <c r="AQ376" i="12"/>
  <c r="AN364" i="12"/>
  <c r="AN352" i="12"/>
  <c r="AR332" i="12"/>
  <c r="AQ316" i="12"/>
  <c r="AN313" i="12"/>
  <c r="AN276" i="12"/>
  <c r="AN272" i="12"/>
  <c r="AN268" i="12"/>
  <c r="AN260" i="12"/>
  <c r="AN256" i="12"/>
  <c r="AN249" i="12"/>
  <c r="AQ248" i="12"/>
  <c r="AR248" i="12"/>
  <c r="AN241" i="12"/>
  <c r="AN230" i="12"/>
  <c r="AN229" i="12"/>
  <c r="AN226" i="12"/>
  <c r="AN214" i="12"/>
  <c r="AR203" i="12"/>
  <c r="AN166" i="12"/>
  <c r="AO144" i="12"/>
  <c r="AR121" i="12"/>
  <c r="AN79" i="12"/>
  <c r="AR74" i="12"/>
  <c r="AQ74" i="12"/>
  <c r="AO72" i="12"/>
  <c r="AN70" i="12"/>
  <c r="AO70" i="12"/>
  <c r="AR70" i="12"/>
  <c r="AQ70" i="12"/>
  <c r="AN60" i="12"/>
  <c r="AQ59" i="12"/>
  <c r="AR59" i="12"/>
  <c r="AO47" i="12"/>
  <c r="AN38" i="12"/>
  <c r="AO34" i="12"/>
  <c r="AN33" i="12"/>
  <c r="AO27" i="12"/>
  <c r="AN27" i="12"/>
  <c r="AR27" i="12"/>
  <c r="AQ27" i="12"/>
  <c r="AN353" i="12"/>
  <c r="AN182" i="12"/>
  <c r="AO181" i="12"/>
  <c r="AN181" i="12"/>
  <c r="AO178" i="12"/>
  <c r="AR170" i="12"/>
  <c r="AQ170" i="12"/>
  <c r="AR164" i="12"/>
  <c r="AQ164" i="12"/>
  <c r="AO155" i="12"/>
  <c r="AN155" i="12"/>
  <c r="AO147" i="12"/>
  <c r="AN147" i="12"/>
  <c r="AO139" i="12"/>
  <c r="AN139" i="12"/>
  <c r="AN131" i="12"/>
  <c r="AO128" i="12"/>
  <c r="AN54" i="12"/>
  <c r="AO54" i="12"/>
  <c r="AQ25" i="12"/>
  <c r="AR25" i="12"/>
  <c r="AO374" i="12"/>
  <c r="AN369" i="12"/>
  <c r="AN365" i="12"/>
  <c r="AN345" i="12"/>
  <c r="AN293" i="12"/>
  <c r="AN289" i="12"/>
  <c r="AR260" i="12"/>
  <c r="AN257" i="12"/>
  <c r="AN237" i="12"/>
  <c r="AN225" i="12"/>
  <c r="AN205" i="12"/>
  <c r="AN197" i="12"/>
  <c r="AR166" i="12"/>
  <c r="AN161" i="12"/>
  <c r="AO143" i="12"/>
  <c r="AN143" i="12"/>
  <c r="AN119" i="12"/>
  <c r="AR116" i="12"/>
  <c r="AO100" i="12"/>
  <c r="AQ89" i="12"/>
  <c r="AR89" i="12"/>
  <c r="AN84" i="12"/>
  <c r="AO83" i="12"/>
  <c r="AN83" i="12"/>
  <c r="AO80" i="12"/>
  <c r="AO71" i="12"/>
  <c r="AO69" i="12"/>
  <c r="AN69" i="12"/>
  <c r="AO67" i="12"/>
  <c r="AO58" i="12"/>
  <c r="AO48" i="12"/>
  <c r="AN43" i="12"/>
  <c r="AO17" i="12"/>
  <c r="AO12" i="12"/>
  <c r="AO9" i="12"/>
  <c r="AO7" i="12"/>
  <c r="AN7" i="12"/>
  <c r="AO5" i="12"/>
  <c r="AB436" i="12"/>
  <c r="AB394" i="12"/>
  <c r="AC433" i="12"/>
  <c r="AB10" i="12"/>
  <c r="AC434" i="12"/>
  <c r="AC78" i="12"/>
  <c r="AB75" i="12"/>
  <c r="AB335" i="12"/>
  <c r="AB326" i="12"/>
  <c r="AC482" i="12"/>
  <c r="AB452" i="12"/>
  <c r="AB359" i="12"/>
  <c r="AB354" i="12"/>
  <c r="AB255" i="12"/>
  <c r="AB200" i="12"/>
  <c r="AB70" i="12"/>
  <c r="AC40" i="12"/>
  <c r="AC411" i="12"/>
  <c r="AB386" i="12"/>
  <c r="AC208" i="12"/>
  <c r="AC463" i="12"/>
  <c r="AC379" i="12"/>
  <c r="AB462" i="12"/>
  <c r="AB448" i="12"/>
  <c r="AB431" i="12"/>
  <c r="AB423" i="12"/>
  <c r="AC397" i="12"/>
  <c r="AB396" i="12"/>
  <c r="AB391" i="12"/>
  <c r="AC110" i="12"/>
  <c r="AB58" i="12"/>
  <c r="AB54" i="12"/>
  <c r="AB17" i="12"/>
  <c r="AB496" i="12"/>
  <c r="AB494" i="12"/>
  <c r="AB487" i="12"/>
  <c r="AC350" i="12"/>
  <c r="AB126" i="12"/>
  <c r="AB118" i="12"/>
  <c r="AB86" i="12"/>
  <c r="AB79" i="12"/>
  <c r="AB72" i="12"/>
  <c r="AC27" i="12"/>
  <c r="AB26" i="12"/>
  <c r="AC15" i="12"/>
  <c r="AC495" i="12"/>
  <c r="AB492" i="12"/>
  <c r="AB466" i="12"/>
  <c r="AB432" i="12"/>
  <c r="AB414" i="12"/>
  <c r="AB412" i="12"/>
  <c r="AC398" i="12"/>
  <c r="AB375" i="12"/>
  <c r="AB343" i="12"/>
  <c r="AC259" i="12"/>
  <c r="AC254" i="12"/>
  <c r="AB150" i="12"/>
  <c r="AB484" i="12"/>
  <c r="AB464" i="12"/>
  <c r="AB450" i="12"/>
  <c r="AC447" i="12"/>
  <c r="AB427" i="12"/>
  <c r="AC418" i="12"/>
  <c r="AC395" i="12"/>
  <c r="AB370" i="12"/>
  <c r="AB339" i="12"/>
  <c r="AC306" i="12"/>
  <c r="AB271" i="12"/>
  <c r="AB224" i="12"/>
  <c r="AB90" i="12"/>
  <c r="AC44" i="12"/>
  <c r="AB41" i="12"/>
  <c r="AC12" i="12"/>
  <c r="AB290" i="12"/>
  <c r="AB283" i="12"/>
  <c r="AC283" i="12"/>
  <c r="AC160" i="12"/>
  <c r="AB160" i="12"/>
  <c r="AB122" i="12"/>
  <c r="AC122" i="12"/>
  <c r="AC106" i="12"/>
  <c r="AC98" i="12"/>
  <c r="AC60" i="12"/>
  <c r="AB60" i="12"/>
  <c r="AC36" i="12"/>
  <c r="AB36" i="12"/>
  <c r="AC476" i="12"/>
  <c r="AB476" i="12"/>
  <c r="AC460" i="12"/>
  <c r="AB460" i="12"/>
  <c r="AB437" i="12"/>
  <c r="AC437" i="12"/>
  <c r="AC478" i="12"/>
  <c r="AB478" i="12"/>
  <c r="AC468" i="12"/>
  <c r="AB468" i="12"/>
  <c r="AC443" i="12"/>
  <c r="AB443" i="12"/>
  <c r="AC428" i="12"/>
  <c r="AB428" i="12"/>
  <c r="AB413" i="12"/>
  <c r="AC413" i="12"/>
  <c r="AC407" i="12"/>
  <c r="AB407" i="12"/>
  <c r="AB342" i="12"/>
  <c r="AC342" i="12"/>
  <c r="AB319" i="12"/>
  <c r="AC319" i="12"/>
  <c r="AC470" i="12"/>
  <c r="AB429" i="12"/>
  <c r="AC429" i="12"/>
  <c r="AC291" i="12"/>
  <c r="AB291" i="12"/>
  <c r="AB287" i="12"/>
  <c r="AC287" i="12"/>
  <c r="AB278" i="12"/>
  <c r="AC278" i="12"/>
  <c r="AB61" i="12"/>
  <c r="AC61" i="12"/>
  <c r="AB46" i="12"/>
  <c r="AC46" i="12"/>
  <c r="AB11" i="12"/>
  <c r="AC11" i="12"/>
  <c r="AB480" i="12"/>
  <c r="AB475" i="12"/>
  <c r="AC455" i="12"/>
  <c r="AB455" i="12"/>
  <c r="AB430" i="12"/>
  <c r="AC420" i="12"/>
  <c r="AB420" i="12"/>
  <c r="AC417" i="12"/>
  <c r="AB416" i="12"/>
  <c r="AC380" i="12"/>
  <c r="AB380" i="12"/>
  <c r="AB374" i="12"/>
  <c r="AC330" i="12"/>
  <c r="AB330" i="12"/>
  <c r="AC298" i="12"/>
  <c r="AB298" i="12"/>
  <c r="AB275" i="12"/>
  <c r="AC275" i="12"/>
  <c r="AB258" i="12"/>
  <c r="AC258" i="12"/>
  <c r="AB212" i="12"/>
  <c r="AC212" i="12"/>
  <c r="AB188" i="12"/>
  <c r="AC62" i="12"/>
  <c r="AB62" i="12"/>
  <c r="AB204" i="12"/>
  <c r="AC204" i="12"/>
  <c r="AB32" i="12"/>
  <c r="AC32" i="12"/>
  <c r="AC4" i="12"/>
  <c r="AB4" i="12"/>
  <c r="AR426" i="12"/>
  <c r="AQ426" i="12"/>
  <c r="AQ252" i="12"/>
  <c r="AR252" i="12"/>
  <c r="AR184" i="12"/>
  <c r="AQ184" i="12"/>
  <c r="AR146" i="12"/>
  <c r="AQ146" i="12"/>
  <c r="AQ38" i="12"/>
  <c r="AR38" i="12"/>
  <c r="AR440" i="12"/>
  <c r="AB421" i="12"/>
  <c r="AC421" i="12"/>
  <c r="AR416" i="12"/>
  <c r="AQ60" i="12"/>
  <c r="AR60" i="12"/>
  <c r="AB57" i="12"/>
  <c r="AC57" i="12"/>
  <c r="AC6" i="12"/>
  <c r="AB6" i="12"/>
  <c r="AC491" i="12"/>
  <c r="AC486" i="12"/>
  <c r="AQ482" i="12"/>
  <c r="AC479" i="12"/>
  <c r="AC459" i="12"/>
  <c r="AC454" i="12"/>
  <c r="AQ450" i="12"/>
  <c r="AC426" i="12"/>
  <c r="AB426" i="12"/>
  <c r="AR420" i="12"/>
  <c r="AB405" i="12"/>
  <c r="AC405" i="12"/>
  <c r="AB402" i="12"/>
  <c r="AC402" i="12"/>
  <c r="AB399" i="12"/>
  <c r="AC399" i="12"/>
  <c r="AQ396" i="12"/>
  <c r="AC388" i="12"/>
  <c r="AB388" i="12"/>
  <c r="AB382" i="12"/>
  <c r="AC382" i="12"/>
  <c r="AQ380" i="12"/>
  <c r="AR374" i="12"/>
  <c r="AQ374" i="12"/>
  <c r="AQ352" i="12"/>
  <c r="AR352" i="12"/>
  <c r="AQ320" i="12"/>
  <c r="AR320" i="12"/>
  <c r="AC311" i="12"/>
  <c r="AB311" i="12"/>
  <c r="AB307" i="12"/>
  <c r="AC307" i="12"/>
  <c r="AB274" i="12"/>
  <c r="AC274" i="12"/>
  <c r="AC263" i="12"/>
  <c r="AB263" i="12"/>
  <c r="AQ231" i="12"/>
  <c r="AR231" i="12"/>
  <c r="AR210" i="12"/>
  <c r="AQ210" i="12"/>
  <c r="AR195" i="12"/>
  <c r="AQ182" i="12"/>
  <c r="AR182" i="12"/>
  <c r="AQ175" i="12"/>
  <c r="AR175" i="12"/>
  <c r="AR171" i="12"/>
  <c r="AR158" i="12"/>
  <c r="AQ158" i="12"/>
  <c r="AR101" i="12"/>
  <c r="AQ75" i="12"/>
  <c r="AR75" i="12"/>
  <c r="AQ67" i="12"/>
  <c r="AR67" i="12"/>
  <c r="AQ65" i="12"/>
  <c r="AR65" i="12"/>
  <c r="AQ63" i="12"/>
  <c r="AR63" i="12"/>
  <c r="AQ49" i="12"/>
  <c r="AR49" i="12"/>
  <c r="AB24" i="12"/>
  <c r="AC24" i="12"/>
  <c r="AQ21" i="12"/>
  <c r="AR21" i="12"/>
  <c r="AQ13" i="12"/>
  <c r="AR13" i="12"/>
  <c r="AB378" i="12"/>
  <c r="AC378" i="12"/>
  <c r="AC323" i="12"/>
  <c r="AB323" i="12"/>
  <c r="AR222" i="12"/>
  <c r="AQ222" i="12"/>
  <c r="AR212" i="12"/>
  <c r="AQ212" i="12"/>
  <c r="AQ167" i="12"/>
  <c r="AR167" i="12"/>
  <c r="AQ470" i="12"/>
  <c r="AC439" i="12"/>
  <c r="AB439" i="12"/>
  <c r="AC310" i="12"/>
  <c r="AB310" i="12"/>
  <c r="AR191" i="12"/>
  <c r="AB172" i="12"/>
  <c r="AC172" i="12"/>
  <c r="AQ11" i="12"/>
  <c r="AR11" i="12"/>
  <c r="AQ494" i="12"/>
  <c r="AQ486" i="12"/>
  <c r="AB471" i="12"/>
  <c r="AQ462" i="12"/>
  <c r="AQ454" i="12"/>
  <c r="AB446" i="12"/>
  <c r="AB444" i="12"/>
  <c r="AC415" i="12"/>
  <c r="AC410" i="12"/>
  <c r="AB410" i="12"/>
  <c r="AR404" i="12"/>
  <c r="AQ398" i="12"/>
  <c r="AR390" i="12"/>
  <c r="AQ390" i="12"/>
  <c r="AC389" i="12"/>
  <c r="AB385" i="12"/>
  <c r="AC385" i="12"/>
  <c r="AR372" i="12"/>
  <c r="AC371" i="12"/>
  <c r="AB371" i="12"/>
  <c r="AQ348" i="12"/>
  <c r="AR348" i="12"/>
  <c r="AC347" i="12"/>
  <c r="AR344" i="12"/>
  <c r="AQ296" i="12"/>
  <c r="AQ292" i="12"/>
  <c r="AR292" i="12"/>
  <c r="AR284" i="12"/>
  <c r="AC282" i="12"/>
  <c r="AB282" i="12"/>
  <c r="AB239" i="12"/>
  <c r="AC239" i="12"/>
  <c r="AB236" i="12"/>
  <c r="AC236" i="12"/>
  <c r="AQ218" i="12"/>
  <c r="AR218" i="12"/>
  <c r="AC216" i="12"/>
  <c r="AR214" i="12"/>
  <c r="AB176" i="12"/>
  <c r="AC176" i="12"/>
  <c r="AQ154" i="12"/>
  <c r="AR154" i="12"/>
  <c r="AB152" i="12"/>
  <c r="AC130" i="12"/>
  <c r="AB130" i="12"/>
  <c r="AR109" i="12"/>
  <c r="AR96" i="12"/>
  <c r="AQ96" i="12"/>
  <c r="AC50" i="12"/>
  <c r="AB50" i="12"/>
  <c r="AQ37" i="12"/>
  <c r="AR37" i="12"/>
  <c r="AQ26" i="12"/>
  <c r="AR26" i="12"/>
  <c r="AQ22" i="12"/>
  <c r="AR22" i="12"/>
  <c r="AQ14" i="12"/>
  <c r="AR14" i="12"/>
  <c r="AQ406" i="12"/>
  <c r="AB404" i="12"/>
  <c r="AC401" i="12"/>
  <c r="AB400" i="12"/>
  <c r="AB383" i="12"/>
  <c r="AC381" i="12"/>
  <c r="AC377" i="12"/>
  <c r="AC376" i="12"/>
  <c r="AB376" i="12"/>
  <c r="AB367" i="12"/>
  <c r="AC367" i="12"/>
  <c r="AC362" i="12"/>
  <c r="AB362" i="12"/>
  <c r="AB355" i="12"/>
  <c r="AC355" i="12"/>
  <c r="AB327" i="12"/>
  <c r="AB322" i="12"/>
  <c r="AC322" i="12"/>
  <c r="AQ308" i="12"/>
  <c r="AR308" i="12"/>
  <c r="AQ280" i="12"/>
  <c r="AR280" i="12"/>
  <c r="AR272" i="12"/>
  <c r="AR264" i="12"/>
  <c r="AB262" i="12"/>
  <c r="AC262" i="12"/>
  <c r="AQ206" i="12"/>
  <c r="AB180" i="12"/>
  <c r="AC180" i="12"/>
  <c r="AB156" i="12"/>
  <c r="AB82" i="12"/>
  <c r="AC82" i="12"/>
  <c r="AB77" i="12"/>
  <c r="AC77" i="12"/>
  <c r="AQ44" i="12"/>
  <c r="AR32" i="12"/>
  <c r="AQ32" i="12"/>
  <c r="AC9" i="12"/>
  <c r="AB9" i="12"/>
  <c r="AC7" i="12"/>
  <c r="AQ368" i="12"/>
  <c r="AR368" i="12"/>
  <c r="AB363" i="12"/>
  <c r="AC363" i="12"/>
  <c r="AB358" i="12"/>
  <c r="AC358" i="12"/>
  <c r="AB351" i="12"/>
  <c r="AC351" i="12"/>
  <c r="AC346" i="12"/>
  <c r="AB346" i="12"/>
  <c r="AB338" i="12"/>
  <c r="AC338" i="12"/>
  <c r="AB303" i="12"/>
  <c r="AC303" i="12"/>
  <c r="AC228" i="12"/>
  <c r="AB228" i="12"/>
  <c r="AC164" i="12"/>
  <c r="AB164" i="12"/>
  <c r="AB157" i="12"/>
  <c r="AC157" i="12"/>
  <c r="AQ136" i="12"/>
  <c r="AR136" i="12"/>
  <c r="AQ124" i="12"/>
  <c r="AR124" i="12"/>
  <c r="AB114" i="12"/>
  <c r="AC114" i="12"/>
  <c r="AC94" i="12"/>
  <c r="AB94" i="12"/>
  <c r="AC56" i="12"/>
  <c r="AB56" i="12"/>
  <c r="AQ52" i="12"/>
  <c r="AR52" i="12"/>
  <c r="AB20" i="12"/>
  <c r="AC20" i="12"/>
  <c r="AR82" i="12"/>
  <c r="AQ82" i="12"/>
  <c r="AQ79" i="12"/>
  <c r="AR79" i="12"/>
  <c r="AC68" i="12"/>
  <c r="AB68" i="12"/>
  <c r="AB45" i="12"/>
  <c r="AC45" i="12"/>
  <c r="AQ41" i="12"/>
  <c r="AR41" i="12"/>
  <c r="AQ17" i="12"/>
  <c r="AR17" i="12"/>
  <c r="AC13" i="12"/>
  <c r="AB13" i="12"/>
  <c r="AQ180" i="12"/>
  <c r="AR85" i="12"/>
  <c r="AB73" i="12"/>
  <c r="AC73" i="12"/>
  <c r="AB69" i="12"/>
  <c r="AC69" i="12"/>
  <c r="AR28" i="12"/>
  <c r="AQ28" i="12"/>
  <c r="AR9" i="12"/>
  <c r="AQ5" i="12"/>
  <c r="AR5" i="12"/>
  <c r="AR3" i="12"/>
  <c r="AB315" i="12"/>
  <c r="AC315" i="12"/>
  <c r="AC295" i="12"/>
  <c r="AB295" i="12"/>
  <c r="AB251" i="12"/>
  <c r="AC251" i="12"/>
  <c r="AC16" i="12"/>
  <c r="AB16" i="12"/>
  <c r="AB334" i="12"/>
  <c r="AC334" i="12"/>
  <c r="AB302" i="12"/>
  <c r="AC302" i="12"/>
  <c r="AB286" i="12"/>
  <c r="AC286" i="12"/>
  <c r="AB39" i="12"/>
  <c r="AC39" i="12"/>
  <c r="AC8" i="12"/>
  <c r="AB8" i="12"/>
  <c r="AC490" i="12"/>
  <c r="AC483" i="12"/>
  <c r="AC474" i="12"/>
  <c r="AC467" i="12"/>
  <c r="AC458" i="12"/>
  <c r="AC442" i="12"/>
  <c r="AC435" i="12"/>
  <c r="AC406" i="12"/>
  <c r="AC403" i="12"/>
  <c r="AC387" i="12"/>
  <c r="AB299" i="12"/>
  <c r="AC299" i="12"/>
  <c r="AB246" i="12"/>
  <c r="AC246" i="12"/>
  <c r="AB242" i="12"/>
  <c r="AC242" i="12"/>
  <c r="AB28" i="12"/>
  <c r="AC28" i="12"/>
  <c r="AC22" i="12"/>
  <c r="AB22" i="12"/>
  <c r="AB232" i="12"/>
  <c r="AC232" i="12"/>
  <c r="AB168" i="12"/>
  <c r="AC168" i="12"/>
  <c r="AC384" i="12"/>
  <c r="AB384" i="12"/>
  <c r="AC220" i="12"/>
  <c r="AB220" i="12"/>
  <c r="AC153" i="12"/>
  <c r="AB153" i="12"/>
  <c r="AC66" i="12"/>
  <c r="AB66" i="12"/>
  <c r="AC30" i="12"/>
  <c r="AB30" i="12"/>
  <c r="AC451" i="12"/>
  <c r="AC438" i="12"/>
  <c r="AC422" i="12"/>
  <c r="AC419" i="12"/>
  <c r="AC390" i="12"/>
  <c r="AB331" i="12"/>
  <c r="AC331" i="12"/>
  <c r="AB488" i="12"/>
  <c r="AB472" i="12"/>
  <c r="AB456" i="12"/>
  <c r="AB440" i="12"/>
  <c r="AC425" i="12"/>
  <c r="AB424" i="12"/>
  <c r="AC409" i="12"/>
  <c r="AB408" i="12"/>
  <c r="AC393" i="12"/>
  <c r="AB392" i="12"/>
  <c r="AC373" i="12"/>
  <c r="AB372" i="12"/>
  <c r="AC366" i="12"/>
  <c r="AB318" i="12"/>
  <c r="AC318" i="12"/>
  <c r="AB314" i="12"/>
  <c r="AB294" i="12"/>
  <c r="AB279" i="12"/>
  <c r="AC270" i="12"/>
  <c r="AC250" i="12"/>
  <c r="AB250" i="12"/>
  <c r="AB243" i="12"/>
  <c r="AC243" i="12"/>
  <c r="AB238" i="12"/>
  <c r="AC238" i="12"/>
  <c r="AC196" i="12"/>
  <c r="AB196" i="12"/>
  <c r="AB146" i="12"/>
  <c r="AC142" i="12"/>
  <c r="AB134" i="12"/>
  <c r="AC134" i="12"/>
  <c r="AB74" i="12"/>
  <c r="AC74" i="12"/>
  <c r="AC267" i="12"/>
  <c r="AB266" i="12"/>
  <c r="AB247" i="12"/>
  <c r="AB192" i="12"/>
  <c r="AC184" i="12"/>
  <c r="AC138" i="12"/>
  <c r="AC102" i="12"/>
  <c r="AB71" i="12"/>
  <c r="AC63" i="12"/>
  <c r="AB63" i="12"/>
  <c r="AB59" i="12"/>
  <c r="AC52" i="12"/>
  <c r="AB52" i="12"/>
  <c r="AB47" i="12"/>
  <c r="AB38" i="12"/>
  <c r="AB31" i="12"/>
  <c r="AC31" i="12"/>
  <c r="AB29" i="12"/>
  <c r="AB23" i="12"/>
  <c r="AC23" i="12"/>
  <c r="AC14" i="12"/>
  <c r="AB14" i="12"/>
  <c r="AC76" i="12"/>
  <c r="AB76" i="12"/>
  <c r="AB53" i="12"/>
  <c r="AC53" i="12"/>
  <c r="AC33" i="12"/>
  <c r="AB33" i="12"/>
  <c r="AC25" i="12"/>
  <c r="AB25" i="12"/>
  <c r="AB369" i="12"/>
  <c r="AC369" i="12"/>
  <c r="AQ367" i="12"/>
  <c r="AR367" i="12"/>
  <c r="AB361" i="12"/>
  <c r="AC361" i="12"/>
  <c r="AB357" i="12"/>
  <c r="AC357" i="12"/>
  <c r="AB353" i="12"/>
  <c r="AC353" i="12"/>
  <c r="AQ351" i="12"/>
  <c r="AR351" i="12"/>
  <c r="AB349" i="12"/>
  <c r="AC349" i="12"/>
  <c r="AB345" i="12"/>
  <c r="AC345" i="12"/>
  <c r="AQ343" i="12"/>
  <c r="AR343" i="12"/>
  <c r="AQ339" i="12"/>
  <c r="AR339" i="12"/>
  <c r="AB333" i="12"/>
  <c r="AC333" i="12"/>
  <c r="AB329" i="12"/>
  <c r="AC329" i="12"/>
  <c r="AB325" i="12"/>
  <c r="AC325" i="12"/>
  <c r="AB317" i="12"/>
  <c r="AC317" i="12"/>
  <c r="AB309" i="12"/>
  <c r="AC309" i="12"/>
  <c r="AQ307" i="12"/>
  <c r="AR307" i="12"/>
  <c r="AB301" i="12"/>
  <c r="AC301" i="12"/>
  <c r="AB297" i="12"/>
  <c r="AC297" i="12"/>
  <c r="AQ295" i="12"/>
  <c r="AR295" i="12"/>
  <c r="AB285" i="12"/>
  <c r="AC285" i="12"/>
  <c r="AQ283" i="12"/>
  <c r="AR283" i="12"/>
  <c r="AQ279" i="12"/>
  <c r="AR279" i="12"/>
  <c r="AB273" i="12"/>
  <c r="AC273" i="12"/>
  <c r="AB269" i="12"/>
  <c r="AC269" i="12"/>
  <c r="AB261" i="12"/>
  <c r="AC261" i="12"/>
  <c r="AQ255" i="12"/>
  <c r="AR255" i="12"/>
  <c r="AB249" i="12"/>
  <c r="AC249" i="12"/>
  <c r="AB245" i="12"/>
  <c r="AC245" i="12"/>
  <c r="AQ243" i="12"/>
  <c r="AR243" i="12"/>
  <c r="AQ239" i="12"/>
  <c r="AR239" i="12"/>
  <c r="AO223" i="12"/>
  <c r="AN223" i="12"/>
  <c r="AC218" i="12"/>
  <c r="AB218" i="12"/>
  <c r="AB215" i="12"/>
  <c r="AC215" i="12"/>
  <c r="AO207" i="12"/>
  <c r="AN207" i="12"/>
  <c r="AB199" i="12"/>
  <c r="AC199" i="12"/>
  <c r="AB189" i="12"/>
  <c r="AC189" i="12"/>
  <c r="AC186" i="12"/>
  <c r="AB186" i="12"/>
  <c r="AB183" i="12"/>
  <c r="AC183" i="12"/>
  <c r="AB173" i="12"/>
  <c r="AC173" i="12"/>
  <c r="AN172" i="12"/>
  <c r="AO172" i="12"/>
  <c r="AB167" i="12"/>
  <c r="AC167" i="12"/>
  <c r="AO159" i="12"/>
  <c r="AN159" i="12"/>
  <c r="AQ157" i="12"/>
  <c r="AR157" i="12"/>
  <c r="AB135" i="12"/>
  <c r="AC135" i="12"/>
  <c r="AO125" i="12"/>
  <c r="AN125" i="12"/>
  <c r="AB113" i="12"/>
  <c r="AC113" i="12"/>
  <c r="AO109" i="12"/>
  <c r="AN109" i="12"/>
  <c r="AB103" i="12"/>
  <c r="AC103" i="12"/>
  <c r="AO93" i="12"/>
  <c r="AN93" i="12"/>
  <c r="AO89" i="12"/>
  <c r="AN89" i="12"/>
  <c r="AC84" i="12"/>
  <c r="AB84" i="12"/>
  <c r="AB81" i="12"/>
  <c r="AC81" i="12"/>
  <c r="AC67" i="12"/>
  <c r="AB67" i="12"/>
  <c r="AN66" i="12"/>
  <c r="AO66" i="12"/>
  <c r="AC64" i="12"/>
  <c r="AB64" i="12"/>
  <c r="AB43" i="12"/>
  <c r="AC43" i="12"/>
  <c r="AO35" i="12"/>
  <c r="AN35" i="12"/>
  <c r="AC21" i="12"/>
  <c r="AB21" i="12"/>
  <c r="AN20" i="12"/>
  <c r="AO20" i="12"/>
  <c r="AC18" i="12"/>
  <c r="AB18" i="12"/>
  <c r="AO491" i="12"/>
  <c r="AO479" i="12"/>
  <c r="AO475" i="12"/>
  <c r="AO467" i="12"/>
  <c r="AO463" i="12"/>
  <c r="AO455" i="12"/>
  <c r="AO451" i="12"/>
  <c r="AO443" i="12"/>
  <c r="AO435" i="12"/>
  <c r="AO431" i="12"/>
  <c r="AO427" i="12"/>
  <c r="AO423" i="12"/>
  <c r="AO419" i="12"/>
  <c r="AO411" i="12"/>
  <c r="AO399" i="12"/>
  <c r="AO383" i="12"/>
  <c r="AB235" i="12"/>
  <c r="AC235" i="12"/>
  <c r="AO227" i="12"/>
  <c r="AN227" i="12"/>
  <c r="AC222" i="12"/>
  <c r="AB222" i="12"/>
  <c r="AO211" i="12"/>
  <c r="AN211" i="12"/>
  <c r="AB65" i="12"/>
  <c r="AC65" i="12"/>
  <c r="AO49" i="12"/>
  <c r="AN49" i="12"/>
  <c r="AN36" i="12"/>
  <c r="AO36" i="12"/>
  <c r="AR36" i="12"/>
  <c r="AQ36" i="12"/>
  <c r="AC34" i="12"/>
  <c r="AB34" i="12"/>
  <c r="AB19" i="12"/>
  <c r="AC19" i="12"/>
  <c r="AN495" i="12"/>
  <c r="AC489" i="12"/>
  <c r="AO486" i="12"/>
  <c r="AR483" i="12"/>
  <c r="AR479" i="12"/>
  <c r="AN471" i="12"/>
  <c r="AO470" i="12"/>
  <c r="AO466" i="12"/>
  <c r="AR463" i="12"/>
  <c r="AO462" i="12"/>
  <c r="AR459" i="12"/>
  <c r="AR455" i="12"/>
  <c r="AO454" i="12"/>
  <c r="AC453" i="12"/>
  <c r="AR451" i="12"/>
  <c r="AO450" i="12"/>
  <c r="AC449" i="12"/>
  <c r="AR447" i="12"/>
  <c r="AN447" i="12"/>
  <c r="AO446" i="12"/>
  <c r="AC445" i="12"/>
  <c r="AR443" i="12"/>
  <c r="AO442" i="12"/>
  <c r="AC441" i="12"/>
  <c r="AR439" i="12"/>
  <c r="AN439" i="12"/>
  <c r="AR437" i="12"/>
  <c r="AR433" i="12"/>
  <c r="AR429" i="12"/>
  <c r="AR425" i="12"/>
  <c r="AR421" i="12"/>
  <c r="AR417" i="12"/>
  <c r="AN415" i="12"/>
  <c r="AR413" i="12"/>
  <c r="AR409" i="12"/>
  <c r="AN407" i="12"/>
  <c r="AR405" i="12"/>
  <c r="AN403" i="12"/>
  <c r="AR401" i="12"/>
  <c r="AR397" i="12"/>
  <c r="AN395" i="12"/>
  <c r="AR393" i="12"/>
  <c r="AN391" i="12"/>
  <c r="AR389" i="12"/>
  <c r="AN387" i="12"/>
  <c r="AR385" i="12"/>
  <c r="AR381" i="12"/>
  <c r="AN379" i="12"/>
  <c r="AR377" i="12"/>
  <c r="AN375" i="12"/>
  <c r="AR373" i="12"/>
  <c r="AN371" i="12"/>
  <c r="AN370" i="12"/>
  <c r="AO370" i="12"/>
  <c r="AO367" i="12"/>
  <c r="AN366" i="12"/>
  <c r="AO366" i="12"/>
  <c r="AO363" i="12"/>
  <c r="AN362" i="12"/>
  <c r="AO362" i="12"/>
  <c r="AO359" i="12"/>
  <c r="AN358" i="12"/>
  <c r="AO358" i="12"/>
  <c r="AO355" i="12"/>
  <c r="AN354" i="12"/>
  <c r="AO354" i="12"/>
  <c r="AO351" i="12"/>
  <c r="AN350" i="12"/>
  <c r="AO350" i="12"/>
  <c r="AO347" i="12"/>
  <c r="AN346" i="12"/>
  <c r="AO346" i="12"/>
  <c r="AO343" i="12"/>
  <c r="AN342" i="12"/>
  <c r="AO342" i="12"/>
  <c r="AO339" i="12"/>
  <c r="AN338" i="12"/>
  <c r="AO338" i="12"/>
  <c r="AO335" i="12"/>
  <c r="AN334" i="12"/>
  <c r="AO334" i="12"/>
  <c r="AO331" i="12"/>
  <c r="AN330" i="12"/>
  <c r="AO330" i="12"/>
  <c r="AO327" i="12"/>
  <c r="AN326" i="12"/>
  <c r="AO326" i="12"/>
  <c r="AO323" i="12"/>
  <c r="AN322" i="12"/>
  <c r="AO322" i="12"/>
  <c r="AO319" i="12"/>
  <c r="AN318" i="12"/>
  <c r="AO318" i="12"/>
  <c r="AO315" i="12"/>
  <c r="AN314" i="12"/>
  <c r="AO314" i="12"/>
  <c r="AO311" i="12"/>
  <c r="AN310" i="12"/>
  <c r="AO310" i="12"/>
  <c r="AO307" i="12"/>
  <c r="AN306" i="12"/>
  <c r="AO306" i="12"/>
  <c r="AO303" i="12"/>
  <c r="AN302" i="12"/>
  <c r="AO302" i="12"/>
  <c r="AO299" i="12"/>
  <c r="AN298" i="12"/>
  <c r="AO298" i="12"/>
  <c r="AO295" i="12"/>
  <c r="AN294" i="12"/>
  <c r="AO294" i="12"/>
  <c r="AO291" i="12"/>
  <c r="AN290" i="12"/>
  <c r="AO290" i="12"/>
  <c r="AO287" i="12"/>
  <c r="AN286" i="12"/>
  <c r="AO286" i="12"/>
  <c r="AO283" i="12"/>
  <c r="AN282" i="12"/>
  <c r="AO282" i="12"/>
  <c r="AO279" i="12"/>
  <c r="AN278" i="12"/>
  <c r="AO278" i="12"/>
  <c r="AO275" i="12"/>
  <c r="AN274" i="12"/>
  <c r="AO274" i="12"/>
  <c r="AO271" i="12"/>
  <c r="AN270" i="12"/>
  <c r="AO270" i="12"/>
  <c r="AO267" i="12"/>
  <c r="AN266" i="12"/>
  <c r="AO266" i="12"/>
  <c r="AO263" i="12"/>
  <c r="AN262" i="12"/>
  <c r="AO262" i="12"/>
  <c r="AO259" i="12"/>
  <c r="AN258" i="12"/>
  <c r="AO258" i="12"/>
  <c r="AO255" i="12"/>
  <c r="AN254" i="12"/>
  <c r="AO254" i="12"/>
  <c r="AO251" i="12"/>
  <c r="AN250" i="12"/>
  <c r="AO250" i="12"/>
  <c r="AO247" i="12"/>
  <c r="AN246" i="12"/>
  <c r="AO246" i="12"/>
  <c r="AO243" i="12"/>
  <c r="AN242" i="12"/>
  <c r="AO242" i="12"/>
  <c r="AO239" i="12"/>
  <c r="AN238" i="12"/>
  <c r="AO238" i="12"/>
  <c r="AO231" i="12"/>
  <c r="AN231" i="12"/>
  <c r="AB229" i="12"/>
  <c r="AC229" i="12"/>
  <c r="AN228" i="12"/>
  <c r="AO228" i="12"/>
  <c r="AC226" i="12"/>
  <c r="AB226" i="12"/>
  <c r="AQ224" i="12"/>
  <c r="AB223" i="12"/>
  <c r="AC223" i="12"/>
  <c r="AO215" i="12"/>
  <c r="AN215" i="12"/>
  <c r="AB213" i="12"/>
  <c r="AC213" i="12"/>
  <c r="AN212" i="12"/>
  <c r="AO212" i="12"/>
  <c r="AC210" i="12"/>
  <c r="AB210" i="12"/>
  <c r="AQ208" i="12"/>
  <c r="AB207" i="12"/>
  <c r="AC207" i="12"/>
  <c r="AO199" i="12"/>
  <c r="AN199" i="12"/>
  <c r="AB197" i="12"/>
  <c r="AC197" i="12"/>
  <c r="AN196" i="12"/>
  <c r="AO196" i="12"/>
  <c r="AC194" i="12"/>
  <c r="AB194" i="12"/>
  <c r="AQ192" i="12"/>
  <c r="AB191" i="12"/>
  <c r="AC191" i="12"/>
  <c r="AO183" i="12"/>
  <c r="AN183" i="12"/>
  <c r="AB181" i="12"/>
  <c r="AC181" i="12"/>
  <c r="AN180" i="12"/>
  <c r="AO180" i="12"/>
  <c r="AC178" i="12"/>
  <c r="AB178" i="12"/>
  <c r="AQ176" i="12"/>
  <c r="AB175" i="12"/>
  <c r="AC175" i="12"/>
  <c r="AO167" i="12"/>
  <c r="AN167" i="12"/>
  <c r="AB165" i="12"/>
  <c r="AC165" i="12"/>
  <c r="AN164" i="12"/>
  <c r="AO164" i="12"/>
  <c r="AC162" i="12"/>
  <c r="AB162" i="12"/>
  <c r="AQ160" i="12"/>
  <c r="AB159" i="12"/>
  <c r="AC159" i="12"/>
  <c r="AC154" i="12"/>
  <c r="AB154" i="12"/>
  <c r="AB139" i="12"/>
  <c r="AC139" i="12"/>
  <c r="AB123" i="12"/>
  <c r="AC123" i="12"/>
  <c r="AB107" i="12"/>
  <c r="AC107" i="12"/>
  <c r="AB91" i="12"/>
  <c r="AC91" i="12"/>
  <c r="AN50" i="12"/>
  <c r="AO50" i="12"/>
  <c r="AR50" i="12"/>
  <c r="AQ50" i="12"/>
  <c r="AC48" i="12"/>
  <c r="AB48" i="12"/>
  <c r="AB365" i="12"/>
  <c r="AC365" i="12"/>
  <c r="AQ363" i="12"/>
  <c r="AR363" i="12"/>
  <c r="AQ359" i="12"/>
  <c r="AR359" i="12"/>
  <c r="AQ355" i="12"/>
  <c r="AR355" i="12"/>
  <c r="AQ347" i="12"/>
  <c r="AR347" i="12"/>
  <c r="AB341" i="12"/>
  <c r="AC341" i="12"/>
  <c r="AB337" i="12"/>
  <c r="AC337" i="12"/>
  <c r="AQ335" i="12"/>
  <c r="AR335" i="12"/>
  <c r="AQ331" i="12"/>
  <c r="AR331" i="12"/>
  <c r="AQ327" i="12"/>
  <c r="AR327" i="12"/>
  <c r="AQ323" i="12"/>
  <c r="AR323" i="12"/>
  <c r="AB321" i="12"/>
  <c r="AC321" i="12"/>
  <c r="AQ319" i="12"/>
  <c r="AR319" i="12"/>
  <c r="AQ315" i="12"/>
  <c r="AR315" i="12"/>
  <c r="AB313" i="12"/>
  <c r="AC313" i="12"/>
  <c r="AQ311" i="12"/>
  <c r="AR311" i="12"/>
  <c r="AB305" i="12"/>
  <c r="AC305" i="12"/>
  <c r="AQ303" i="12"/>
  <c r="AR303" i="12"/>
  <c r="AQ299" i="12"/>
  <c r="AR299" i="12"/>
  <c r="AB293" i="12"/>
  <c r="AC293" i="12"/>
  <c r="AQ291" i="12"/>
  <c r="AR291" i="12"/>
  <c r="AB289" i="12"/>
  <c r="AC289" i="12"/>
  <c r="AQ287" i="12"/>
  <c r="AR287" i="12"/>
  <c r="AB281" i="12"/>
  <c r="AC281" i="12"/>
  <c r="AB277" i="12"/>
  <c r="AC277" i="12"/>
  <c r="AQ275" i="12"/>
  <c r="AR275" i="12"/>
  <c r="AQ271" i="12"/>
  <c r="AR271" i="12"/>
  <c r="AQ267" i="12"/>
  <c r="AR267" i="12"/>
  <c r="AB265" i="12"/>
  <c r="AC265" i="12"/>
  <c r="AQ263" i="12"/>
  <c r="AR263" i="12"/>
  <c r="AQ259" i="12"/>
  <c r="AR259" i="12"/>
  <c r="AB257" i="12"/>
  <c r="AC257" i="12"/>
  <c r="AB253" i="12"/>
  <c r="AC253" i="12"/>
  <c r="AQ251" i="12"/>
  <c r="AR251" i="12"/>
  <c r="AQ247" i="12"/>
  <c r="AR247" i="12"/>
  <c r="AB241" i="12"/>
  <c r="AC241" i="12"/>
  <c r="AB237" i="12"/>
  <c r="AC237" i="12"/>
  <c r="AN236" i="12"/>
  <c r="AO236" i="12"/>
  <c r="AC234" i="12"/>
  <c r="AB234" i="12"/>
  <c r="AB231" i="12"/>
  <c r="AC231" i="12"/>
  <c r="AB221" i="12"/>
  <c r="AC221" i="12"/>
  <c r="AN220" i="12"/>
  <c r="AO220" i="12"/>
  <c r="AB205" i="12"/>
  <c r="AC205" i="12"/>
  <c r="AN204" i="12"/>
  <c r="AO204" i="12"/>
  <c r="AC202" i="12"/>
  <c r="AB202" i="12"/>
  <c r="AO191" i="12"/>
  <c r="AN191" i="12"/>
  <c r="AN188" i="12"/>
  <c r="AO188" i="12"/>
  <c r="AO175" i="12"/>
  <c r="AN175" i="12"/>
  <c r="AC170" i="12"/>
  <c r="AB170" i="12"/>
  <c r="AN157" i="12"/>
  <c r="AO157" i="12"/>
  <c r="AB151" i="12"/>
  <c r="AC151" i="12"/>
  <c r="AN150" i="12"/>
  <c r="AO150" i="12"/>
  <c r="AC148" i="12"/>
  <c r="AB148" i="12"/>
  <c r="AB145" i="12"/>
  <c r="AC145" i="12"/>
  <c r="AO141" i="12"/>
  <c r="AN141" i="12"/>
  <c r="AO137" i="12"/>
  <c r="AN137" i="12"/>
  <c r="AN134" i="12"/>
  <c r="AO134" i="12"/>
  <c r="AC132" i="12"/>
  <c r="AB132" i="12"/>
  <c r="AB129" i="12"/>
  <c r="AC129" i="12"/>
  <c r="AO121" i="12"/>
  <c r="AN121" i="12"/>
  <c r="AB119" i="12"/>
  <c r="AC119" i="12"/>
  <c r="AN118" i="12"/>
  <c r="AO118" i="12"/>
  <c r="AC116" i="12"/>
  <c r="AB116" i="12"/>
  <c r="AO105" i="12"/>
  <c r="AN105" i="12"/>
  <c r="AN102" i="12"/>
  <c r="AO102" i="12"/>
  <c r="AC100" i="12"/>
  <c r="AB100" i="12"/>
  <c r="AB97" i="12"/>
  <c r="AC97" i="12"/>
  <c r="AB87" i="12"/>
  <c r="AC87" i="12"/>
  <c r="AN86" i="12"/>
  <c r="AO86" i="12"/>
  <c r="AN78" i="12"/>
  <c r="AO78" i="12"/>
  <c r="AN62" i="12"/>
  <c r="AO62" i="12"/>
  <c r="AR62" i="12"/>
  <c r="AQ62" i="12"/>
  <c r="AN40" i="12"/>
  <c r="AO40" i="12"/>
  <c r="AB3" i="12"/>
  <c r="AC3" i="12"/>
  <c r="AO487" i="12"/>
  <c r="AO483" i="12"/>
  <c r="AO459" i="12"/>
  <c r="AQ236" i="12"/>
  <c r="AB225" i="12"/>
  <c r="AC225" i="12"/>
  <c r="AN224" i="12"/>
  <c r="AO224" i="12"/>
  <c r="AQ220" i="12"/>
  <c r="AB219" i="12"/>
  <c r="AC219" i="12"/>
  <c r="AB209" i="12"/>
  <c r="AC209" i="12"/>
  <c r="AN208" i="12"/>
  <c r="AO208" i="12"/>
  <c r="AC206" i="12"/>
  <c r="AB206" i="12"/>
  <c r="AQ204" i="12"/>
  <c r="AB203" i="12"/>
  <c r="AC203" i="12"/>
  <c r="AO195" i="12"/>
  <c r="AN195" i="12"/>
  <c r="AB193" i="12"/>
  <c r="AC193" i="12"/>
  <c r="AN192" i="12"/>
  <c r="AO192" i="12"/>
  <c r="AC190" i="12"/>
  <c r="AB190" i="12"/>
  <c r="AQ188" i="12"/>
  <c r="AB187" i="12"/>
  <c r="AC187" i="12"/>
  <c r="AO179" i="12"/>
  <c r="AN179" i="12"/>
  <c r="AB177" i="12"/>
  <c r="AC177" i="12"/>
  <c r="AN176" i="12"/>
  <c r="AO176" i="12"/>
  <c r="AC174" i="12"/>
  <c r="AB174" i="12"/>
  <c r="AQ172" i="12"/>
  <c r="AB171" i="12"/>
  <c r="AC171" i="12"/>
  <c r="AO163" i="12"/>
  <c r="AN163" i="12"/>
  <c r="AB161" i="12"/>
  <c r="AC161" i="12"/>
  <c r="AN160" i="12"/>
  <c r="AO160" i="12"/>
  <c r="AC158" i="12"/>
  <c r="AB158" i="12"/>
  <c r="AN153" i="12"/>
  <c r="AO153" i="12"/>
  <c r="AQ153" i="12"/>
  <c r="AR153" i="12"/>
  <c r="AQ150" i="12"/>
  <c r="AB149" i="12"/>
  <c r="AC149" i="12"/>
  <c r="AN138" i="12"/>
  <c r="AO138" i="12"/>
  <c r="AR138" i="12"/>
  <c r="AQ138" i="12"/>
  <c r="AC136" i="12"/>
  <c r="AB136" i="12"/>
  <c r="AQ134" i="12"/>
  <c r="AB133" i="12"/>
  <c r="AC133" i="12"/>
  <c r="AN122" i="12"/>
  <c r="AO122" i="12"/>
  <c r="AR122" i="12"/>
  <c r="AQ122" i="12"/>
  <c r="AC120" i="12"/>
  <c r="AB120" i="12"/>
  <c r="AQ118" i="12"/>
  <c r="AB117" i="12"/>
  <c r="AC117" i="12"/>
  <c r="AN106" i="12"/>
  <c r="AO106" i="12"/>
  <c r="AR106" i="12"/>
  <c r="AQ106" i="12"/>
  <c r="AC104" i="12"/>
  <c r="AB104" i="12"/>
  <c r="AQ102" i="12"/>
  <c r="AB101" i="12"/>
  <c r="AC101" i="12"/>
  <c r="AN90" i="12"/>
  <c r="AO90" i="12"/>
  <c r="AR90" i="12"/>
  <c r="AQ90" i="12"/>
  <c r="AC88" i="12"/>
  <c r="AB88" i="12"/>
  <c r="AQ86" i="12"/>
  <c r="AB85" i="12"/>
  <c r="AC85" i="12"/>
  <c r="AQ78" i="12"/>
  <c r="AQ66" i="12"/>
  <c r="AO45" i="12"/>
  <c r="AN45" i="12"/>
  <c r="AQ40" i="12"/>
  <c r="AQ20" i="12"/>
  <c r="AR495" i="12"/>
  <c r="AO494" i="12"/>
  <c r="AC493" i="12"/>
  <c r="AR491" i="12"/>
  <c r="AO490" i="12"/>
  <c r="AR487" i="12"/>
  <c r="AC485" i="12"/>
  <c r="AO482" i="12"/>
  <c r="AC481" i="12"/>
  <c r="AO478" i="12"/>
  <c r="AC477" i="12"/>
  <c r="AR475" i="12"/>
  <c r="AO474" i="12"/>
  <c r="AC473" i="12"/>
  <c r="AR471" i="12"/>
  <c r="AC469" i="12"/>
  <c r="AR467" i="12"/>
  <c r="AC465" i="12"/>
  <c r="AC461" i="12"/>
  <c r="AO458" i="12"/>
  <c r="AC457" i="12"/>
  <c r="AR435" i="12"/>
  <c r="AR431" i="12"/>
  <c r="AR427" i="12"/>
  <c r="AR423" i="12"/>
  <c r="AR419" i="12"/>
  <c r="AR415" i="12"/>
  <c r="AR411" i="12"/>
  <c r="AR407" i="12"/>
  <c r="AR403" i="12"/>
  <c r="AR399" i="12"/>
  <c r="AR395" i="12"/>
  <c r="AR391" i="12"/>
  <c r="AR387" i="12"/>
  <c r="AR383" i="12"/>
  <c r="AR379" i="12"/>
  <c r="AR375" i="12"/>
  <c r="AR371" i="12"/>
  <c r="AQ370" i="12"/>
  <c r="AB368" i="12"/>
  <c r="AQ366" i="12"/>
  <c r="AB364" i="12"/>
  <c r="AQ362" i="12"/>
  <c r="AB360" i="12"/>
  <c r="AQ358" i="12"/>
  <c r="AB356" i="12"/>
  <c r="AQ354" i="12"/>
  <c r="AB352" i="12"/>
  <c r="AQ350" i="12"/>
  <c r="AB348" i="12"/>
  <c r="AQ346" i="12"/>
  <c r="AB344" i="12"/>
  <c r="AQ342" i="12"/>
  <c r="AB340" i="12"/>
  <c r="AQ338" i="12"/>
  <c r="AB336" i="12"/>
  <c r="AQ334" i="12"/>
  <c r="AB332" i="12"/>
  <c r="AQ330" i="12"/>
  <c r="AB328" i="12"/>
  <c r="AQ326" i="12"/>
  <c r="AB324" i="12"/>
  <c r="AQ322" i="12"/>
  <c r="AB320" i="12"/>
  <c r="AQ318" i="12"/>
  <c r="AB316" i="12"/>
  <c r="AQ314" i="12"/>
  <c r="AB312" i="12"/>
  <c r="AQ310" i="12"/>
  <c r="AB308" i="12"/>
  <c r="AQ306" i="12"/>
  <c r="AB304" i="12"/>
  <c r="AQ302" i="12"/>
  <c r="AB300" i="12"/>
  <c r="AQ298" i="12"/>
  <c r="AB296" i="12"/>
  <c r="AQ294" i="12"/>
  <c r="AB292" i="12"/>
  <c r="AQ290" i="12"/>
  <c r="AB288" i="12"/>
  <c r="AQ286" i="12"/>
  <c r="AB284" i="12"/>
  <c r="AQ282" i="12"/>
  <c r="AB280" i="12"/>
  <c r="AQ278" i="12"/>
  <c r="AB276" i="12"/>
  <c r="AQ274" i="12"/>
  <c r="AB272" i="12"/>
  <c r="AQ270" i="12"/>
  <c r="AB268" i="12"/>
  <c r="AQ266" i="12"/>
  <c r="AB264" i="12"/>
  <c r="AQ262" i="12"/>
  <c r="AB260" i="12"/>
  <c r="AQ258" i="12"/>
  <c r="AB256" i="12"/>
  <c r="AQ254" i="12"/>
  <c r="AB252" i="12"/>
  <c r="AQ250" i="12"/>
  <c r="AB248" i="12"/>
  <c r="AQ246" i="12"/>
  <c r="AB244" i="12"/>
  <c r="AB240" i="12"/>
  <c r="AO235" i="12"/>
  <c r="AN235" i="12"/>
  <c r="AB233" i="12"/>
  <c r="AC233" i="12"/>
  <c r="AN232" i="12"/>
  <c r="AO232" i="12"/>
  <c r="AC230" i="12"/>
  <c r="AB230" i="12"/>
  <c r="AB227" i="12"/>
  <c r="AC227" i="12"/>
  <c r="AO219" i="12"/>
  <c r="AN219" i="12"/>
  <c r="AB217" i="12"/>
  <c r="AC217" i="12"/>
  <c r="AN216" i="12"/>
  <c r="AO216" i="12"/>
  <c r="AC214" i="12"/>
  <c r="AB214" i="12"/>
  <c r="AB211" i="12"/>
  <c r="AC211" i="12"/>
  <c r="AO203" i="12"/>
  <c r="AN203" i="12"/>
  <c r="AB201" i="12"/>
  <c r="AC201" i="12"/>
  <c r="AN200" i="12"/>
  <c r="AO200" i="12"/>
  <c r="AC198" i="12"/>
  <c r="AB198" i="12"/>
  <c r="AB195" i="12"/>
  <c r="AC195" i="12"/>
  <c r="AO187" i="12"/>
  <c r="AN187" i="12"/>
  <c r="AB185" i="12"/>
  <c r="AC185" i="12"/>
  <c r="AN184" i="12"/>
  <c r="AO184" i="12"/>
  <c r="AC182" i="12"/>
  <c r="AB182" i="12"/>
  <c r="AB179" i="12"/>
  <c r="AC179" i="12"/>
  <c r="AO171" i="12"/>
  <c r="AN171" i="12"/>
  <c r="AB169" i="12"/>
  <c r="AC169" i="12"/>
  <c r="AN168" i="12"/>
  <c r="AO168" i="12"/>
  <c r="AC166" i="12"/>
  <c r="AB166" i="12"/>
  <c r="AB163" i="12"/>
  <c r="AC163" i="12"/>
  <c r="AB155" i="12"/>
  <c r="AC155" i="12"/>
  <c r="AO61" i="12"/>
  <c r="AN61" i="12"/>
  <c r="AC51" i="12"/>
  <c r="AB51" i="12"/>
  <c r="AN156" i="12"/>
  <c r="AO156" i="12"/>
  <c r="AN152" i="12"/>
  <c r="AO152" i="12"/>
  <c r="AO145" i="12"/>
  <c r="AN145" i="12"/>
  <c r="AB143" i="12"/>
  <c r="AC143" i="12"/>
  <c r="AN142" i="12"/>
  <c r="AO142" i="12"/>
  <c r="AC140" i="12"/>
  <c r="AB140" i="12"/>
  <c r="AB137" i="12"/>
  <c r="AC137" i="12"/>
  <c r="AO129" i="12"/>
  <c r="AN129" i="12"/>
  <c r="AB127" i="12"/>
  <c r="AC127" i="12"/>
  <c r="AN126" i="12"/>
  <c r="AO126" i="12"/>
  <c r="AC124" i="12"/>
  <c r="AB124" i="12"/>
  <c r="AB121" i="12"/>
  <c r="AC121" i="12"/>
  <c r="AO113" i="12"/>
  <c r="AN113" i="12"/>
  <c r="AB111" i="12"/>
  <c r="AC111" i="12"/>
  <c r="AN110" i="12"/>
  <c r="AO110" i="12"/>
  <c r="AC108" i="12"/>
  <c r="AB108" i="12"/>
  <c r="AB105" i="12"/>
  <c r="AC105" i="12"/>
  <c r="AO97" i="12"/>
  <c r="AN97" i="12"/>
  <c r="AB95" i="12"/>
  <c r="AC95" i="12"/>
  <c r="AN94" i="12"/>
  <c r="AO94" i="12"/>
  <c r="AC92" i="12"/>
  <c r="AB92" i="12"/>
  <c r="AB89" i="12"/>
  <c r="AC89" i="12"/>
  <c r="AO81" i="12"/>
  <c r="AN81" i="12"/>
  <c r="AB55" i="12"/>
  <c r="AB49" i="12"/>
  <c r="AC49" i="12"/>
  <c r="AN46" i="12"/>
  <c r="AO46" i="12"/>
  <c r="AC37" i="12"/>
  <c r="AB37" i="12"/>
  <c r="AQ156" i="12"/>
  <c r="AQ152" i="12"/>
  <c r="AO149" i="12"/>
  <c r="AN149" i="12"/>
  <c r="AB147" i="12"/>
  <c r="AC147" i="12"/>
  <c r="AN146" i="12"/>
  <c r="AO146" i="12"/>
  <c r="AC144" i="12"/>
  <c r="AB144" i="12"/>
  <c r="AQ142" i="12"/>
  <c r="AB141" i="12"/>
  <c r="AC141" i="12"/>
  <c r="AO133" i="12"/>
  <c r="AN133" i="12"/>
  <c r="AB131" i="12"/>
  <c r="AC131" i="12"/>
  <c r="AN130" i="12"/>
  <c r="AO130" i="12"/>
  <c r="AC128" i="12"/>
  <c r="AB128" i="12"/>
  <c r="AQ126" i="12"/>
  <c r="AB125" i="12"/>
  <c r="AC125" i="12"/>
  <c r="AO117" i="12"/>
  <c r="AN117" i="12"/>
  <c r="AB115" i="12"/>
  <c r="AC115" i="12"/>
  <c r="AN114" i="12"/>
  <c r="AO114" i="12"/>
  <c r="AC112" i="12"/>
  <c r="AB112" i="12"/>
  <c r="AQ110" i="12"/>
  <c r="AB109" i="12"/>
  <c r="AC109" i="12"/>
  <c r="AO101" i="12"/>
  <c r="AN101" i="12"/>
  <c r="AB99" i="12"/>
  <c r="AC99" i="12"/>
  <c r="AN98" i="12"/>
  <c r="AO98" i="12"/>
  <c r="AC96" i="12"/>
  <c r="AB96" i="12"/>
  <c r="AQ94" i="12"/>
  <c r="AB93" i="12"/>
  <c r="AC93" i="12"/>
  <c r="AO85" i="12"/>
  <c r="AN85" i="12"/>
  <c r="AB83" i="12"/>
  <c r="AC83" i="12"/>
  <c r="AN82" i="12"/>
  <c r="AO82" i="12"/>
  <c r="AC80" i="12"/>
  <c r="AB80" i="12"/>
  <c r="AO77" i="12"/>
  <c r="AN77" i="12"/>
  <c r="AO65" i="12"/>
  <c r="AN65" i="12"/>
  <c r="AQ46" i="12"/>
  <c r="AC42" i="12"/>
  <c r="AB42" i="12"/>
  <c r="AO39" i="12"/>
  <c r="AN39" i="12"/>
  <c r="AB35" i="12"/>
  <c r="AC35" i="12"/>
  <c r="AO3" i="12"/>
  <c r="AN3" i="12"/>
  <c r="AO19" i="12"/>
  <c r="AN19" i="12"/>
  <c r="AC5" i="12"/>
  <c r="AB5" i="12"/>
  <c r="AN4" i="12"/>
  <c r="AO4" i="12"/>
  <c r="AE201" i="1"/>
  <c r="AG201" i="1" s="1"/>
  <c r="AH201" i="1" s="1"/>
  <c r="AF201" i="1"/>
  <c r="AI201" i="1" s="1"/>
  <c r="AE202" i="1"/>
  <c r="AG202" i="1" s="1"/>
  <c r="AH202" i="1" s="1"/>
  <c r="AF202" i="1"/>
  <c r="AI202" i="1" s="1"/>
  <c r="AE203" i="1"/>
  <c r="AG203" i="1" s="1"/>
  <c r="AH203" i="1" s="1"/>
  <c r="AF203" i="1"/>
  <c r="AI203" i="1" s="1"/>
  <c r="AE204" i="1"/>
  <c r="AG204" i="1" s="1"/>
  <c r="AH204" i="1" s="1"/>
  <c r="AF204" i="1"/>
  <c r="AI204" i="1" s="1"/>
  <c r="AE205" i="1"/>
  <c r="AG205" i="1" s="1"/>
  <c r="AH205" i="1" s="1"/>
  <c r="AF205" i="1"/>
  <c r="AI205" i="1" s="1"/>
  <c r="AE206" i="1"/>
  <c r="AG206" i="1" s="1"/>
  <c r="AH206" i="1" s="1"/>
  <c r="AF206" i="1"/>
  <c r="AI206" i="1" s="1"/>
  <c r="AE207" i="1"/>
  <c r="AG207" i="1" s="1"/>
  <c r="AH207" i="1" s="1"/>
  <c r="AF207" i="1"/>
  <c r="AI207" i="1" s="1"/>
  <c r="AE208" i="1"/>
  <c r="AG208" i="1" s="1"/>
  <c r="AH208" i="1" s="1"/>
  <c r="AF208" i="1"/>
  <c r="AI208" i="1" s="1"/>
  <c r="AE209" i="1"/>
  <c r="AG209" i="1" s="1"/>
  <c r="AH209" i="1" s="1"/>
  <c r="AF209" i="1"/>
  <c r="AI209" i="1" s="1"/>
  <c r="AE210" i="1"/>
  <c r="AG210" i="1" s="1"/>
  <c r="AH210" i="1" s="1"/>
  <c r="AF210" i="1"/>
  <c r="AI210" i="1" s="1"/>
  <c r="AE211" i="1"/>
  <c r="AG211" i="1" s="1"/>
  <c r="AH211" i="1" s="1"/>
  <c r="AF211" i="1"/>
  <c r="AI211" i="1" s="1"/>
  <c r="AE212" i="1"/>
  <c r="AG212" i="1" s="1"/>
  <c r="AH212" i="1" s="1"/>
  <c r="AF212" i="1"/>
  <c r="AI212" i="1" s="1"/>
  <c r="AE213" i="1"/>
  <c r="AG213" i="1" s="1"/>
  <c r="AH213" i="1" s="1"/>
  <c r="AF213" i="1"/>
  <c r="AI213" i="1" s="1"/>
  <c r="AE214" i="1"/>
  <c r="AG214" i="1" s="1"/>
  <c r="AH214" i="1" s="1"/>
  <c r="AF214" i="1"/>
  <c r="AI214" i="1" s="1"/>
  <c r="AE215" i="1"/>
  <c r="AG215" i="1" s="1"/>
  <c r="AH215" i="1" s="1"/>
  <c r="AF215" i="1"/>
  <c r="AI215" i="1" s="1"/>
  <c r="AE216" i="1"/>
  <c r="AG216" i="1" s="1"/>
  <c r="AH216" i="1" s="1"/>
  <c r="AF216" i="1"/>
  <c r="AI216" i="1" s="1"/>
  <c r="AE217" i="1"/>
  <c r="AG217" i="1" s="1"/>
  <c r="AH217" i="1" s="1"/>
  <c r="AF217" i="1"/>
  <c r="AI217" i="1" s="1"/>
  <c r="AE218" i="1"/>
  <c r="AG218" i="1" s="1"/>
  <c r="AH218" i="1" s="1"/>
  <c r="AF218" i="1"/>
  <c r="AI218" i="1" s="1"/>
  <c r="AE219" i="1"/>
  <c r="AG219" i="1" s="1"/>
  <c r="AH219" i="1" s="1"/>
  <c r="AF219" i="1"/>
  <c r="AI219" i="1" s="1"/>
  <c r="AE220" i="1"/>
  <c r="AG220" i="1" s="1"/>
  <c r="AH220" i="1" s="1"/>
  <c r="AF220" i="1"/>
  <c r="AI220" i="1" s="1"/>
  <c r="AE221" i="1"/>
  <c r="AG221" i="1" s="1"/>
  <c r="AH221" i="1" s="1"/>
  <c r="AF221" i="1"/>
  <c r="AI221" i="1" s="1"/>
  <c r="AE222" i="1"/>
  <c r="AG222" i="1" s="1"/>
  <c r="AH222" i="1" s="1"/>
  <c r="AF222" i="1"/>
  <c r="AI222" i="1" s="1"/>
  <c r="AE223" i="1"/>
  <c r="AG223" i="1" s="1"/>
  <c r="AH223" i="1" s="1"/>
  <c r="AF223" i="1"/>
  <c r="AI223" i="1" s="1"/>
  <c r="AE224" i="1"/>
  <c r="AG224" i="1" s="1"/>
  <c r="AH224" i="1" s="1"/>
  <c r="AF224" i="1"/>
  <c r="AI224" i="1" s="1"/>
  <c r="AE225" i="1"/>
  <c r="AG225" i="1" s="1"/>
  <c r="AH225" i="1" s="1"/>
  <c r="AF225" i="1"/>
  <c r="AI225" i="1" s="1"/>
  <c r="AE226" i="1"/>
  <c r="AG226" i="1" s="1"/>
  <c r="AH226" i="1" s="1"/>
  <c r="AF226" i="1"/>
  <c r="AI226" i="1" s="1"/>
  <c r="AE227" i="1"/>
  <c r="AG227" i="1" s="1"/>
  <c r="AH227" i="1" s="1"/>
  <c r="AF227" i="1"/>
  <c r="AI227" i="1" s="1"/>
  <c r="AE228" i="1"/>
  <c r="AG228" i="1" s="1"/>
  <c r="AH228" i="1" s="1"/>
  <c r="AF228" i="1"/>
  <c r="AI228" i="1" s="1"/>
  <c r="AE229" i="1"/>
  <c r="AG229" i="1" s="1"/>
  <c r="AH229" i="1" s="1"/>
  <c r="AF229" i="1"/>
  <c r="AI229" i="1" s="1"/>
  <c r="AE230" i="1"/>
  <c r="AG230" i="1" s="1"/>
  <c r="AH230" i="1" s="1"/>
  <c r="AF230" i="1"/>
  <c r="AI230" i="1" s="1"/>
  <c r="AE231" i="1"/>
  <c r="AG231" i="1" s="1"/>
  <c r="AH231" i="1" s="1"/>
  <c r="AF231" i="1"/>
  <c r="AI231" i="1" s="1"/>
  <c r="AE232" i="1"/>
  <c r="AG232" i="1" s="1"/>
  <c r="AH232" i="1" s="1"/>
  <c r="AF232" i="1"/>
  <c r="AI232" i="1" s="1"/>
  <c r="AE233" i="1"/>
  <c r="AG233" i="1" s="1"/>
  <c r="AH233" i="1" s="1"/>
  <c r="AF233" i="1"/>
  <c r="AI233" i="1" s="1"/>
  <c r="AE234" i="1"/>
  <c r="AG234" i="1" s="1"/>
  <c r="AH234" i="1" s="1"/>
  <c r="AF234" i="1"/>
  <c r="AI234" i="1" s="1"/>
  <c r="AE235" i="1"/>
  <c r="AG235" i="1" s="1"/>
  <c r="AH235" i="1" s="1"/>
  <c r="AF235" i="1"/>
  <c r="AI235" i="1" s="1"/>
  <c r="AE236" i="1"/>
  <c r="AG236" i="1" s="1"/>
  <c r="AH236" i="1" s="1"/>
  <c r="AF236" i="1"/>
  <c r="AI236" i="1" s="1"/>
  <c r="AE237" i="1"/>
  <c r="AG237" i="1" s="1"/>
  <c r="AH237" i="1" s="1"/>
  <c r="AF237" i="1"/>
  <c r="AI237" i="1" s="1"/>
  <c r="AE238" i="1"/>
  <c r="AG238" i="1" s="1"/>
  <c r="AH238" i="1" s="1"/>
  <c r="AF238" i="1"/>
  <c r="AI238" i="1" s="1"/>
  <c r="AE239" i="1"/>
  <c r="AG239" i="1" s="1"/>
  <c r="AH239" i="1" s="1"/>
  <c r="AF239" i="1"/>
  <c r="AI239" i="1" s="1"/>
  <c r="AE240" i="1"/>
  <c r="AG240" i="1" s="1"/>
  <c r="AH240" i="1" s="1"/>
  <c r="AF240" i="1"/>
  <c r="AI240" i="1" s="1"/>
  <c r="AE241" i="1"/>
  <c r="AG241" i="1" s="1"/>
  <c r="AH241" i="1" s="1"/>
  <c r="AF241" i="1"/>
  <c r="AI241" i="1" s="1"/>
  <c r="AE242" i="1"/>
  <c r="AG242" i="1" s="1"/>
  <c r="AH242" i="1" s="1"/>
  <c r="AF242" i="1"/>
  <c r="AI242" i="1" s="1"/>
  <c r="AE243" i="1"/>
  <c r="AG243" i="1" s="1"/>
  <c r="AH243" i="1" s="1"/>
  <c r="AF243" i="1"/>
  <c r="AI243" i="1" s="1"/>
  <c r="AE244" i="1"/>
  <c r="AG244" i="1" s="1"/>
  <c r="AH244" i="1" s="1"/>
  <c r="AF244" i="1"/>
  <c r="AI244" i="1" s="1"/>
  <c r="AE245" i="1"/>
  <c r="AG245" i="1" s="1"/>
  <c r="AH245" i="1" s="1"/>
  <c r="AF245" i="1"/>
  <c r="AI245" i="1" s="1"/>
  <c r="AE246" i="1"/>
  <c r="AG246" i="1" s="1"/>
  <c r="AH246" i="1" s="1"/>
  <c r="AF246" i="1"/>
  <c r="AI246" i="1" s="1"/>
  <c r="AE247" i="1"/>
  <c r="AG247" i="1" s="1"/>
  <c r="AH247" i="1" s="1"/>
  <c r="AF247" i="1"/>
  <c r="AI247" i="1" s="1"/>
  <c r="AE248" i="1"/>
  <c r="AG248" i="1" s="1"/>
  <c r="AH248" i="1" s="1"/>
  <c r="AF248" i="1"/>
  <c r="AI248" i="1" s="1"/>
  <c r="AE249" i="1"/>
  <c r="AG249" i="1" s="1"/>
  <c r="AH249" i="1" s="1"/>
  <c r="AF249" i="1"/>
  <c r="AI249" i="1" s="1"/>
  <c r="AE250" i="1"/>
  <c r="AG250" i="1" s="1"/>
  <c r="AH250" i="1" s="1"/>
  <c r="AF250" i="1"/>
  <c r="AI250" i="1" s="1"/>
  <c r="AE251" i="1"/>
  <c r="AG251" i="1" s="1"/>
  <c r="AH251" i="1" s="1"/>
  <c r="AF251" i="1"/>
  <c r="AI251" i="1" s="1"/>
  <c r="AE252" i="1"/>
  <c r="AG252" i="1" s="1"/>
  <c r="AH252" i="1" s="1"/>
  <c r="AF252" i="1"/>
  <c r="AI252" i="1" s="1"/>
  <c r="AE253" i="1"/>
  <c r="AG253" i="1" s="1"/>
  <c r="AH253" i="1" s="1"/>
  <c r="AF253" i="1"/>
  <c r="AI253" i="1" s="1"/>
  <c r="AE254" i="1"/>
  <c r="AG254" i="1" s="1"/>
  <c r="AH254" i="1" s="1"/>
  <c r="AF254" i="1"/>
  <c r="AI254" i="1" s="1"/>
  <c r="AE255" i="1"/>
  <c r="AG255" i="1" s="1"/>
  <c r="AH255" i="1" s="1"/>
  <c r="AF255" i="1"/>
  <c r="AI255" i="1" s="1"/>
  <c r="AE256" i="1"/>
  <c r="AG256" i="1" s="1"/>
  <c r="AH256" i="1" s="1"/>
  <c r="AF256" i="1"/>
  <c r="AI256" i="1" s="1"/>
  <c r="AE257" i="1"/>
  <c r="AG257" i="1" s="1"/>
  <c r="AH257" i="1" s="1"/>
  <c r="AF257" i="1"/>
  <c r="AI257" i="1" s="1"/>
  <c r="AE258" i="1"/>
  <c r="AG258" i="1" s="1"/>
  <c r="AH258" i="1" s="1"/>
  <c r="AF258" i="1"/>
  <c r="AI258" i="1" s="1"/>
  <c r="AE259" i="1"/>
  <c r="AG259" i="1" s="1"/>
  <c r="AH259" i="1" s="1"/>
  <c r="AF259" i="1"/>
  <c r="AI259" i="1" s="1"/>
  <c r="AE260" i="1"/>
  <c r="AG260" i="1" s="1"/>
  <c r="AH260" i="1" s="1"/>
  <c r="AF260" i="1"/>
  <c r="AI260" i="1" s="1"/>
  <c r="AE261" i="1"/>
  <c r="AG261" i="1" s="1"/>
  <c r="AH261" i="1" s="1"/>
  <c r="AF261" i="1"/>
  <c r="AI261" i="1" s="1"/>
  <c r="AE262" i="1"/>
  <c r="AG262" i="1" s="1"/>
  <c r="AH262" i="1" s="1"/>
  <c r="AF262" i="1"/>
  <c r="AI262" i="1" s="1"/>
  <c r="AE263" i="1"/>
  <c r="AG263" i="1" s="1"/>
  <c r="AH263" i="1" s="1"/>
  <c r="AF263" i="1"/>
  <c r="AI263" i="1" s="1"/>
  <c r="AE264" i="1"/>
  <c r="AG264" i="1" s="1"/>
  <c r="AH264" i="1" s="1"/>
  <c r="AF264" i="1"/>
  <c r="AI264" i="1" s="1"/>
  <c r="AE265" i="1"/>
  <c r="AG265" i="1" s="1"/>
  <c r="AH265" i="1" s="1"/>
  <c r="AF265" i="1"/>
  <c r="AI265" i="1" s="1"/>
  <c r="AE266" i="1"/>
  <c r="AG266" i="1" s="1"/>
  <c r="AH266" i="1" s="1"/>
  <c r="AF266" i="1"/>
  <c r="AI266" i="1" s="1"/>
  <c r="AE267" i="1"/>
  <c r="AG267" i="1" s="1"/>
  <c r="AH267" i="1" s="1"/>
  <c r="AF267" i="1"/>
  <c r="AI267" i="1" s="1"/>
  <c r="AE268" i="1"/>
  <c r="AG268" i="1" s="1"/>
  <c r="AH268" i="1" s="1"/>
  <c r="AF268" i="1"/>
  <c r="AI268" i="1" s="1"/>
  <c r="AE269" i="1"/>
  <c r="AG269" i="1" s="1"/>
  <c r="AH269" i="1" s="1"/>
  <c r="AF269" i="1"/>
  <c r="AI269" i="1" s="1"/>
  <c r="AE270" i="1"/>
  <c r="AG270" i="1" s="1"/>
  <c r="AH270" i="1" s="1"/>
  <c r="AF270" i="1"/>
  <c r="AI270" i="1" s="1"/>
  <c r="AE271" i="1"/>
  <c r="AG271" i="1" s="1"/>
  <c r="AH271" i="1" s="1"/>
  <c r="AF271" i="1"/>
  <c r="AI271" i="1" s="1"/>
  <c r="AE272" i="1"/>
  <c r="AG272" i="1" s="1"/>
  <c r="AH272" i="1" s="1"/>
  <c r="AF272" i="1"/>
  <c r="AI272" i="1" s="1"/>
  <c r="AE273" i="1"/>
  <c r="AG273" i="1" s="1"/>
  <c r="AH273" i="1" s="1"/>
  <c r="AF273" i="1"/>
  <c r="AI273" i="1" s="1"/>
  <c r="AE274" i="1"/>
  <c r="AG274" i="1" s="1"/>
  <c r="AH274" i="1" s="1"/>
  <c r="AF274" i="1"/>
  <c r="AI274" i="1" s="1"/>
  <c r="AE275" i="1"/>
  <c r="AG275" i="1" s="1"/>
  <c r="AH275" i="1" s="1"/>
  <c r="AF275" i="1"/>
  <c r="AI275" i="1" s="1"/>
  <c r="AE276" i="1"/>
  <c r="AG276" i="1" s="1"/>
  <c r="AH276" i="1" s="1"/>
  <c r="AF276" i="1"/>
  <c r="AI276" i="1" s="1"/>
  <c r="AE277" i="1"/>
  <c r="AG277" i="1" s="1"/>
  <c r="AH277" i="1" s="1"/>
  <c r="AF277" i="1"/>
  <c r="AI277" i="1" s="1"/>
  <c r="AE278" i="1"/>
  <c r="AG278" i="1" s="1"/>
  <c r="AH278" i="1" s="1"/>
  <c r="AF278" i="1"/>
  <c r="AI278" i="1" s="1"/>
  <c r="AE279" i="1"/>
  <c r="AG279" i="1" s="1"/>
  <c r="AH279" i="1" s="1"/>
  <c r="AF279" i="1"/>
  <c r="AI279" i="1" s="1"/>
  <c r="AE280" i="1"/>
  <c r="AG280" i="1" s="1"/>
  <c r="AH280" i="1" s="1"/>
  <c r="AF280" i="1"/>
  <c r="AI280" i="1" s="1"/>
  <c r="AE281" i="1"/>
  <c r="AG281" i="1" s="1"/>
  <c r="AH281" i="1" s="1"/>
  <c r="AF281" i="1"/>
  <c r="AI281" i="1" s="1"/>
  <c r="AE282" i="1"/>
  <c r="AG282" i="1" s="1"/>
  <c r="AH282" i="1" s="1"/>
  <c r="AF282" i="1"/>
  <c r="AI282" i="1" s="1"/>
  <c r="AE283" i="1"/>
  <c r="AG283" i="1" s="1"/>
  <c r="AH283" i="1" s="1"/>
  <c r="AF283" i="1"/>
  <c r="AI283" i="1" s="1"/>
  <c r="AE284" i="1"/>
  <c r="AG284" i="1" s="1"/>
  <c r="AH284" i="1" s="1"/>
  <c r="AF284" i="1"/>
  <c r="AI284" i="1" s="1"/>
  <c r="AE285" i="1"/>
  <c r="AG285" i="1" s="1"/>
  <c r="AH285" i="1" s="1"/>
  <c r="AF285" i="1"/>
  <c r="AI285" i="1" s="1"/>
  <c r="AE286" i="1"/>
  <c r="AG286" i="1" s="1"/>
  <c r="AH286" i="1" s="1"/>
  <c r="AF286" i="1"/>
  <c r="AI286" i="1" s="1"/>
  <c r="AE287" i="1"/>
  <c r="AG287" i="1" s="1"/>
  <c r="AH287" i="1" s="1"/>
  <c r="AF287" i="1"/>
  <c r="AI287" i="1" s="1"/>
  <c r="AE288" i="1"/>
  <c r="AG288" i="1" s="1"/>
  <c r="AH288" i="1" s="1"/>
  <c r="AF288" i="1"/>
  <c r="AI288" i="1" s="1"/>
  <c r="AE289" i="1"/>
  <c r="AG289" i="1" s="1"/>
  <c r="AH289" i="1" s="1"/>
  <c r="AF289" i="1"/>
  <c r="AI289" i="1" s="1"/>
  <c r="AE290" i="1"/>
  <c r="AG290" i="1" s="1"/>
  <c r="AH290" i="1" s="1"/>
  <c r="AF290" i="1"/>
  <c r="AI290" i="1" s="1"/>
  <c r="AE291" i="1"/>
  <c r="AG291" i="1" s="1"/>
  <c r="AH291" i="1" s="1"/>
  <c r="AF291" i="1"/>
  <c r="AI291" i="1" s="1"/>
  <c r="AE292" i="1"/>
  <c r="AG292" i="1" s="1"/>
  <c r="AH292" i="1" s="1"/>
  <c r="AF292" i="1"/>
  <c r="AI292" i="1" s="1"/>
  <c r="AE293" i="1"/>
  <c r="AG293" i="1" s="1"/>
  <c r="AH293" i="1" s="1"/>
  <c r="AF293" i="1"/>
  <c r="AI293" i="1" s="1"/>
  <c r="AE294" i="1"/>
  <c r="AG294" i="1" s="1"/>
  <c r="AH294" i="1" s="1"/>
  <c r="AF294" i="1"/>
  <c r="AI294" i="1" s="1"/>
  <c r="AE295" i="1"/>
  <c r="AG295" i="1" s="1"/>
  <c r="AH295" i="1" s="1"/>
  <c r="AF295" i="1"/>
  <c r="AI295" i="1" s="1"/>
  <c r="AE296" i="1"/>
  <c r="AG296" i="1" s="1"/>
  <c r="AH296" i="1" s="1"/>
  <c r="AF296" i="1"/>
  <c r="AI296" i="1" s="1"/>
  <c r="AE297" i="1"/>
  <c r="AG297" i="1" s="1"/>
  <c r="AH297" i="1" s="1"/>
  <c r="AF297" i="1"/>
  <c r="AI297" i="1" s="1"/>
  <c r="AE298" i="1"/>
  <c r="AG298" i="1" s="1"/>
  <c r="AH298" i="1" s="1"/>
  <c r="AF298" i="1"/>
  <c r="AI298" i="1" s="1"/>
  <c r="AE299" i="1"/>
  <c r="AG299" i="1" s="1"/>
  <c r="AH299" i="1" s="1"/>
  <c r="AF299" i="1"/>
  <c r="AI299" i="1" s="1"/>
  <c r="AE300" i="1"/>
  <c r="AG300" i="1" s="1"/>
  <c r="AH300" i="1" s="1"/>
  <c r="AF300" i="1"/>
  <c r="AI300" i="1" s="1"/>
  <c r="AE301" i="1"/>
  <c r="AG301" i="1" s="1"/>
  <c r="AH301" i="1" s="1"/>
  <c r="AF301" i="1"/>
  <c r="AI301" i="1" s="1"/>
  <c r="AE302" i="1"/>
  <c r="AG302" i="1" s="1"/>
  <c r="AH302" i="1" s="1"/>
  <c r="AF302" i="1"/>
  <c r="AI302" i="1" s="1"/>
  <c r="AE303" i="1"/>
  <c r="AG303" i="1" s="1"/>
  <c r="AH303" i="1" s="1"/>
  <c r="AF303" i="1"/>
  <c r="AI303" i="1" s="1"/>
  <c r="AE304" i="1"/>
  <c r="AG304" i="1" s="1"/>
  <c r="AH304" i="1" s="1"/>
  <c r="AF304" i="1"/>
  <c r="AI304" i="1" s="1"/>
  <c r="AE305" i="1"/>
  <c r="AG305" i="1" s="1"/>
  <c r="AH305" i="1" s="1"/>
  <c r="AF305" i="1"/>
  <c r="AI305" i="1" s="1"/>
  <c r="AE306" i="1"/>
  <c r="AG306" i="1" s="1"/>
  <c r="AH306" i="1" s="1"/>
  <c r="AF306" i="1"/>
  <c r="AI306" i="1" s="1"/>
  <c r="AE307" i="1"/>
  <c r="AG307" i="1" s="1"/>
  <c r="AH307" i="1" s="1"/>
  <c r="AF307" i="1"/>
  <c r="AI307" i="1" s="1"/>
  <c r="AE308" i="1"/>
  <c r="AG308" i="1" s="1"/>
  <c r="AH308" i="1" s="1"/>
  <c r="AF308" i="1"/>
  <c r="AI308" i="1" s="1"/>
  <c r="AE309" i="1"/>
  <c r="AG309" i="1" s="1"/>
  <c r="AH309" i="1" s="1"/>
  <c r="AF309" i="1"/>
  <c r="AI309" i="1" s="1"/>
  <c r="AE310" i="1"/>
  <c r="AG310" i="1" s="1"/>
  <c r="AH310" i="1" s="1"/>
  <c r="AF310" i="1"/>
  <c r="AI310" i="1" s="1"/>
  <c r="AE311" i="1"/>
  <c r="AG311" i="1" s="1"/>
  <c r="AH311" i="1" s="1"/>
  <c r="AF311" i="1"/>
  <c r="AI311" i="1" s="1"/>
  <c r="AE312" i="1"/>
  <c r="AG312" i="1" s="1"/>
  <c r="AH312" i="1" s="1"/>
  <c r="AF312" i="1"/>
  <c r="AI312" i="1" s="1"/>
  <c r="AE313" i="1"/>
  <c r="AG313" i="1" s="1"/>
  <c r="AH313" i="1" s="1"/>
  <c r="AF313" i="1"/>
  <c r="AI313" i="1" s="1"/>
  <c r="AE314" i="1"/>
  <c r="AG314" i="1" s="1"/>
  <c r="AH314" i="1" s="1"/>
  <c r="AF314" i="1"/>
  <c r="AI314" i="1" s="1"/>
  <c r="AE315" i="1"/>
  <c r="AG315" i="1" s="1"/>
  <c r="AH315" i="1" s="1"/>
  <c r="AF315" i="1"/>
  <c r="AI315" i="1" s="1"/>
  <c r="AE316" i="1"/>
  <c r="AG316" i="1" s="1"/>
  <c r="AH316" i="1" s="1"/>
  <c r="AF316" i="1"/>
  <c r="AI316" i="1" s="1"/>
  <c r="AE317" i="1"/>
  <c r="AG317" i="1" s="1"/>
  <c r="AH317" i="1" s="1"/>
  <c r="AF317" i="1"/>
  <c r="AI317" i="1" s="1"/>
  <c r="AE318" i="1"/>
  <c r="AG318" i="1" s="1"/>
  <c r="AH318" i="1" s="1"/>
  <c r="AF318" i="1"/>
  <c r="AI318" i="1" s="1"/>
  <c r="AE319" i="1"/>
  <c r="AG319" i="1" s="1"/>
  <c r="AH319" i="1" s="1"/>
  <c r="AF319" i="1"/>
  <c r="AI319" i="1" s="1"/>
  <c r="AE320" i="1"/>
  <c r="AG320" i="1" s="1"/>
  <c r="AH320" i="1" s="1"/>
  <c r="AF320" i="1"/>
  <c r="AI320" i="1" s="1"/>
  <c r="AE321" i="1"/>
  <c r="AG321" i="1" s="1"/>
  <c r="AH321" i="1" s="1"/>
  <c r="AF321" i="1"/>
  <c r="AI321" i="1" s="1"/>
  <c r="AE322" i="1"/>
  <c r="AG322" i="1" s="1"/>
  <c r="AH322" i="1" s="1"/>
  <c r="AF322" i="1"/>
  <c r="AI322" i="1" s="1"/>
  <c r="AE323" i="1"/>
  <c r="AG323" i="1" s="1"/>
  <c r="AH323" i="1" s="1"/>
  <c r="AF323" i="1"/>
  <c r="AI323" i="1" s="1"/>
  <c r="AE324" i="1"/>
  <c r="AG324" i="1" s="1"/>
  <c r="AH324" i="1" s="1"/>
  <c r="AF324" i="1"/>
  <c r="AI324" i="1" s="1"/>
  <c r="AE325" i="1"/>
  <c r="AG325" i="1" s="1"/>
  <c r="AH325" i="1" s="1"/>
  <c r="AF325" i="1"/>
  <c r="AI325" i="1" s="1"/>
  <c r="AE326" i="1"/>
  <c r="AG326" i="1" s="1"/>
  <c r="AH326" i="1" s="1"/>
  <c r="AF326" i="1"/>
  <c r="AI326" i="1" s="1"/>
  <c r="AE327" i="1"/>
  <c r="AG327" i="1" s="1"/>
  <c r="AH327" i="1" s="1"/>
  <c r="AF327" i="1"/>
  <c r="AI327" i="1" s="1"/>
  <c r="AE328" i="1"/>
  <c r="AG328" i="1" s="1"/>
  <c r="AH328" i="1" s="1"/>
  <c r="AF328" i="1"/>
  <c r="AI328" i="1" s="1"/>
  <c r="AE329" i="1"/>
  <c r="AG329" i="1" s="1"/>
  <c r="AH329" i="1" s="1"/>
  <c r="AF329" i="1"/>
  <c r="AI329" i="1" s="1"/>
  <c r="AE330" i="1"/>
  <c r="AG330" i="1" s="1"/>
  <c r="AH330" i="1" s="1"/>
  <c r="AF330" i="1"/>
  <c r="AI330" i="1" s="1"/>
  <c r="AE331" i="1"/>
  <c r="AG331" i="1" s="1"/>
  <c r="AH331" i="1" s="1"/>
  <c r="AF331" i="1"/>
  <c r="AI331" i="1" s="1"/>
  <c r="AE332" i="1"/>
  <c r="AG332" i="1" s="1"/>
  <c r="AH332" i="1" s="1"/>
  <c r="AF332" i="1"/>
  <c r="AI332" i="1" s="1"/>
  <c r="AE333" i="1"/>
  <c r="AG333" i="1" s="1"/>
  <c r="AH333" i="1" s="1"/>
  <c r="AF333" i="1"/>
  <c r="AI333" i="1" s="1"/>
  <c r="AE334" i="1"/>
  <c r="AG334" i="1" s="1"/>
  <c r="AH334" i="1" s="1"/>
  <c r="AF334" i="1"/>
  <c r="AI334" i="1" s="1"/>
  <c r="AE335" i="1"/>
  <c r="AG335" i="1" s="1"/>
  <c r="AH335" i="1" s="1"/>
  <c r="AF335" i="1"/>
  <c r="AI335" i="1" s="1"/>
  <c r="AE336" i="1"/>
  <c r="AG336" i="1" s="1"/>
  <c r="AH336" i="1" s="1"/>
  <c r="AF336" i="1"/>
  <c r="AI336" i="1" s="1"/>
  <c r="AE337" i="1"/>
  <c r="AG337" i="1" s="1"/>
  <c r="AH337" i="1" s="1"/>
  <c r="AF337" i="1"/>
  <c r="AI337" i="1" s="1"/>
  <c r="AE338" i="1"/>
  <c r="AG338" i="1" s="1"/>
  <c r="AH338" i="1" s="1"/>
  <c r="AF338" i="1"/>
  <c r="AI338" i="1" s="1"/>
  <c r="AE339" i="1"/>
  <c r="AG339" i="1" s="1"/>
  <c r="AH339" i="1" s="1"/>
  <c r="AF339" i="1"/>
  <c r="AI339" i="1" s="1"/>
  <c r="AE340" i="1"/>
  <c r="AG340" i="1" s="1"/>
  <c r="AH340" i="1" s="1"/>
  <c r="AF340" i="1"/>
  <c r="AI340" i="1" s="1"/>
  <c r="AE341" i="1"/>
  <c r="AG341" i="1" s="1"/>
  <c r="AH341" i="1" s="1"/>
  <c r="AF341" i="1"/>
  <c r="AI341" i="1" s="1"/>
  <c r="AE342" i="1"/>
  <c r="AG342" i="1" s="1"/>
  <c r="AH342" i="1" s="1"/>
  <c r="AF342" i="1"/>
  <c r="AI342" i="1" s="1"/>
  <c r="AE343" i="1"/>
  <c r="AG343" i="1" s="1"/>
  <c r="AH343" i="1" s="1"/>
  <c r="AF343" i="1"/>
  <c r="AI343" i="1" s="1"/>
  <c r="AE344" i="1"/>
  <c r="AG344" i="1" s="1"/>
  <c r="AH344" i="1" s="1"/>
  <c r="AF344" i="1"/>
  <c r="AI344" i="1" s="1"/>
  <c r="AE345" i="1"/>
  <c r="AG345" i="1" s="1"/>
  <c r="AH345" i="1" s="1"/>
  <c r="AF345" i="1"/>
  <c r="AI345" i="1" s="1"/>
  <c r="AE346" i="1"/>
  <c r="AG346" i="1" s="1"/>
  <c r="AH346" i="1" s="1"/>
  <c r="AF346" i="1"/>
  <c r="AI346" i="1" s="1"/>
  <c r="AE347" i="1"/>
  <c r="AG347" i="1" s="1"/>
  <c r="AH347" i="1" s="1"/>
  <c r="AF347" i="1"/>
  <c r="AI347" i="1" s="1"/>
  <c r="AE348" i="1"/>
  <c r="AG348" i="1" s="1"/>
  <c r="AH348" i="1" s="1"/>
  <c r="AF348" i="1"/>
  <c r="AI348" i="1" s="1"/>
  <c r="AE349" i="1"/>
  <c r="AG349" i="1" s="1"/>
  <c r="AH349" i="1" s="1"/>
  <c r="AF349" i="1"/>
  <c r="AI349" i="1" s="1"/>
  <c r="AE350" i="1"/>
  <c r="AG350" i="1" s="1"/>
  <c r="AH350" i="1" s="1"/>
  <c r="AF350" i="1"/>
  <c r="AI350" i="1" s="1"/>
  <c r="AE351" i="1"/>
  <c r="AG351" i="1" s="1"/>
  <c r="AH351" i="1" s="1"/>
  <c r="AF351" i="1"/>
  <c r="AI351" i="1" s="1"/>
  <c r="AE352" i="1"/>
  <c r="AG352" i="1" s="1"/>
  <c r="AH352" i="1" s="1"/>
  <c r="AF352" i="1"/>
  <c r="AI352" i="1" s="1"/>
  <c r="AE353" i="1"/>
  <c r="AG353" i="1" s="1"/>
  <c r="AH353" i="1" s="1"/>
  <c r="AF353" i="1"/>
  <c r="AI353" i="1" s="1"/>
  <c r="AE354" i="1"/>
  <c r="AG354" i="1" s="1"/>
  <c r="AH354" i="1" s="1"/>
  <c r="AF354" i="1"/>
  <c r="AI354" i="1" s="1"/>
  <c r="AE355" i="1"/>
  <c r="AG355" i="1" s="1"/>
  <c r="AH355" i="1" s="1"/>
  <c r="AF355" i="1"/>
  <c r="AI355" i="1" s="1"/>
  <c r="AE356" i="1"/>
  <c r="AG356" i="1" s="1"/>
  <c r="AH356" i="1" s="1"/>
  <c r="AF356" i="1"/>
  <c r="AI356" i="1" s="1"/>
  <c r="AE357" i="1"/>
  <c r="AG357" i="1" s="1"/>
  <c r="AH357" i="1" s="1"/>
  <c r="AF357" i="1"/>
  <c r="AI357" i="1" s="1"/>
  <c r="AE358" i="1"/>
  <c r="AG358" i="1" s="1"/>
  <c r="AH358" i="1" s="1"/>
  <c r="AF358" i="1"/>
  <c r="AI358" i="1" s="1"/>
  <c r="AE359" i="1"/>
  <c r="AG359" i="1" s="1"/>
  <c r="AH359" i="1" s="1"/>
  <c r="AF359" i="1"/>
  <c r="AI359" i="1" s="1"/>
  <c r="AE360" i="1"/>
  <c r="AG360" i="1" s="1"/>
  <c r="AH360" i="1" s="1"/>
  <c r="AF360" i="1"/>
  <c r="AI360" i="1" s="1"/>
  <c r="AE361" i="1"/>
  <c r="AG361" i="1" s="1"/>
  <c r="AH361" i="1" s="1"/>
  <c r="AF361" i="1"/>
  <c r="AI361" i="1" s="1"/>
  <c r="AE362" i="1"/>
  <c r="AG362" i="1" s="1"/>
  <c r="AH362" i="1" s="1"/>
  <c r="AF362" i="1"/>
  <c r="AI362" i="1" s="1"/>
  <c r="AE363" i="1"/>
  <c r="AG363" i="1" s="1"/>
  <c r="AH363" i="1" s="1"/>
  <c r="AF363" i="1"/>
  <c r="AI363" i="1" s="1"/>
  <c r="AE364" i="1"/>
  <c r="AG364" i="1" s="1"/>
  <c r="AH364" i="1" s="1"/>
  <c r="AF364" i="1"/>
  <c r="AI364" i="1" s="1"/>
  <c r="AE365" i="1"/>
  <c r="AG365" i="1" s="1"/>
  <c r="AH365" i="1" s="1"/>
  <c r="AF365" i="1"/>
  <c r="AI365" i="1" s="1"/>
  <c r="AE366" i="1"/>
  <c r="AG366" i="1" s="1"/>
  <c r="AH366" i="1" s="1"/>
  <c r="AF366" i="1"/>
  <c r="AI366" i="1" s="1"/>
  <c r="AE367" i="1"/>
  <c r="AG367" i="1" s="1"/>
  <c r="AH367" i="1" s="1"/>
  <c r="AF367" i="1"/>
  <c r="AI367" i="1" s="1"/>
  <c r="AE368" i="1"/>
  <c r="AG368" i="1" s="1"/>
  <c r="AH368" i="1" s="1"/>
  <c r="AF368" i="1"/>
  <c r="AI368" i="1" s="1"/>
  <c r="AE369" i="1"/>
  <c r="AG369" i="1" s="1"/>
  <c r="AH369" i="1" s="1"/>
  <c r="AF369" i="1"/>
  <c r="AI369" i="1" s="1"/>
  <c r="AE370" i="1"/>
  <c r="AG370" i="1" s="1"/>
  <c r="AH370" i="1" s="1"/>
  <c r="AF370" i="1"/>
  <c r="AI370" i="1" s="1"/>
  <c r="AE371" i="1"/>
  <c r="AG371" i="1" s="1"/>
  <c r="AH371" i="1" s="1"/>
  <c r="AF371" i="1"/>
  <c r="AI371" i="1" s="1"/>
  <c r="AE372" i="1"/>
  <c r="AG372" i="1" s="1"/>
  <c r="AH372" i="1" s="1"/>
  <c r="AF372" i="1"/>
  <c r="AI372" i="1" s="1"/>
  <c r="AE373" i="1"/>
  <c r="AG373" i="1" s="1"/>
  <c r="AH373" i="1" s="1"/>
  <c r="AF373" i="1"/>
  <c r="AI373" i="1" s="1"/>
  <c r="AE374" i="1"/>
  <c r="AG374" i="1" s="1"/>
  <c r="AH374" i="1" s="1"/>
  <c r="AF374" i="1"/>
  <c r="AI374" i="1" s="1"/>
  <c r="AE375" i="1"/>
  <c r="AG375" i="1" s="1"/>
  <c r="AH375" i="1" s="1"/>
  <c r="AF375" i="1"/>
  <c r="AI375" i="1" s="1"/>
  <c r="AE376" i="1"/>
  <c r="AG376" i="1" s="1"/>
  <c r="AH376" i="1" s="1"/>
  <c r="AF376" i="1"/>
  <c r="AI376" i="1" s="1"/>
  <c r="AE377" i="1"/>
  <c r="AG377" i="1" s="1"/>
  <c r="AH377" i="1" s="1"/>
  <c r="AF377" i="1"/>
  <c r="AI377" i="1" s="1"/>
  <c r="AE378" i="1"/>
  <c r="AG378" i="1" s="1"/>
  <c r="AH378" i="1" s="1"/>
  <c r="AF378" i="1"/>
  <c r="AI378" i="1" s="1"/>
  <c r="AE379" i="1"/>
  <c r="AG379" i="1" s="1"/>
  <c r="AH379" i="1" s="1"/>
  <c r="AF379" i="1"/>
  <c r="AI379" i="1" s="1"/>
  <c r="AE380" i="1"/>
  <c r="AG380" i="1" s="1"/>
  <c r="AH380" i="1" s="1"/>
  <c r="AF380" i="1"/>
  <c r="AI380" i="1" s="1"/>
  <c r="AE381" i="1"/>
  <c r="AG381" i="1" s="1"/>
  <c r="AH381" i="1" s="1"/>
  <c r="AF381" i="1"/>
  <c r="AI381" i="1" s="1"/>
  <c r="AE382" i="1"/>
  <c r="AG382" i="1" s="1"/>
  <c r="AH382" i="1" s="1"/>
  <c r="AF382" i="1"/>
  <c r="AI382" i="1" s="1"/>
  <c r="AE383" i="1"/>
  <c r="AG383" i="1" s="1"/>
  <c r="AH383" i="1" s="1"/>
  <c r="AF383" i="1"/>
  <c r="AI383" i="1" s="1"/>
  <c r="AE384" i="1"/>
  <c r="AG384" i="1" s="1"/>
  <c r="AH384" i="1" s="1"/>
  <c r="AF384" i="1"/>
  <c r="AI384" i="1" s="1"/>
  <c r="AE385" i="1"/>
  <c r="AG385" i="1" s="1"/>
  <c r="AH385" i="1" s="1"/>
  <c r="AF385" i="1"/>
  <c r="AI385" i="1" s="1"/>
  <c r="AE386" i="1"/>
  <c r="AG386" i="1" s="1"/>
  <c r="AH386" i="1" s="1"/>
  <c r="AF386" i="1"/>
  <c r="AI386" i="1" s="1"/>
  <c r="AE387" i="1"/>
  <c r="AG387" i="1" s="1"/>
  <c r="AH387" i="1" s="1"/>
  <c r="AF387" i="1"/>
  <c r="AI387" i="1" s="1"/>
  <c r="AE388" i="1"/>
  <c r="AG388" i="1" s="1"/>
  <c r="AH388" i="1" s="1"/>
  <c r="AF388" i="1"/>
  <c r="AI388" i="1" s="1"/>
  <c r="AE389" i="1"/>
  <c r="AG389" i="1" s="1"/>
  <c r="AH389" i="1" s="1"/>
  <c r="AF389" i="1"/>
  <c r="AI389" i="1" s="1"/>
  <c r="AE390" i="1"/>
  <c r="AG390" i="1" s="1"/>
  <c r="AH390" i="1" s="1"/>
  <c r="AF390" i="1"/>
  <c r="AI390" i="1" s="1"/>
  <c r="AE391" i="1"/>
  <c r="AG391" i="1" s="1"/>
  <c r="AH391" i="1" s="1"/>
  <c r="AF391" i="1"/>
  <c r="AI391" i="1" s="1"/>
  <c r="AE392" i="1"/>
  <c r="AG392" i="1" s="1"/>
  <c r="AH392" i="1" s="1"/>
  <c r="AF392" i="1"/>
  <c r="AI392" i="1" s="1"/>
  <c r="AE393" i="1"/>
  <c r="AG393" i="1" s="1"/>
  <c r="AH393" i="1" s="1"/>
  <c r="AF393" i="1"/>
  <c r="AI393" i="1" s="1"/>
  <c r="AE394" i="1"/>
  <c r="AG394" i="1" s="1"/>
  <c r="AH394" i="1" s="1"/>
  <c r="AF394" i="1"/>
  <c r="AI394" i="1" s="1"/>
  <c r="AE395" i="1"/>
  <c r="AG395" i="1" s="1"/>
  <c r="AH395" i="1" s="1"/>
  <c r="AF395" i="1"/>
  <c r="AI395" i="1" s="1"/>
  <c r="AE396" i="1"/>
  <c r="AG396" i="1" s="1"/>
  <c r="AH396" i="1" s="1"/>
  <c r="AF396" i="1"/>
  <c r="AI396" i="1" s="1"/>
  <c r="AE397" i="1"/>
  <c r="AG397" i="1" s="1"/>
  <c r="AH397" i="1" s="1"/>
  <c r="AF397" i="1"/>
  <c r="AI397" i="1" s="1"/>
  <c r="AE398" i="1"/>
  <c r="AG398" i="1" s="1"/>
  <c r="AH398" i="1" s="1"/>
  <c r="AF398" i="1"/>
  <c r="AI398" i="1" s="1"/>
  <c r="AE399" i="1"/>
  <c r="AG399" i="1" s="1"/>
  <c r="AH399" i="1" s="1"/>
  <c r="AF399" i="1"/>
  <c r="AI399" i="1" s="1"/>
  <c r="AE400" i="1"/>
  <c r="AG400" i="1" s="1"/>
  <c r="AH400" i="1" s="1"/>
  <c r="AF400" i="1"/>
  <c r="AI400" i="1" s="1"/>
  <c r="AE401" i="1"/>
  <c r="AG401" i="1" s="1"/>
  <c r="AH401" i="1" s="1"/>
  <c r="AF401" i="1"/>
  <c r="AI401" i="1" s="1"/>
  <c r="AE402" i="1"/>
  <c r="AG402" i="1" s="1"/>
  <c r="AH402" i="1" s="1"/>
  <c r="AF402" i="1"/>
  <c r="AI402" i="1" s="1"/>
  <c r="AE403" i="1"/>
  <c r="AG403" i="1" s="1"/>
  <c r="AH403" i="1" s="1"/>
  <c r="AF403" i="1"/>
  <c r="AI403" i="1" s="1"/>
  <c r="AE404" i="1"/>
  <c r="AG404" i="1" s="1"/>
  <c r="AH404" i="1" s="1"/>
  <c r="AF404" i="1"/>
  <c r="AI404" i="1" s="1"/>
  <c r="AE405" i="1"/>
  <c r="AF405" i="1"/>
  <c r="AI405" i="1" s="1"/>
  <c r="AG405" i="1"/>
  <c r="AH405" i="1" s="1"/>
  <c r="AE406" i="1"/>
  <c r="AG406" i="1" s="1"/>
  <c r="AH406" i="1" s="1"/>
  <c r="AF406" i="1"/>
  <c r="AI406" i="1" s="1"/>
  <c r="AE407" i="1"/>
  <c r="AG407" i="1" s="1"/>
  <c r="AH407" i="1" s="1"/>
  <c r="AF407" i="1"/>
  <c r="AI407" i="1" s="1"/>
  <c r="AE408" i="1"/>
  <c r="AF408" i="1"/>
  <c r="AI408" i="1" s="1"/>
  <c r="AG408" i="1"/>
  <c r="AH408" i="1"/>
  <c r="AE409" i="1"/>
  <c r="AF409" i="1"/>
  <c r="AI409" i="1" s="1"/>
  <c r="AG409" i="1"/>
  <c r="AH409" i="1" s="1"/>
  <c r="AE410" i="1"/>
  <c r="AG410" i="1" s="1"/>
  <c r="AH410" i="1" s="1"/>
  <c r="AF410" i="1"/>
  <c r="AI410" i="1" s="1"/>
  <c r="AE411" i="1"/>
  <c r="AG411" i="1" s="1"/>
  <c r="AH411" i="1" s="1"/>
  <c r="AF411" i="1"/>
  <c r="AI411" i="1" s="1"/>
  <c r="AE412" i="1"/>
  <c r="AG412" i="1" s="1"/>
  <c r="AH412" i="1" s="1"/>
  <c r="AF412" i="1"/>
  <c r="AI412" i="1" s="1"/>
  <c r="AE413" i="1"/>
  <c r="AG413" i="1" s="1"/>
  <c r="AH413" i="1" s="1"/>
  <c r="AF413" i="1"/>
  <c r="AI413" i="1" s="1"/>
  <c r="AE414" i="1"/>
  <c r="AG414" i="1" s="1"/>
  <c r="AH414" i="1" s="1"/>
  <c r="AF414" i="1"/>
  <c r="AI414" i="1" s="1"/>
  <c r="AE415" i="1"/>
  <c r="AG415" i="1" s="1"/>
  <c r="AH415" i="1" s="1"/>
  <c r="AF415" i="1"/>
  <c r="AI415" i="1" s="1"/>
  <c r="AE416" i="1"/>
  <c r="AG416" i="1" s="1"/>
  <c r="AH416" i="1" s="1"/>
  <c r="AF416" i="1"/>
  <c r="AI416" i="1" s="1"/>
  <c r="AE417" i="1"/>
  <c r="AG417" i="1" s="1"/>
  <c r="AH417" i="1" s="1"/>
  <c r="AF417" i="1"/>
  <c r="AI417" i="1" s="1"/>
  <c r="AE418" i="1"/>
  <c r="AG418" i="1" s="1"/>
  <c r="AH418" i="1" s="1"/>
  <c r="AF418" i="1"/>
  <c r="AI418" i="1" s="1"/>
  <c r="AE419" i="1"/>
  <c r="AG419" i="1" s="1"/>
  <c r="AH419" i="1" s="1"/>
  <c r="AF419" i="1"/>
  <c r="AI419" i="1" s="1"/>
  <c r="AE420" i="1"/>
  <c r="AG420" i="1" s="1"/>
  <c r="AH420" i="1" s="1"/>
  <c r="AF420" i="1"/>
  <c r="AI420" i="1" s="1"/>
  <c r="AE421" i="1"/>
  <c r="AG421" i="1" s="1"/>
  <c r="AH421" i="1" s="1"/>
  <c r="AF421" i="1"/>
  <c r="AI421" i="1" s="1"/>
  <c r="AE422" i="1"/>
  <c r="AG422" i="1" s="1"/>
  <c r="AH422" i="1" s="1"/>
  <c r="AF422" i="1"/>
  <c r="AI422" i="1" s="1"/>
  <c r="AE423" i="1"/>
  <c r="AG423" i="1" s="1"/>
  <c r="AH423" i="1" s="1"/>
  <c r="AF423" i="1"/>
  <c r="AI423" i="1" s="1"/>
  <c r="AE424" i="1"/>
  <c r="AF424" i="1"/>
  <c r="AI424" i="1" s="1"/>
  <c r="AG424" i="1"/>
  <c r="AH424" i="1" s="1"/>
  <c r="AE425" i="1"/>
  <c r="AF425" i="1"/>
  <c r="AI425" i="1" s="1"/>
  <c r="AG425" i="1"/>
  <c r="AH425" i="1" s="1"/>
  <c r="AE426" i="1"/>
  <c r="AG426" i="1" s="1"/>
  <c r="AH426" i="1" s="1"/>
  <c r="AF426" i="1"/>
  <c r="AI426" i="1" s="1"/>
  <c r="AE427" i="1"/>
  <c r="AG427" i="1" s="1"/>
  <c r="AH427" i="1" s="1"/>
  <c r="AF427" i="1"/>
  <c r="AI427" i="1" s="1"/>
  <c r="AE428" i="1"/>
  <c r="AG428" i="1" s="1"/>
  <c r="AH428" i="1" s="1"/>
  <c r="AF428" i="1"/>
  <c r="AI428" i="1" s="1"/>
  <c r="AE429" i="1"/>
  <c r="AG429" i="1" s="1"/>
  <c r="AH429" i="1" s="1"/>
  <c r="AF429" i="1"/>
  <c r="AI429" i="1" s="1"/>
  <c r="AE430" i="1"/>
  <c r="AG430" i="1" s="1"/>
  <c r="AH430" i="1" s="1"/>
  <c r="AF430" i="1"/>
  <c r="AI430" i="1" s="1"/>
  <c r="AE431" i="1"/>
  <c r="AG431" i="1" s="1"/>
  <c r="AH431" i="1" s="1"/>
  <c r="AF431" i="1"/>
  <c r="AI431" i="1" s="1"/>
  <c r="AE432" i="1"/>
  <c r="AG432" i="1" s="1"/>
  <c r="AH432" i="1" s="1"/>
  <c r="AF432" i="1"/>
  <c r="AI432" i="1" s="1"/>
  <c r="AE433" i="1"/>
  <c r="AG433" i="1" s="1"/>
  <c r="AH433" i="1" s="1"/>
  <c r="AF433" i="1"/>
  <c r="AI433" i="1" s="1"/>
  <c r="AE434" i="1"/>
  <c r="AG434" i="1" s="1"/>
  <c r="AH434" i="1" s="1"/>
  <c r="AF434" i="1"/>
  <c r="AI434" i="1" s="1"/>
  <c r="AE435" i="1"/>
  <c r="AG435" i="1" s="1"/>
  <c r="AH435" i="1" s="1"/>
  <c r="AF435" i="1"/>
  <c r="AI435" i="1" s="1"/>
  <c r="AE436" i="1"/>
  <c r="AF436" i="1"/>
  <c r="AI436" i="1" s="1"/>
  <c r="AG436" i="1"/>
  <c r="AH436" i="1" s="1"/>
  <c r="AE437" i="1"/>
  <c r="AG437" i="1" s="1"/>
  <c r="AH437" i="1" s="1"/>
  <c r="AF437" i="1"/>
  <c r="AI437" i="1" s="1"/>
  <c r="AE438" i="1"/>
  <c r="AG438" i="1" s="1"/>
  <c r="AH438" i="1" s="1"/>
  <c r="AF438" i="1"/>
  <c r="AI438" i="1" s="1"/>
  <c r="AE439" i="1"/>
  <c r="AG439" i="1" s="1"/>
  <c r="AH439" i="1" s="1"/>
  <c r="AF439" i="1"/>
  <c r="AI439" i="1" s="1"/>
  <c r="AE440" i="1"/>
  <c r="AG440" i="1" s="1"/>
  <c r="AH440" i="1" s="1"/>
  <c r="AF440" i="1"/>
  <c r="AI440" i="1" s="1"/>
  <c r="AE441" i="1"/>
  <c r="AG441" i="1" s="1"/>
  <c r="AH441" i="1" s="1"/>
  <c r="AF441" i="1"/>
  <c r="AI441" i="1" s="1"/>
  <c r="AE442" i="1"/>
  <c r="AG442" i="1" s="1"/>
  <c r="AH442" i="1" s="1"/>
  <c r="AF442" i="1"/>
  <c r="AI442" i="1" s="1"/>
  <c r="AE443" i="1"/>
  <c r="AG443" i="1" s="1"/>
  <c r="AH443" i="1" s="1"/>
  <c r="AF443" i="1"/>
  <c r="AI443" i="1" s="1"/>
  <c r="AE444" i="1"/>
  <c r="AG444" i="1" s="1"/>
  <c r="AH444" i="1" s="1"/>
  <c r="AF444" i="1"/>
  <c r="AI444" i="1" s="1"/>
  <c r="AE445" i="1"/>
  <c r="AG445" i="1" s="1"/>
  <c r="AH445" i="1" s="1"/>
  <c r="AF445" i="1"/>
  <c r="AI445" i="1" s="1"/>
  <c r="AE446" i="1"/>
  <c r="AG446" i="1" s="1"/>
  <c r="AH446" i="1" s="1"/>
  <c r="AF446" i="1"/>
  <c r="AI446" i="1" s="1"/>
  <c r="AE447" i="1"/>
  <c r="AG447" i="1" s="1"/>
  <c r="AH447" i="1" s="1"/>
  <c r="AF447" i="1"/>
  <c r="AI447" i="1" s="1"/>
  <c r="AE448" i="1"/>
  <c r="AG448" i="1" s="1"/>
  <c r="AH448" i="1" s="1"/>
  <c r="AF448" i="1"/>
  <c r="AI448" i="1" s="1"/>
  <c r="AE449" i="1"/>
  <c r="AG449" i="1" s="1"/>
  <c r="AH449" i="1" s="1"/>
  <c r="AF449" i="1"/>
  <c r="AI449" i="1" s="1"/>
  <c r="AE450" i="1"/>
  <c r="AG450" i="1" s="1"/>
  <c r="AH450" i="1" s="1"/>
  <c r="AF450" i="1"/>
  <c r="AI450" i="1" s="1"/>
  <c r="AE451" i="1"/>
  <c r="AG451" i="1" s="1"/>
  <c r="AH451" i="1" s="1"/>
  <c r="AF451" i="1"/>
  <c r="AI451" i="1" s="1"/>
  <c r="AE452" i="1"/>
  <c r="AF452" i="1"/>
  <c r="AI452" i="1" s="1"/>
  <c r="AG452" i="1"/>
  <c r="AH452" i="1" s="1"/>
  <c r="AE453" i="1"/>
  <c r="AF453" i="1"/>
  <c r="AI453" i="1" s="1"/>
  <c r="AG453" i="1"/>
  <c r="AH453" i="1" s="1"/>
  <c r="AE454" i="1"/>
  <c r="AG454" i="1" s="1"/>
  <c r="AH454" i="1" s="1"/>
  <c r="AF454" i="1"/>
  <c r="AI454" i="1" s="1"/>
  <c r="AE455" i="1"/>
  <c r="AG455" i="1" s="1"/>
  <c r="AH455" i="1" s="1"/>
  <c r="AF455" i="1"/>
  <c r="AI455" i="1" s="1"/>
  <c r="AE456" i="1"/>
  <c r="AG456" i="1" s="1"/>
  <c r="AH456" i="1" s="1"/>
  <c r="AF456" i="1"/>
  <c r="AI456" i="1" s="1"/>
  <c r="AE457" i="1"/>
  <c r="AG457" i="1" s="1"/>
  <c r="AH457" i="1" s="1"/>
  <c r="AF457" i="1"/>
  <c r="AI457" i="1" s="1"/>
  <c r="AE458" i="1"/>
  <c r="AG458" i="1" s="1"/>
  <c r="AH458" i="1" s="1"/>
  <c r="AF458" i="1"/>
  <c r="AI458" i="1" s="1"/>
  <c r="AE459" i="1"/>
  <c r="AG459" i="1" s="1"/>
  <c r="AH459" i="1" s="1"/>
  <c r="AF459" i="1"/>
  <c r="AI459" i="1" s="1"/>
  <c r="AE460" i="1"/>
  <c r="AG460" i="1" s="1"/>
  <c r="AH460" i="1" s="1"/>
  <c r="AF460" i="1"/>
  <c r="AI460" i="1" s="1"/>
  <c r="AE461" i="1"/>
  <c r="AG461" i="1" s="1"/>
  <c r="AH461" i="1" s="1"/>
  <c r="AF461" i="1"/>
  <c r="AI461" i="1" s="1"/>
  <c r="AE462" i="1"/>
  <c r="AG462" i="1" s="1"/>
  <c r="AH462" i="1" s="1"/>
  <c r="AF462" i="1"/>
  <c r="AI462" i="1" s="1"/>
  <c r="AE463" i="1"/>
  <c r="AG463" i="1" s="1"/>
  <c r="AH463" i="1" s="1"/>
  <c r="AF463" i="1"/>
  <c r="AI463" i="1" s="1"/>
  <c r="AE464" i="1"/>
  <c r="AG464" i="1" s="1"/>
  <c r="AH464" i="1" s="1"/>
  <c r="AF464" i="1"/>
  <c r="AI464" i="1" s="1"/>
  <c r="AE465" i="1"/>
  <c r="AG465" i="1" s="1"/>
  <c r="AH465" i="1" s="1"/>
  <c r="AF465" i="1"/>
  <c r="AI465" i="1" s="1"/>
  <c r="AE466" i="1"/>
  <c r="AG466" i="1" s="1"/>
  <c r="AH466" i="1" s="1"/>
  <c r="AF466" i="1"/>
  <c r="AI466" i="1" s="1"/>
  <c r="AE467" i="1"/>
  <c r="AG467" i="1" s="1"/>
  <c r="AH467" i="1" s="1"/>
  <c r="AF467" i="1"/>
  <c r="AI467" i="1" s="1"/>
  <c r="AE468" i="1"/>
  <c r="AG468" i="1" s="1"/>
  <c r="AH468" i="1" s="1"/>
  <c r="AF468" i="1"/>
  <c r="AI468" i="1" s="1"/>
  <c r="AE469" i="1"/>
  <c r="AF469" i="1"/>
  <c r="AI469" i="1" s="1"/>
  <c r="AG469" i="1"/>
  <c r="AH469" i="1" s="1"/>
  <c r="AE470" i="1"/>
  <c r="AG470" i="1" s="1"/>
  <c r="AH470" i="1" s="1"/>
  <c r="AF470" i="1"/>
  <c r="AI470" i="1" s="1"/>
  <c r="AE471" i="1"/>
  <c r="AG471" i="1" s="1"/>
  <c r="AH471" i="1" s="1"/>
  <c r="AF471" i="1"/>
  <c r="AI471" i="1" s="1"/>
  <c r="AE472" i="1"/>
  <c r="AF472" i="1"/>
  <c r="AI472" i="1" s="1"/>
  <c r="AG472" i="1"/>
  <c r="AH472" i="1" s="1"/>
  <c r="AE473" i="1"/>
  <c r="AG473" i="1" s="1"/>
  <c r="AH473" i="1" s="1"/>
  <c r="AF473" i="1"/>
  <c r="AI473" i="1" s="1"/>
  <c r="AE474" i="1"/>
  <c r="AG474" i="1" s="1"/>
  <c r="AH474" i="1" s="1"/>
  <c r="AF474" i="1"/>
  <c r="AI474" i="1" s="1"/>
  <c r="AE475" i="1"/>
  <c r="AG475" i="1" s="1"/>
  <c r="AH475" i="1" s="1"/>
  <c r="AF475" i="1"/>
  <c r="AI475" i="1" s="1"/>
  <c r="AE476" i="1"/>
  <c r="AG476" i="1" s="1"/>
  <c r="AH476" i="1" s="1"/>
  <c r="AF476" i="1"/>
  <c r="AI476" i="1" s="1"/>
  <c r="AE477" i="1"/>
  <c r="AG477" i="1" s="1"/>
  <c r="AH477" i="1" s="1"/>
  <c r="AF477" i="1"/>
  <c r="AI477" i="1" s="1"/>
  <c r="AE478" i="1"/>
  <c r="AG478" i="1" s="1"/>
  <c r="AH478" i="1" s="1"/>
  <c r="AF478" i="1"/>
  <c r="AI478" i="1" s="1"/>
  <c r="AE479" i="1"/>
  <c r="AG479" i="1" s="1"/>
  <c r="AH479" i="1" s="1"/>
  <c r="AF479" i="1"/>
  <c r="AI479" i="1" s="1"/>
  <c r="AE480" i="1"/>
  <c r="AG480" i="1" s="1"/>
  <c r="AH480" i="1" s="1"/>
  <c r="AF480" i="1"/>
  <c r="AI480" i="1" s="1"/>
  <c r="AE481" i="1"/>
  <c r="AG481" i="1" s="1"/>
  <c r="AH481" i="1" s="1"/>
  <c r="AF481" i="1"/>
  <c r="AI481" i="1" s="1"/>
  <c r="AE482" i="1"/>
  <c r="AG482" i="1" s="1"/>
  <c r="AH482" i="1" s="1"/>
  <c r="AF482" i="1"/>
  <c r="AI482" i="1" s="1"/>
  <c r="AE483" i="1"/>
  <c r="AG483" i="1" s="1"/>
  <c r="AH483" i="1" s="1"/>
  <c r="AF483" i="1"/>
  <c r="AI483" i="1" s="1"/>
  <c r="AE484" i="1"/>
  <c r="AG484" i="1" s="1"/>
  <c r="AH484" i="1" s="1"/>
  <c r="AF484" i="1"/>
  <c r="AI484" i="1" s="1"/>
  <c r="AE485" i="1"/>
  <c r="AG485" i="1" s="1"/>
  <c r="AH485" i="1" s="1"/>
  <c r="AF485" i="1"/>
  <c r="AI485" i="1" s="1"/>
  <c r="AE486" i="1"/>
  <c r="AG486" i="1" s="1"/>
  <c r="AH486" i="1" s="1"/>
  <c r="AF486" i="1"/>
  <c r="AI486" i="1" s="1"/>
  <c r="AE487" i="1"/>
  <c r="AG487" i="1" s="1"/>
  <c r="AH487" i="1" s="1"/>
  <c r="AF487" i="1"/>
  <c r="AI487" i="1" s="1"/>
  <c r="AE488" i="1"/>
  <c r="AF488" i="1"/>
  <c r="AI488" i="1" s="1"/>
  <c r="AG488" i="1"/>
  <c r="AH488" i="1" s="1"/>
  <c r="AE489" i="1"/>
  <c r="AG489" i="1" s="1"/>
  <c r="AH489" i="1" s="1"/>
  <c r="AF489" i="1"/>
  <c r="AI489" i="1" s="1"/>
  <c r="AE490" i="1"/>
  <c r="AG490" i="1" s="1"/>
  <c r="AH490" i="1" s="1"/>
  <c r="AF490" i="1"/>
  <c r="AI490" i="1" s="1"/>
  <c r="AE491" i="1"/>
  <c r="AG491" i="1" s="1"/>
  <c r="AH491" i="1" s="1"/>
  <c r="AF491" i="1"/>
  <c r="AI491" i="1" s="1"/>
  <c r="AE492" i="1"/>
  <c r="AG492" i="1" s="1"/>
  <c r="AH492" i="1" s="1"/>
  <c r="AF492" i="1"/>
  <c r="AI492" i="1" s="1"/>
  <c r="AE493" i="1"/>
  <c r="AG493" i="1" s="1"/>
  <c r="AH493" i="1" s="1"/>
  <c r="AF493" i="1"/>
  <c r="AI493" i="1" s="1"/>
  <c r="AE494" i="1"/>
  <c r="AG494" i="1" s="1"/>
  <c r="AH494" i="1" s="1"/>
  <c r="AF494" i="1"/>
  <c r="AI494" i="1" s="1"/>
  <c r="AE495" i="1"/>
  <c r="AG495" i="1" s="1"/>
  <c r="AH495" i="1" s="1"/>
  <c r="AF495" i="1"/>
  <c r="AI495" i="1" s="1"/>
  <c r="AE496" i="1"/>
  <c r="AG496" i="1" s="1"/>
  <c r="AH496" i="1" s="1"/>
  <c r="AF496" i="1"/>
  <c r="AI496" i="1" s="1"/>
  <c r="W401" i="1" l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AV201" i="1" l="1"/>
  <c r="AY201" i="1"/>
  <c r="AV202" i="1"/>
  <c r="AY202" i="1"/>
  <c r="AV203" i="1"/>
  <c r="AY203" i="1"/>
  <c r="AV204" i="1"/>
  <c r="AY204" i="1"/>
  <c r="AV205" i="1"/>
  <c r="AY205" i="1"/>
  <c r="AV206" i="1"/>
  <c r="AY206" i="1"/>
  <c r="AV207" i="1"/>
  <c r="AY207" i="1"/>
  <c r="AV208" i="1"/>
  <c r="AY208" i="1"/>
  <c r="AV209" i="1"/>
  <c r="AY209" i="1"/>
  <c r="AV210" i="1"/>
  <c r="AY210" i="1"/>
  <c r="AV211" i="1"/>
  <c r="AY211" i="1"/>
  <c r="AV212" i="1"/>
  <c r="AY212" i="1"/>
  <c r="AV213" i="1"/>
  <c r="AY213" i="1"/>
  <c r="AV214" i="1"/>
  <c r="AY214" i="1"/>
  <c r="AV215" i="1"/>
  <c r="AY215" i="1"/>
  <c r="AV216" i="1"/>
  <c r="AY216" i="1"/>
  <c r="AV217" i="1"/>
  <c r="AY217" i="1"/>
  <c r="AV218" i="1"/>
  <c r="AY218" i="1"/>
  <c r="AV219" i="1"/>
  <c r="AY219" i="1"/>
  <c r="AV220" i="1"/>
  <c r="AY220" i="1"/>
  <c r="AV221" i="1"/>
  <c r="AY221" i="1"/>
  <c r="AV222" i="1"/>
  <c r="AY222" i="1"/>
  <c r="AV223" i="1"/>
  <c r="AY223" i="1"/>
  <c r="AV224" i="1"/>
  <c r="AY224" i="1"/>
  <c r="AV225" i="1"/>
  <c r="AY225" i="1"/>
  <c r="AV226" i="1"/>
  <c r="AY226" i="1"/>
  <c r="AV227" i="1"/>
  <c r="AY227" i="1"/>
  <c r="AV228" i="1"/>
  <c r="AY228" i="1"/>
  <c r="AV229" i="1"/>
  <c r="AY229" i="1"/>
  <c r="AV230" i="1"/>
  <c r="AY230" i="1"/>
  <c r="AV231" i="1"/>
  <c r="AY231" i="1"/>
  <c r="AV232" i="1"/>
  <c r="AY232" i="1"/>
  <c r="AV233" i="1"/>
  <c r="AY233" i="1"/>
  <c r="AV234" i="1"/>
  <c r="AY234" i="1"/>
  <c r="AV235" i="1"/>
  <c r="AY235" i="1"/>
  <c r="AV236" i="1"/>
  <c r="AY236" i="1"/>
  <c r="AV237" i="1"/>
  <c r="AY237" i="1"/>
  <c r="AV238" i="1"/>
  <c r="AY238" i="1"/>
  <c r="AV239" i="1"/>
  <c r="AY239" i="1"/>
  <c r="AV240" i="1"/>
  <c r="AY240" i="1"/>
  <c r="AV241" i="1"/>
  <c r="AY241" i="1"/>
  <c r="AV242" i="1"/>
  <c r="AY242" i="1"/>
  <c r="AV243" i="1"/>
  <c r="AY243" i="1"/>
  <c r="AV244" i="1"/>
  <c r="AY244" i="1"/>
  <c r="AV245" i="1"/>
  <c r="AY245" i="1"/>
  <c r="AV246" i="1"/>
  <c r="AY246" i="1"/>
  <c r="AV247" i="1"/>
  <c r="AY247" i="1"/>
  <c r="AV248" i="1"/>
  <c r="AY248" i="1"/>
  <c r="AV249" i="1"/>
  <c r="AY249" i="1"/>
  <c r="AV250" i="1"/>
  <c r="AY250" i="1"/>
  <c r="AV251" i="1"/>
  <c r="AY251" i="1"/>
  <c r="AV252" i="1"/>
  <c r="AY252" i="1"/>
  <c r="AV253" i="1"/>
  <c r="AY253" i="1"/>
  <c r="AV254" i="1"/>
  <c r="AY254" i="1"/>
  <c r="AV255" i="1"/>
  <c r="AY255" i="1"/>
  <c r="AV256" i="1"/>
  <c r="AY256" i="1"/>
  <c r="AV257" i="1"/>
  <c r="AY257" i="1"/>
  <c r="AV258" i="1"/>
  <c r="AY258" i="1"/>
  <c r="AV259" i="1"/>
  <c r="AY259" i="1"/>
  <c r="AV260" i="1"/>
  <c r="AY260" i="1"/>
  <c r="AV261" i="1"/>
  <c r="AY261" i="1"/>
  <c r="AV262" i="1"/>
  <c r="AY262" i="1"/>
  <c r="AV263" i="1"/>
  <c r="AY263" i="1"/>
  <c r="AV264" i="1"/>
  <c r="AY264" i="1"/>
  <c r="AV265" i="1"/>
  <c r="AY265" i="1"/>
  <c r="AV266" i="1"/>
  <c r="AY266" i="1"/>
  <c r="AV267" i="1"/>
  <c r="AY267" i="1"/>
  <c r="AV268" i="1"/>
  <c r="AY268" i="1"/>
  <c r="AV269" i="1"/>
  <c r="AY269" i="1"/>
  <c r="AV270" i="1"/>
  <c r="AY270" i="1"/>
  <c r="AV271" i="1"/>
  <c r="AY271" i="1"/>
  <c r="AV272" i="1"/>
  <c r="AY272" i="1"/>
  <c r="AV273" i="1"/>
  <c r="AY273" i="1"/>
  <c r="AV274" i="1"/>
  <c r="AY274" i="1"/>
  <c r="AV275" i="1"/>
  <c r="AY275" i="1"/>
  <c r="AV276" i="1"/>
  <c r="AY276" i="1"/>
  <c r="AV277" i="1"/>
  <c r="AY277" i="1"/>
  <c r="AV278" i="1"/>
  <c r="AY278" i="1"/>
  <c r="AV279" i="1"/>
  <c r="AY279" i="1"/>
  <c r="AV280" i="1"/>
  <c r="AY280" i="1"/>
  <c r="AV281" i="1"/>
  <c r="AY281" i="1"/>
  <c r="AV282" i="1"/>
  <c r="AY282" i="1"/>
  <c r="AV283" i="1"/>
  <c r="AY283" i="1"/>
  <c r="AV284" i="1"/>
  <c r="AY284" i="1"/>
  <c r="AV285" i="1"/>
  <c r="AY285" i="1"/>
  <c r="AV286" i="1"/>
  <c r="AY286" i="1"/>
  <c r="AV287" i="1"/>
  <c r="AY287" i="1"/>
  <c r="AV288" i="1"/>
  <c r="AY288" i="1"/>
  <c r="AV289" i="1"/>
  <c r="AY289" i="1"/>
  <c r="AV290" i="1"/>
  <c r="AY290" i="1"/>
  <c r="AV291" i="1"/>
  <c r="AY291" i="1"/>
  <c r="AV292" i="1"/>
  <c r="AY292" i="1"/>
  <c r="AV293" i="1"/>
  <c r="AY293" i="1"/>
  <c r="AV294" i="1"/>
  <c r="AY294" i="1"/>
  <c r="AV295" i="1"/>
  <c r="AY295" i="1"/>
  <c r="AV296" i="1"/>
  <c r="AY296" i="1"/>
  <c r="AV297" i="1"/>
  <c r="AY297" i="1"/>
  <c r="AV298" i="1"/>
  <c r="AY298" i="1"/>
  <c r="AV299" i="1"/>
  <c r="AY299" i="1"/>
  <c r="AV300" i="1"/>
  <c r="AY300" i="1"/>
  <c r="AV301" i="1"/>
  <c r="AY301" i="1"/>
  <c r="AV302" i="1"/>
  <c r="AY302" i="1"/>
  <c r="AV303" i="1"/>
  <c r="AY303" i="1"/>
  <c r="AV304" i="1"/>
  <c r="AY304" i="1"/>
  <c r="AV305" i="1"/>
  <c r="AY305" i="1"/>
  <c r="AV306" i="1"/>
  <c r="AY306" i="1"/>
  <c r="AV307" i="1"/>
  <c r="AY307" i="1"/>
  <c r="AV308" i="1"/>
  <c r="AY308" i="1"/>
  <c r="AV309" i="1"/>
  <c r="AY309" i="1"/>
  <c r="AV310" i="1"/>
  <c r="AY310" i="1"/>
  <c r="AV311" i="1"/>
  <c r="AY311" i="1"/>
  <c r="AV312" i="1"/>
  <c r="AY312" i="1"/>
  <c r="AV313" i="1"/>
  <c r="AY313" i="1"/>
  <c r="AV314" i="1"/>
  <c r="AY314" i="1"/>
  <c r="AV315" i="1"/>
  <c r="AY315" i="1"/>
  <c r="AV316" i="1"/>
  <c r="AY316" i="1"/>
  <c r="AV317" i="1"/>
  <c r="AY317" i="1"/>
  <c r="AV318" i="1"/>
  <c r="AY318" i="1"/>
  <c r="AV319" i="1"/>
  <c r="AY319" i="1"/>
  <c r="AV320" i="1"/>
  <c r="AY320" i="1"/>
  <c r="AV321" i="1"/>
  <c r="AY321" i="1"/>
  <c r="AV322" i="1"/>
  <c r="AY322" i="1"/>
  <c r="AV323" i="1"/>
  <c r="AY323" i="1"/>
  <c r="AV324" i="1"/>
  <c r="AY324" i="1"/>
  <c r="AV325" i="1"/>
  <c r="AY325" i="1"/>
  <c r="AV326" i="1"/>
  <c r="AY326" i="1"/>
  <c r="AV327" i="1"/>
  <c r="AY327" i="1"/>
  <c r="AV328" i="1"/>
  <c r="AY328" i="1"/>
  <c r="AV329" i="1"/>
  <c r="AY329" i="1"/>
  <c r="AV330" i="1"/>
  <c r="AY330" i="1"/>
  <c r="AV331" i="1"/>
  <c r="AY331" i="1"/>
  <c r="AV332" i="1"/>
  <c r="AY332" i="1"/>
  <c r="AV333" i="1"/>
  <c r="AY333" i="1"/>
  <c r="AV334" i="1"/>
  <c r="AY334" i="1"/>
  <c r="AV335" i="1"/>
  <c r="AY335" i="1"/>
  <c r="AV336" i="1"/>
  <c r="AY336" i="1"/>
  <c r="AV337" i="1"/>
  <c r="AY337" i="1"/>
  <c r="AV338" i="1"/>
  <c r="AY338" i="1"/>
  <c r="AV339" i="1"/>
  <c r="AY339" i="1"/>
  <c r="AV340" i="1"/>
  <c r="AY340" i="1"/>
  <c r="AV341" i="1"/>
  <c r="AY341" i="1"/>
  <c r="AV342" i="1"/>
  <c r="AY342" i="1"/>
  <c r="AV343" i="1"/>
  <c r="AY343" i="1"/>
  <c r="AV344" i="1"/>
  <c r="AY344" i="1"/>
  <c r="AV345" i="1"/>
  <c r="AY345" i="1"/>
  <c r="AV346" i="1"/>
  <c r="AY346" i="1"/>
  <c r="AV347" i="1"/>
  <c r="AY347" i="1"/>
  <c r="AV348" i="1"/>
  <c r="AY348" i="1"/>
  <c r="AV349" i="1"/>
  <c r="AY349" i="1"/>
  <c r="AV350" i="1"/>
  <c r="AY350" i="1"/>
  <c r="AV351" i="1"/>
  <c r="AY351" i="1"/>
  <c r="AV352" i="1"/>
  <c r="AY352" i="1"/>
  <c r="AV353" i="1"/>
  <c r="AY353" i="1"/>
  <c r="AV354" i="1"/>
  <c r="AY354" i="1"/>
  <c r="AV355" i="1"/>
  <c r="AY355" i="1"/>
  <c r="AV356" i="1"/>
  <c r="AY356" i="1"/>
  <c r="AV357" i="1"/>
  <c r="AY357" i="1"/>
  <c r="AV358" i="1"/>
  <c r="AY358" i="1"/>
  <c r="AV359" i="1"/>
  <c r="AY359" i="1"/>
  <c r="AV360" i="1"/>
  <c r="AY360" i="1"/>
  <c r="AV361" i="1"/>
  <c r="AY361" i="1"/>
  <c r="AV362" i="1"/>
  <c r="AY362" i="1"/>
  <c r="AV363" i="1"/>
  <c r="AY363" i="1"/>
  <c r="AV364" i="1"/>
  <c r="AY364" i="1"/>
  <c r="AV365" i="1"/>
  <c r="AY365" i="1"/>
  <c r="AV366" i="1"/>
  <c r="AY366" i="1"/>
  <c r="AV367" i="1"/>
  <c r="AY367" i="1"/>
  <c r="AV368" i="1"/>
  <c r="AY368" i="1"/>
  <c r="AV369" i="1"/>
  <c r="AY369" i="1"/>
  <c r="AV370" i="1"/>
  <c r="AY370" i="1"/>
  <c r="AV371" i="1"/>
  <c r="AY371" i="1"/>
  <c r="AV372" i="1"/>
  <c r="AY372" i="1"/>
  <c r="AV373" i="1"/>
  <c r="AY373" i="1"/>
  <c r="AV374" i="1"/>
  <c r="AY374" i="1"/>
  <c r="AV375" i="1"/>
  <c r="AY375" i="1"/>
  <c r="AV376" i="1"/>
  <c r="AY376" i="1"/>
  <c r="AV377" i="1"/>
  <c r="AY377" i="1"/>
  <c r="AV378" i="1"/>
  <c r="AY378" i="1"/>
  <c r="AV379" i="1"/>
  <c r="AY379" i="1"/>
  <c r="AV380" i="1"/>
  <c r="AY380" i="1"/>
  <c r="AV381" i="1"/>
  <c r="AY381" i="1"/>
  <c r="AV382" i="1"/>
  <c r="AY382" i="1"/>
  <c r="AV383" i="1"/>
  <c r="AY383" i="1"/>
  <c r="AV384" i="1"/>
  <c r="AY384" i="1"/>
  <c r="AV385" i="1"/>
  <c r="AY385" i="1"/>
  <c r="AV386" i="1"/>
  <c r="AY386" i="1"/>
  <c r="AV387" i="1"/>
  <c r="AY387" i="1"/>
  <c r="AV388" i="1"/>
  <c r="AY388" i="1"/>
  <c r="AV389" i="1"/>
  <c r="AY389" i="1"/>
  <c r="AV390" i="1"/>
  <c r="AY390" i="1"/>
  <c r="AV391" i="1"/>
  <c r="AY391" i="1"/>
  <c r="AV392" i="1"/>
  <c r="AY392" i="1"/>
  <c r="AV393" i="1"/>
  <c r="AY393" i="1"/>
  <c r="AV394" i="1"/>
  <c r="AY394" i="1"/>
  <c r="AV395" i="1"/>
  <c r="AY395" i="1"/>
  <c r="AV396" i="1"/>
  <c r="AY396" i="1"/>
  <c r="AV397" i="1"/>
  <c r="AY397" i="1"/>
  <c r="AV398" i="1"/>
  <c r="AY398" i="1"/>
  <c r="AV399" i="1"/>
  <c r="AY399" i="1"/>
  <c r="AV400" i="1"/>
  <c r="AY400" i="1"/>
  <c r="AV401" i="1"/>
  <c r="AY401" i="1"/>
  <c r="AV402" i="1"/>
  <c r="AY402" i="1"/>
  <c r="AV403" i="1"/>
  <c r="AY403" i="1"/>
  <c r="AV404" i="1"/>
  <c r="AY404" i="1"/>
  <c r="AV405" i="1"/>
  <c r="AY405" i="1"/>
  <c r="AV406" i="1"/>
  <c r="AY406" i="1"/>
  <c r="AV407" i="1"/>
  <c r="AY407" i="1"/>
  <c r="AV408" i="1"/>
  <c r="AY408" i="1"/>
  <c r="AV409" i="1"/>
  <c r="AY409" i="1"/>
  <c r="AV410" i="1"/>
  <c r="AY410" i="1"/>
  <c r="AV411" i="1"/>
  <c r="AY411" i="1"/>
  <c r="AV412" i="1"/>
  <c r="AY412" i="1"/>
  <c r="AV413" i="1"/>
  <c r="AY413" i="1"/>
  <c r="AV414" i="1"/>
  <c r="AY414" i="1"/>
  <c r="AV415" i="1"/>
  <c r="AY415" i="1"/>
  <c r="AV416" i="1"/>
  <c r="AY416" i="1"/>
  <c r="AV417" i="1"/>
  <c r="AY417" i="1"/>
  <c r="AV418" i="1"/>
  <c r="AY418" i="1"/>
  <c r="AV419" i="1"/>
  <c r="AY419" i="1"/>
  <c r="AV420" i="1"/>
  <c r="AY420" i="1"/>
  <c r="AV421" i="1"/>
  <c r="AY421" i="1"/>
  <c r="AV422" i="1"/>
  <c r="AY422" i="1"/>
  <c r="AV423" i="1"/>
  <c r="AY423" i="1"/>
  <c r="AV424" i="1"/>
  <c r="AY424" i="1"/>
  <c r="AV425" i="1"/>
  <c r="AY425" i="1"/>
  <c r="AV426" i="1"/>
  <c r="AY426" i="1"/>
  <c r="AV427" i="1"/>
  <c r="AY427" i="1"/>
  <c r="AV428" i="1"/>
  <c r="AY428" i="1"/>
  <c r="AV429" i="1"/>
  <c r="AY429" i="1"/>
  <c r="AV430" i="1"/>
  <c r="AY430" i="1"/>
  <c r="AV431" i="1"/>
  <c r="AY431" i="1"/>
  <c r="AV432" i="1"/>
  <c r="AY432" i="1"/>
  <c r="AV433" i="1"/>
  <c r="AY433" i="1"/>
  <c r="AV434" i="1"/>
  <c r="AY434" i="1"/>
  <c r="AV435" i="1"/>
  <c r="AY435" i="1"/>
  <c r="AV436" i="1"/>
  <c r="AY436" i="1"/>
  <c r="AV437" i="1"/>
  <c r="AY437" i="1"/>
  <c r="AV438" i="1"/>
  <c r="AY438" i="1"/>
  <c r="AV439" i="1"/>
  <c r="AY439" i="1"/>
  <c r="AV440" i="1"/>
  <c r="AY440" i="1"/>
  <c r="AV441" i="1"/>
  <c r="AY441" i="1"/>
  <c r="AV442" i="1"/>
  <c r="AY442" i="1"/>
  <c r="AV443" i="1"/>
  <c r="AY443" i="1"/>
  <c r="AV444" i="1"/>
  <c r="AY444" i="1"/>
  <c r="AV445" i="1"/>
  <c r="AY445" i="1"/>
  <c r="AV446" i="1"/>
  <c r="AY446" i="1"/>
  <c r="AV447" i="1"/>
  <c r="AY447" i="1"/>
  <c r="AV448" i="1"/>
  <c r="AY448" i="1"/>
  <c r="AV449" i="1"/>
  <c r="AY449" i="1"/>
  <c r="AV450" i="1"/>
  <c r="AY450" i="1"/>
  <c r="AV451" i="1"/>
  <c r="AY451" i="1"/>
  <c r="AV452" i="1"/>
  <c r="AY452" i="1"/>
  <c r="AV453" i="1"/>
  <c r="AY453" i="1"/>
  <c r="AV454" i="1"/>
  <c r="AY454" i="1"/>
  <c r="AV455" i="1"/>
  <c r="AY455" i="1"/>
  <c r="AV456" i="1"/>
  <c r="AY456" i="1"/>
  <c r="AV457" i="1"/>
  <c r="AY457" i="1"/>
  <c r="AV458" i="1"/>
  <c r="AY458" i="1"/>
  <c r="AV459" i="1"/>
  <c r="AY459" i="1"/>
  <c r="AV460" i="1"/>
  <c r="AY460" i="1"/>
  <c r="AV461" i="1"/>
  <c r="AY461" i="1"/>
  <c r="AV462" i="1"/>
  <c r="AY462" i="1"/>
  <c r="AV463" i="1"/>
  <c r="AY463" i="1"/>
  <c r="AV464" i="1"/>
  <c r="AY464" i="1"/>
  <c r="AV465" i="1"/>
  <c r="AY465" i="1"/>
  <c r="AV466" i="1"/>
  <c r="AY466" i="1"/>
  <c r="AV467" i="1"/>
  <c r="AY467" i="1"/>
  <c r="AV468" i="1"/>
  <c r="AY468" i="1"/>
  <c r="AV469" i="1"/>
  <c r="AY469" i="1"/>
  <c r="AV470" i="1"/>
  <c r="AY470" i="1"/>
  <c r="AV471" i="1"/>
  <c r="AY471" i="1"/>
  <c r="AV472" i="1"/>
  <c r="AY472" i="1"/>
  <c r="AV473" i="1"/>
  <c r="AY473" i="1"/>
  <c r="AV474" i="1"/>
  <c r="AY474" i="1"/>
  <c r="AV475" i="1"/>
  <c r="AY475" i="1"/>
  <c r="AV476" i="1"/>
  <c r="AY476" i="1"/>
  <c r="AV477" i="1"/>
  <c r="AY477" i="1"/>
  <c r="AV478" i="1"/>
  <c r="AY478" i="1"/>
  <c r="AV479" i="1"/>
  <c r="AY479" i="1"/>
  <c r="AV480" i="1"/>
  <c r="AY480" i="1"/>
  <c r="AV481" i="1"/>
  <c r="AY481" i="1"/>
  <c r="AV482" i="1"/>
  <c r="AY482" i="1"/>
  <c r="AV483" i="1"/>
  <c r="AY483" i="1"/>
  <c r="AV484" i="1"/>
  <c r="AY484" i="1"/>
  <c r="AV485" i="1"/>
  <c r="AY485" i="1"/>
  <c r="AV486" i="1"/>
  <c r="AY486" i="1"/>
  <c r="AV487" i="1"/>
  <c r="AY487" i="1"/>
  <c r="AV488" i="1"/>
  <c r="AY488" i="1"/>
  <c r="AV489" i="1"/>
  <c r="AY489" i="1"/>
  <c r="AV490" i="1"/>
  <c r="AY490" i="1"/>
  <c r="AV491" i="1"/>
  <c r="AY491" i="1"/>
  <c r="AV492" i="1"/>
  <c r="AY492" i="1"/>
  <c r="AV493" i="1"/>
  <c r="AY493" i="1"/>
  <c r="AV494" i="1"/>
  <c r="AY494" i="1"/>
  <c r="AV495" i="1"/>
  <c r="AY495" i="1"/>
  <c r="AV496" i="1"/>
  <c r="AY496" i="1"/>
  <c r="AJ253" i="1"/>
  <c r="AK253" i="1"/>
  <c r="AL253" i="1" s="1"/>
  <c r="AM253" i="1"/>
  <c r="AN253" i="1"/>
  <c r="AO253" i="1"/>
  <c r="AP253" i="1" s="1"/>
  <c r="AQ253" i="1"/>
  <c r="AT253" i="1" s="1"/>
  <c r="AR253" i="1"/>
  <c r="AJ254" i="1"/>
  <c r="AK254" i="1"/>
  <c r="AL254" i="1" s="1"/>
  <c r="AM254" i="1"/>
  <c r="AN254" i="1"/>
  <c r="AO254" i="1"/>
  <c r="AP254" i="1" s="1"/>
  <c r="AQ254" i="1"/>
  <c r="AT254" i="1" s="1"/>
  <c r="AR254" i="1"/>
  <c r="AW255" i="1"/>
  <c r="AJ255" i="1"/>
  <c r="AK255" i="1"/>
  <c r="AL255" i="1" s="1"/>
  <c r="AM255" i="1"/>
  <c r="AN255" i="1"/>
  <c r="AO255" i="1"/>
  <c r="AP255" i="1" s="1"/>
  <c r="AQ255" i="1"/>
  <c r="AR255" i="1"/>
  <c r="AX256" i="1"/>
  <c r="AJ256" i="1"/>
  <c r="AK256" i="1"/>
  <c r="AL256" i="1" s="1"/>
  <c r="AM256" i="1"/>
  <c r="AN256" i="1"/>
  <c r="AO256" i="1"/>
  <c r="AP256" i="1" s="1"/>
  <c r="AQ256" i="1"/>
  <c r="AR256" i="1"/>
  <c r="AJ257" i="1"/>
  <c r="AK257" i="1"/>
  <c r="AL257" i="1" s="1"/>
  <c r="AM257" i="1"/>
  <c r="AN257" i="1"/>
  <c r="AO257" i="1"/>
  <c r="AP257" i="1" s="1"/>
  <c r="AQ257" i="1"/>
  <c r="AT257" i="1" s="1"/>
  <c r="AR257" i="1"/>
  <c r="AJ258" i="1"/>
  <c r="AK258" i="1"/>
  <c r="AL258" i="1" s="1"/>
  <c r="AM258" i="1"/>
  <c r="AN258" i="1"/>
  <c r="AO258" i="1"/>
  <c r="AP258" i="1" s="1"/>
  <c r="AQ258" i="1"/>
  <c r="AT258" i="1" s="1"/>
  <c r="AR258" i="1"/>
  <c r="AW259" i="1"/>
  <c r="AJ259" i="1"/>
  <c r="AK259" i="1"/>
  <c r="AL259" i="1" s="1"/>
  <c r="AM259" i="1"/>
  <c r="AN259" i="1"/>
  <c r="AO259" i="1"/>
  <c r="AP259" i="1" s="1"/>
  <c r="AQ259" i="1"/>
  <c r="AR259" i="1"/>
  <c r="AX260" i="1"/>
  <c r="AJ260" i="1"/>
  <c r="AK260" i="1"/>
  <c r="AL260" i="1" s="1"/>
  <c r="AM260" i="1"/>
  <c r="AN260" i="1"/>
  <c r="AO260" i="1"/>
  <c r="AP260" i="1" s="1"/>
  <c r="AQ260" i="1"/>
  <c r="AR260" i="1"/>
  <c r="AJ261" i="1"/>
  <c r="AK261" i="1"/>
  <c r="AL261" i="1" s="1"/>
  <c r="AM261" i="1"/>
  <c r="AN261" i="1"/>
  <c r="AO261" i="1"/>
  <c r="AP261" i="1" s="1"/>
  <c r="AQ261" i="1"/>
  <c r="AT261" i="1" s="1"/>
  <c r="AR261" i="1"/>
  <c r="AJ262" i="1"/>
  <c r="AK262" i="1"/>
  <c r="AL262" i="1" s="1"/>
  <c r="AM262" i="1"/>
  <c r="AN262" i="1"/>
  <c r="AO262" i="1"/>
  <c r="AP262" i="1" s="1"/>
  <c r="AQ262" i="1"/>
  <c r="AT262" i="1" s="1"/>
  <c r="AR262" i="1"/>
  <c r="AW263" i="1"/>
  <c r="AJ263" i="1"/>
  <c r="AK263" i="1"/>
  <c r="AL263" i="1" s="1"/>
  <c r="AM263" i="1"/>
  <c r="AN263" i="1"/>
  <c r="AO263" i="1"/>
  <c r="AP263" i="1" s="1"/>
  <c r="AQ263" i="1"/>
  <c r="AR263" i="1"/>
  <c r="AX264" i="1"/>
  <c r="AJ264" i="1"/>
  <c r="AK264" i="1"/>
  <c r="AL264" i="1" s="1"/>
  <c r="AM264" i="1"/>
  <c r="AN264" i="1"/>
  <c r="AO264" i="1"/>
  <c r="AP264" i="1" s="1"/>
  <c r="AQ264" i="1"/>
  <c r="AT264" i="1" s="1"/>
  <c r="AR264" i="1"/>
  <c r="AJ265" i="1"/>
  <c r="AK265" i="1"/>
  <c r="AL265" i="1" s="1"/>
  <c r="AM265" i="1"/>
  <c r="AN265" i="1"/>
  <c r="AO265" i="1"/>
  <c r="AP265" i="1" s="1"/>
  <c r="AQ265" i="1"/>
  <c r="AT265" i="1" s="1"/>
  <c r="AR265" i="1"/>
  <c r="AJ266" i="1"/>
  <c r="AK266" i="1"/>
  <c r="AL266" i="1" s="1"/>
  <c r="AM266" i="1"/>
  <c r="AN266" i="1"/>
  <c r="AO266" i="1"/>
  <c r="AP266" i="1" s="1"/>
  <c r="AQ266" i="1"/>
  <c r="AT266" i="1" s="1"/>
  <c r="AR266" i="1"/>
  <c r="AW267" i="1"/>
  <c r="AJ267" i="1"/>
  <c r="AK267" i="1"/>
  <c r="AL267" i="1" s="1"/>
  <c r="AM267" i="1"/>
  <c r="AN267" i="1"/>
  <c r="AO267" i="1"/>
  <c r="AP267" i="1" s="1"/>
  <c r="AQ267" i="1"/>
  <c r="AT267" i="1" s="1"/>
  <c r="AR267" i="1"/>
  <c r="AX268" i="1"/>
  <c r="AJ268" i="1"/>
  <c r="AK268" i="1"/>
  <c r="AL268" i="1" s="1"/>
  <c r="AM268" i="1"/>
  <c r="AN268" i="1"/>
  <c r="AO268" i="1"/>
  <c r="AP268" i="1" s="1"/>
  <c r="AQ268" i="1"/>
  <c r="AT268" i="1" s="1"/>
  <c r="AR268" i="1"/>
  <c r="AJ269" i="1"/>
  <c r="AK269" i="1"/>
  <c r="AL269" i="1" s="1"/>
  <c r="AM269" i="1"/>
  <c r="AN269" i="1"/>
  <c r="AO269" i="1"/>
  <c r="AP269" i="1" s="1"/>
  <c r="AQ269" i="1"/>
  <c r="AT269" i="1" s="1"/>
  <c r="AR269" i="1"/>
  <c r="AJ270" i="1"/>
  <c r="AK270" i="1"/>
  <c r="AL270" i="1" s="1"/>
  <c r="AM270" i="1"/>
  <c r="AN270" i="1"/>
  <c r="AO270" i="1"/>
  <c r="AP270" i="1" s="1"/>
  <c r="AQ270" i="1"/>
  <c r="AT270" i="1" s="1"/>
  <c r="AR270" i="1"/>
  <c r="AW271" i="1"/>
  <c r="AJ271" i="1"/>
  <c r="AK271" i="1"/>
  <c r="AL271" i="1" s="1"/>
  <c r="AM271" i="1"/>
  <c r="AN271" i="1"/>
  <c r="AO271" i="1"/>
  <c r="AP271" i="1" s="1"/>
  <c r="AQ271" i="1"/>
  <c r="AT271" i="1" s="1"/>
  <c r="AR271" i="1"/>
  <c r="AX272" i="1"/>
  <c r="AJ272" i="1"/>
  <c r="AK272" i="1"/>
  <c r="AL272" i="1" s="1"/>
  <c r="AM272" i="1"/>
  <c r="AN272" i="1"/>
  <c r="AO272" i="1"/>
  <c r="AP272" i="1" s="1"/>
  <c r="AQ272" i="1"/>
  <c r="AT272" i="1" s="1"/>
  <c r="AR272" i="1"/>
  <c r="AJ273" i="1"/>
  <c r="AK273" i="1"/>
  <c r="AL273" i="1" s="1"/>
  <c r="AM273" i="1"/>
  <c r="AN273" i="1"/>
  <c r="AO273" i="1"/>
  <c r="AP273" i="1" s="1"/>
  <c r="AQ273" i="1"/>
  <c r="AT273" i="1" s="1"/>
  <c r="AR273" i="1"/>
  <c r="AJ274" i="1"/>
  <c r="AK274" i="1"/>
  <c r="AL274" i="1" s="1"/>
  <c r="AM274" i="1"/>
  <c r="AN274" i="1"/>
  <c r="AO274" i="1"/>
  <c r="AP274" i="1" s="1"/>
  <c r="AQ274" i="1"/>
  <c r="AU274" i="1" s="1"/>
  <c r="AR274" i="1"/>
  <c r="AW275" i="1"/>
  <c r="AJ275" i="1"/>
  <c r="AK275" i="1"/>
  <c r="AL275" i="1" s="1"/>
  <c r="AM275" i="1"/>
  <c r="AN275" i="1"/>
  <c r="AO275" i="1"/>
  <c r="AP275" i="1" s="1"/>
  <c r="AQ275" i="1"/>
  <c r="AT275" i="1" s="1"/>
  <c r="AR275" i="1"/>
  <c r="AX276" i="1"/>
  <c r="AJ276" i="1"/>
  <c r="AK276" i="1"/>
  <c r="AL276" i="1" s="1"/>
  <c r="AM276" i="1"/>
  <c r="AN276" i="1"/>
  <c r="AO276" i="1"/>
  <c r="AP276" i="1" s="1"/>
  <c r="AQ276" i="1"/>
  <c r="AT276" i="1" s="1"/>
  <c r="AR276" i="1"/>
  <c r="AJ277" i="1"/>
  <c r="AK277" i="1"/>
  <c r="AL277" i="1" s="1"/>
  <c r="AM277" i="1"/>
  <c r="AN277" i="1"/>
  <c r="AO277" i="1"/>
  <c r="AP277" i="1" s="1"/>
  <c r="AQ277" i="1"/>
  <c r="AT277" i="1" s="1"/>
  <c r="AR277" i="1"/>
  <c r="AJ278" i="1"/>
  <c r="AK278" i="1"/>
  <c r="AL278" i="1" s="1"/>
  <c r="AM278" i="1"/>
  <c r="AN278" i="1"/>
  <c r="AO278" i="1"/>
  <c r="AP278" i="1" s="1"/>
  <c r="AQ278" i="1"/>
  <c r="AT278" i="1" s="1"/>
  <c r="AR278" i="1"/>
  <c r="AW279" i="1"/>
  <c r="AJ279" i="1"/>
  <c r="AK279" i="1"/>
  <c r="AL279" i="1" s="1"/>
  <c r="AM279" i="1"/>
  <c r="AN279" i="1"/>
  <c r="AO279" i="1"/>
  <c r="AP279" i="1" s="1"/>
  <c r="AQ279" i="1"/>
  <c r="AU279" i="1" s="1"/>
  <c r="AR279" i="1"/>
  <c r="AX280" i="1"/>
  <c r="AJ280" i="1"/>
  <c r="AK280" i="1"/>
  <c r="AL280" i="1" s="1"/>
  <c r="AM280" i="1"/>
  <c r="AN280" i="1"/>
  <c r="AO280" i="1"/>
  <c r="AP280" i="1" s="1"/>
  <c r="AQ280" i="1"/>
  <c r="AU280" i="1" s="1"/>
  <c r="AR280" i="1"/>
  <c r="AJ281" i="1"/>
  <c r="AK281" i="1"/>
  <c r="AL281" i="1" s="1"/>
  <c r="AM281" i="1"/>
  <c r="AN281" i="1"/>
  <c r="AO281" i="1"/>
  <c r="AP281" i="1" s="1"/>
  <c r="AQ281" i="1"/>
  <c r="AT281" i="1" s="1"/>
  <c r="AR281" i="1"/>
  <c r="AJ282" i="1"/>
  <c r="AK282" i="1"/>
  <c r="AL282" i="1" s="1"/>
  <c r="AM282" i="1"/>
  <c r="AN282" i="1"/>
  <c r="AO282" i="1"/>
  <c r="AP282" i="1" s="1"/>
  <c r="AQ282" i="1"/>
  <c r="AT282" i="1" s="1"/>
  <c r="AR282" i="1"/>
  <c r="AW283" i="1"/>
  <c r="AJ283" i="1"/>
  <c r="AK283" i="1"/>
  <c r="AL283" i="1" s="1"/>
  <c r="AM283" i="1"/>
  <c r="AN283" i="1"/>
  <c r="AO283" i="1"/>
  <c r="AP283" i="1" s="1"/>
  <c r="AQ283" i="1"/>
  <c r="AT283" i="1" s="1"/>
  <c r="AR283" i="1"/>
  <c r="AX284" i="1"/>
  <c r="AJ284" i="1"/>
  <c r="AK284" i="1"/>
  <c r="AL284" i="1" s="1"/>
  <c r="AM284" i="1"/>
  <c r="AN284" i="1"/>
  <c r="AO284" i="1"/>
  <c r="AP284" i="1" s="1"/>
  <c r="AQ284" i="1"/>
  <c r="AU284" i="1" s="1"/>
  <c r="AR284" i="1"/>
  <c r="AJ285" i="1"/>
  <c r="AK285" i="1"/>
  <c r="AL285" i="1" s="1"/>
  <c r="AM285" i="1"/>
  <c r="AN285" i="1"/>
  <c r="AO285" i="1"/>
  <c r="AP285" i="1" s="1"/>
  <c r="AQ285" i="1"/>
  <c r="AT285" i="1" s="1"/>
  <c r="AR285" i="1"/>
  <c r="AJ286" i="1"/>
  <c r="AK286" i="1"/>
  <c r="AL286" i="1" s="1"/>
  <c r="AM286" i="1"/>
  <c r="AN286" i="1"/>
  <c r="AO286" i="1"/>
  <c r="AP286" i="1" s="1"/>
  <c r="AQ286" i="1"/>
  <c r="AT286" i="1" s="1"/>
  <c r="AR286" i="1"/>
  <c r="AW287" i="1"/>
  <c r="AJ287" i="1"/>
  <c r="AK287" i="1"/>
  <c r="AL287" i="1" s="1"/>
  <c r="AM287" i="1"/>
  <c r="AN287" i="1"/>
  <c r="AO287" i="1"/>
  <c r="AP287" i="1" s="1"/>
  <c r="AQ287" i="1"/>
  <c r="AT287" i="1" s="1"/>
  <c r="AR287" i="1"/>
  <c r="AX288" i="1"/>
  <c r="AJ288" i="1"/>
  <c r="AK288" i="1"/>
  <c r="AL288" i="1" s="1"/>
  <c r="AM288" i="1"/>
  <c r="AN288" i="1"/>
  <c r="AO288" i="1"/>
  <c r="AP288" i="1" s="1"/>
  <c r="AQ288" i="1"/>
  <c r="AT288" i="1" s="1"/>
  <c r="AR288" i="1"/>
  <c r="AJ289" i="1"/>
  <c r="AK289" i="1"/>
  <c r="AL289" i="1" s="1"/>
  <c r="AM289" i="1"/>
  <c r="AN289" i="1"/>
  <c r="AO289" i="1"/>
  <c r="AP289" i="1" s="1"/>
  <c r="AQ289" i="1"/>
  <c r="AU289" i="1" s="1"/>
  <c r="AR289" i="1"/>
  <c r="AJ290" i="1"/>
  <c r="AK290" i="1"/>
  <c r="AL290" i="1" s="1"/>
  <c r="AM290" i="1"/>
  <c r="AN290" i="1"/>
  <c r="AO290" i="1"/>
  <c r="AP290" i="1" s="1"/>
  <c r="AQ290" i="1"/>
  <c r="AT290" i="1" s="1"/>
  <c r="AR290" i="1"/>
  <c r="AW291" i="1"/>
  <c r="AJ291" i="1"/>
  <c r="AK291" i="1"/>
  <c r="AL291" i="1" s="1"/>
  <c r="AM291" i="1"/>
  <c r="AN291" i="1"/>
  <c r="AO291" i="1"/>
  <c r="AP291" i="1" s="1"/>
  <c r="AQ291" i="1"/>
  <c r="AT291" i="1" s="1"/>
  <c r="AR291" i="1"/>
  <c r="AX292" i="1"/>
  <c r="AJ292" i="1"/>
  <c r="AK292" i="1"/>
  <c r="AL292" i="1" s="1"/>
  <c r="AM292" i="1"/>
  <c r="AN292" i="1"/>
  <c r="AO292" i="1"/>
  <c r="AP292" i="1" s="1"/>
  <c r="AQ292" i="1"/>
  <c r="AT292" i="1" s="1"/>
  <c r="AR292" i="1"/>
  <c r="AW293" i="1"/>
  <c r="AJ293" i="1"/>
  <c r="AK293" i="1"/>
  <c r="AL293" i="1" s="1"/>
  <c r="AM293" i="1"/>
  <c r="AN293" i="1"/>
  <c r="AO293" i="1"/>
  <c r="AP293" i="1" s="1"/>
  <c r="AQ293" i="1"/>
  <c r="AT293" i="1" s="1"/>
  <c r="AR293" i="1"/>
  <c r="AJ294" i="1"/>
  <c r="AK294" i="1"/>
  <c r="AL294" i="1" s="1"/>
  <c r="AM294" i="1"/>
  <c r="AN294" i="1"/>
  <c r="AO294" i="1"/>
  <c r="AP294" i="1" s="1"/>
  <c r="AQ294" i="1"/>
  <c r="AT294" i="1" s="1"/>
  <c r="AR294" i="1"/>
  <c r="AJ295" i="1"/>
  <c r="AK295" i="1"/>
  <c r="AL295" i="1" s="1"/>
  <c r="AM295" i="1"/>
  <c r="AN295" i="1"/>
  <c r="AO295" i="1"/>
  <c r="AP295" i="1" s="1"/>
  <c r="AQ295" i="1"/>
  <c r="AT295" i="1" s="1"/>
  <c r="AR295" i="1"/>
  <c r="AW296" i="1"/>
  <c r="AJ296" i="1"/>
  <c r="AK296" i="1"/>
  <c r="AL296" i="1" s="1"/>
  <c r="AM296" i="1"/>
  <c r="AN296" i="1"/>
  <c r="AO296" i="1"/>
  <c r="AP296" i="1" s="1"/>
  <c r="AQ296" i="1"/>
  <c r="AT296" i="1" s="1"/>
  <c r="AR296" i="1"/>
  <c r="AX297" i="1"/>
  <c r="AJ297" i="1"/>
  <c r="AK297" i="1"/>
  <c r="AL297" i="1" s="1"/>
  <c r="AM297" i="1"/>
  <c r="AN297" i="1"/>
  <c r="AO297" i="1"/>
  <c r="AP297" i="1" s="1"/>
  <c r="AQ297" i="1"/>
  <c r="AT297" i="1" s="1"/>
  <c r="AR297" i="1"/>
  <c r="AJ298" i="1"/>
  <c r="AK298" i="1"/>
  <c r="AL298" i="1" s="1"/>
  <c r="AM298" i="1"/>
  <c r="AN298" i="1"/>
  <c r="AO298" i="1"/>
  <c r="AP298" i="1" s="1"/>
  <c r="AQ298" i="1"/>
  <c r="AT298" i="1" s="1"/>
  <c r="AR298" i="1"/>
  <c r="AJ299" i="1"/>
  <c r="AK299" i="1"/>
  <c r="AL299" i="1" s="1"/>
  <c r="AM299" i="1"/>
  <c r="AN299" i="1"/>
  <c r="AO299" i="1"/>
  <c r="AP299" i="1" s="1"/>
  <c r="AQ299" i="1"/>
  <c r="AT299" i="1" s="1"/>
  <c r="AR299" i="1"/>
  <c r="AW300" i="1"/>
  <c r="AJ300" i="1"/>
  <c r="AK300" i="1"/>
  <c r="AL300" i="1" s="1"/>
  <c r="AM300" i="1"/>
  <c r="AN300" i="1"/>
  <c r="AO300" i="1"/>
  <c r="AP300" i="1" s="1"/>
  <c r="AQ300" i="1"/>
  <c r="AT300" i="1" s="1"/>
  <c r="AR300" i="1"/>
  <c r="AX301" i="1"/>
  <c r="AJ301" i="1"/>
  <c r="AK301" i="1"/>
  <c r="AL301" i="1" s="1"/>
  <c r="AM301" i="1"/>
  <c r="AN301" i="1"/>
  <c r="AO301" i="1"/>
  <c r="AP301" i="1" s="1"/>
  <c r="AQ301" i="1"/>
  <c r="AT301" i="1" s="1"/>
  <c r="AR301" i="1"/>
  <c r="AJ302" i="1"/>
  <c r="AK302" i="1"/>
  <c r="AL302" i="1" s="1"/>
  <c r="AM302" i="1"/>
  <c r="AN302" i="1"/>
  <c r="AO302" i="1"/>
  <c r="AP302" i="1" s="1"/>
  <c r="AQ302" i="1"/>
  <c r="AT302" i="1" s="1"/>
  <c r="AR302" i="1"/>
  <c r="AJ303" i="1"/>
  <c r="AK303" i="1"/>
  <c r="AL303" i="1" s="1"/>
  <c r="AM303" i="1"/>
  <c r="AN303" i="1"/>
  <c r="AO303" i="1"/>
  <c r="AP303" i="1" s="1"/>
  <c r="AQ303" i="1"/>
  <c r="AT303" i="1" s="1"/>
  <c r="AR303" i="1"/>
  <c r="AW304" i="1"/>
  <c r="AJ304" i="1"/>
  <c r="AK304" i="1"/>
  <c r="AL304" i="1" s="1"/>
  <c r="AM304" i="1"/>
  <c r="AN304" i="1"/>
  <c r="AO304" i="1"/>
  <c r="AP304" i="1" s="1"/>
  <c r="AQ304" i="1"/>
  <c r="AT304" i="1" s="1"/>
  <c r="AR304" i="1"/>
  <c r="AX305" i="1"/>
  <c r="AJ305" i="1"/>
  <c r="AK305" i="1"/>
  <c r="AL305" i="1" s="1"/>
  <c r="AM305" i="1"/>
  <c r="AN305" i="1"/>
  <c r="AO305" i="1"/>
  <c r="AP305" i="1" s="1"/>
  <c r="AQ305" i="1"/>
  <c r="AT305" i="1" s="1"/>
  <c r="AR305" i="1"/>
  <c r="AJ306" i="1"/>
  <c r="AK306" i="1"/>
  <c r="AL306" i="1" s="1"/>
  <c r="AM306" i="1"/>
  <c r="AN306" i="1"/>
  <c r="AO306" i="1"/>
  <c r="AP306" i="1" s="1"/>
  <c r="AQ306" i="1"/>
  <c r="AU306" i="1" s="1"/>
  <c r="AR306" i="1"/>
  <c r="AJ307" i="1"/>
  <c r="AK307" i="1"/>
  <c r="AL307" i="1" s="1"/>
  <c r="AM307" i="1"/>
  <c r="AN307" i="1"/>
  <c r="AO307" i="1"/>
  <c r="AP307" i="1" s="1"/>
  <c r="AQ307" i="1"/>
  <c r="AT307" i="1" s="1"/>
  <c r="AR307" i="1"/>
  <c r="AW308" i="1"/>
  <c r="AJ308" i="1"/>
  <c r="AK308" i="1"/>
  <c r="AL308" i="1" s="1"/>
  <c r="AM308" i="1"/>
  <c r="AN308" i="1"/>
  <c r="AO308" i="1"/>
  <c r="AP308" i="1" s="1"/>
  <c r="AQ308" i="1"/>
  <c r="AT308" i="1" s="1"/>
  <c r="AR308" i="1"/>
  <c r="AX309" i="1"/>
  <c r="AJ309" i="1"/>
  <c r="AK309" i="1"/>
  <c r="AL309" i="1" s="1"/>
  <c r="AM309" i="1"/>
  <c r="AN309" i="1"/>
  <c r="AO309" i="1"/>
  <c r="AP309" i="1" s="1"/>
  <c r="AQ309" i="1"/>
  <c r="AT309" i="1" s="1"/>
  <c r="AR309" i="1"/>
  <c r="AJ310" i="1"/>
  <c r="AK310" i="1"/>
  <c r="AL310" i="1" s="1"/>
  <c r="AM310" i="1"/>
  <c r="AN310" i="1"/>
  <c r="AO310" i="1"/>
  <c r="AP310" i="1" s="1"/>
  <c r="AQ310" i="1"/>
  <c r="AU310" i="1" s="1"/>
  <c r="AR310" i="1"/>
  <c r="AJ311" i="1"/>
  <c r="AK311" i="1"/>
  <c r="AL311" i="1" s="1"/>
  <c r="AM311" i="1"/>
  <c r="AN311" i="1"/>
  <c r="AO311" i="1"/>
  <c r="AP311" i="1" s="1"/>
  <c r="AQ311" i="1"/>
  <c r="AT311" i="1" s="1"/>
  <c r="AR311" i="1"/>
  <c r="AW312" i="1"/>
  <c r="AJ312" i="1"/>
  <c r="AK312" i="1"/>
  <c r="AL312" i="1" s="1"/>
  <c r="AM312" i="1"/>
  <c r="AN312" i="1"/>
  <c r="AO312" i="1"/>
  <c r="AP312" i="1" s="1"/>
  <c r="AQ312" i="1"/>
  <c r="AT312" i="1" s="1"/>
  <c r="AR312" i="1"/>
  <c r="AX313" i="1"/>
  <c r="AJ313" i="1"/>
  <c r="AK313" i="1"/>
  <c r="AL313" i="1" s="1"/>
  <c r="AM313" i="1"/>
  <c r="AN313" i="1"/>
  <c r="AO313" i="1"/>
  <c r="AP313" i="1" s="1"/>
  <c r="AQ313" i="1"/>
  <c r="AT313" i="1" s="1"/>
  <c r="AR313" i="1"/>
  <c r="AJ314" i="1"/>
  <c r="AK314" i="1"/>
  <c r="AL314" i="1" s="1"/>
  <c r="AM314" i="1"/>
  <c r="AN314" i="1"/>
  <c r="AO314" i="1"/>
  <c r="AP314" i="1" s="1"/>
  <c r="AQ314" i="1"/>
  <c r="AT314" i="1" s="1"/>
  <c r="AR314" i="1"/>
  <c r="AJ315" i="1"/>
  <c r="AK315" i="1"/>
  <c r="AL315" i="1" s="1"/>
  <c r="AM315" i="1"/>
  <c r="AN315" i="1"/>
  <c r="AO315" i="1"/>
  <c r="AP315" i="1" s="1"/>
  <c r="AQ315" i="1"/>
  <c r="AU315" i="1" s="1"/>
  <c r="AR315" i="1"/>
  <c r="AW316" i="1"/>
  <c r="AJ316" i="1"/>
  <c r="AK316" i="1"/>
  <c r="AL316" i="1" s="1"/>
  <c r="AM316" i="1"/>
  <c r="AN316" i="1"/>
  <c r="AO316" i="1"/>
  <c r="AP316" i="1" s="1"/>
  <c r="AQ316" i="1"/>
  <c r="AT316" i="1" s="1"/>
  <c r="AR316" i="1"/>
  <c r="AX317" i="1"/>
  <c r="AJ317" i="1"/>
  <c r="AK317" i="1"/>
  <c r="AL317" i="1" s="1"/>
  <c r="AM317" i="1"/>
  <c r="AN317" i="1"/>
  <c r="AO317" i="1"/>
  <c r="AP317" i="1" s="1"/>
  <c r="AQ317" i="1"/>
  <c r="AT317" i="1" s="1"/>
  <c r="AR317" i="1"/>
  <c r="AJ318" i="1"/>
  <c r="AK318" i="1"/>
  <c r="AL318" i="1" s="1"/>
  <c r="AM318" i="1"/>
  <c r="AN318" i="1"/>
  <c r="AO318" i="1"/>
  <c r="AP318" i="1" s="1"/>
  <c r="AQ318" i="1"/>
  <c r="AT318" i="1" s="1"/>
  <c r="AR318" i="1"/>
  <c r="AJ319" i="1"/>
  <c r="AK319" i="1"/>
  <c r="AL319" i="1" s="1"/>
  <c r="AM319" i="1"/>
  <c r="AN319" i="1"/>
  <c r="AO319" i="1"/>
  <c r="AP319" i="1" s="1"/>
  <c r="AQ319" i="1"/>
  <c r="AT319" i="1" s="1"/>
  <c r="AR319" i="1"/>
  <c r="AW320" i="1"/>
  <c r="AJ320" i="1"/>
  <c r="AK320" i="1"/>
  <c r="AL320" i="1" s="1"/>
  <c r="AM320" i="1"/>
  <c r="AN320" i="1"/>
  <c r="AO320" i="1"/>
  <c r="AP320" i="1" s="1"/>
  <c r="AQ320" i="1"/>
  <c r="AT320" i="1" s="1"/>
  <c r="AR320" i="1"/>
  <c r="AX321" i="1"/>
  <c r="AJ321" i="1"/>
  <c r="AK321" i="1"/>
  <c r="AL321" i="1" s="1"/>
  <c r="AM321" i="1"/>
  <c r="AN321" i="1"/>
  <c r="AO321" i="1"/>
  <c r="AP321" i="1" s="1"/>
  <c r="AQ321" i="1"/>
  <c r="AT321" i="1" s="1"/>
  <c r="AR321" i="1"/>
  <c r="AJ322" i="1"/>
  <c r="AK322" i="1"/>
  <c r="AL322" i="1" s="1"/>
  <c r="AM322" i="1"/>
  <c r="AN322" i="1"/>
  <c r="AO322" i="1"/>
  <c r="AP322" i="1" s="1"/>
  <c r="AQ322" i="1"/>
  <c r="AT322" i="1" s="1"/>
  <c r="AR322" i="1"/>
  <c r="AJ323" i="1"/>
  <c r="AK323" i="1"/>
  <c r="AL323" i="1" s="1"/>
  <c r="AM323" i="1"/>
  <c r="AN323" i="1"/>
  <c r="AO323" i="1"/>
  <c r="AP323" i="1" s="1"/>
  <c r="AQ323" i="1"/>
  <c r="AT323" i="1" s="1"/>
  <c r="AR323" i="1"/>
  <c r="AW324" i="1"/>
  <c r="AJ324" i="1"/>
  <c r="AK324" i="1"/>
  <c r="AL324" i="1" s="1"/>
  <c r="AM324" i="1"/>
  <c r="AN324" i="1"/>
  <c r="AO324" i="1"/>
  <c r="AP324" i="1" s="1"/>
  <c r="AQ324" i="1"/>
  <c r="AT324" i="1" s="1"/>
  <c r="AR324" i="1"/>
  <c r="AX325" i="1"/>
  <c r="AJ325" i="1"/>
  <c r="AK325" i="1"/>
  <c r="AL325" i="1" s="1"/>
  <c r="AM325" i="1"/>
  <c r="AN325" i="1"/>
  <c r="AO325" i="1"/>
  <c r="AP325" i="1" s="1"/>
  <c r="AQ325" i="1"/>
  <c r="AT325" i="1" s="1"/>
  <c r="AR325" i="1"/>
  <c r="AJ326" i="1"/>
  <c r="AK326" i="1"/>
  <c r="AL326" i="1" s="1"/>
  <c r="AM326" i="1"/>
  <c r="AN326" i="1"/>
  <c r="AO326" i="1"/>
  <c r="AP326" i="1" s="1"/>
  <c r="AQ326" i="1"/>
  <c r="AT326" i="1" s="1"/>
  <c r="AR326" i="1"/>
  <c r="AJ327" i="1"/>
  <c r="AK327" i="1"/>
  <c r="AL327" i="1" s="1"/>
  <c r="AM327" i="1"/>
  <c r="AN327" i="1"/>
  <c r="AO327" i="1"/>
  <c r="AP327" i="1" s="1"/>
  <c r="AQ327" i="1"/>
  <c r="AT327" i="1" s="1"/>
  <c r="AR327" i="1"/>
  <c r="AW328" i="1"/>
  <c r="AJ328" i="1"/>
  <c r="AK328" i="1"/>
  <c r="AL328" i="1" s="1"/>
  <c r="AM328" i="1"/>
  <c r="AN328" i="1"/>
  <c r="AO328" i="1"/>
  <c r="AP328" i="1" s="1"/>
  <c r="AQ328" i="1"/>
  <c r="AT328" i="1" s="1"/>
  <c r="AR328" i="1"/>
  <c r="AX329" i="1"/>
  <c r="AJ329" i="1"/>
  <c r="AK329" i="1"/>
  <c r="AL329" i="1" s="1"/>
  <c r="AM329" i="1"/>
  <c r="AN329" i="1"/>
  <c r="AO329" i="1"/>
  <c r="AP329" i="1" s="1"/>
  <c r="AQ329" i="1"/>
  <c r="AT329" i="1" s="1"/>
  <c r="AR329" i="1"/>
  <c r="AJ330" i="1"/>
  <c r="AK330" i="1"/>
  <c r="AL330" i="1" s="1"/>
  <c r="AM330" i="1"/>
  <c r="AN330" i="1"/>
  <c r="AO330" i="1"/>
  <c r="AP330" i="1" s="1"/>
  <c r="AQ330" i="1"/>
  <c r="AT330" i="1" s="1"/>
  <c r="AR330" i="1"/>
  <c r="AJ331" i="1"/>
  <c r="AK331" i="1"/>
  <c r="AL331" i="1" s="1"/>
  <c r="AM331" i="1"/>
  <c r="AN331" i="1"/>
  <c r="AO331" i="1"/>
  <c r="AP331" i="1" s="1"/>
  <c r="AQ331" i="1"/>
  <c r="AT331" i="1" s="1"/>
  <c r="AR331" i="1"/>
  <c r="AW332" i="1"/>
  <c r="AJ332" i="1"/>
  <c r="AK332" i="1"/>
  <c r="AL332" i="1" s="1"/>
  <c r="AM332" i="1"/>
  <c r="AN332" i="1"/>
  <c r="AO332" i="1"/>
  <c r="AP332" i="1" s="1"/>
  <c r="AQ332" i="1"/>
  <c r="AT332" i="1" s="1"/>
  <c r="AR332" i="1"/>
  <c r="AX333" i="1"/>
  <c r="AJ333" i="1"/>
  <c r="AK333" i="1"/>
  <c r="AL333" i="1" s="1"/>
  <c r="AM333" i="1"/>
  <c r="AN333" i="1"/>
  <c r="AO333" i="1"/>
  <c r="AP333" i="1" s="1"/>
  <c r="AQ333" i="1"/>
  <c r="AT333" i="1" s="1"/>
  <c r="AR333" i="1"/>
  <c r="AJ334" i="1"/>
  <c r="AK334" i="1"/>
  <c r="AL334" i="1" s="1"/>
  <c r="AM334" i="1"/>
  <c r="AN334" i="1"/>
  <c r="AO334" i="1"/>
  <c r="AP334" i="1" s="1"/>
  <c r="AQ334" i="1"/>
  <c r="AT334" i="1" s="1"/>
  <c r="AR334" i="1"/>
  <c r="AJ335" i="1"/>
  <c r="AK335" i="1"/>
  <c r="AL335" i="1" s="1"/>
  <c r="AM335" i="1"/>
  <c r="AN335" i="1"/>
  <c r="AO335" i="1"/>
  <c r="AP335" i="1" s="1"/>
  <c r="AQ335" i="1"/>
  <c r="AT335" i="1" s="1"/>
  <c r="AR335" i="1"/>
  <c r="AW336" i="1"/>
  <c r="AJ336" i="1"/>
  <c r="AK336" i="1"/>
  <c r="AL336" i="1" s="1"/>
  <c r="AM336" i="1"/>
  <c r="AN336" i="1"/>
  <c r="AO336" i="1"/>
  <c r="AP336" i="1" s="1"/>
  <c r="AQ336" i="1"/>
  <c r="AT336" i="1" s="1"/>
  <c r="AR336" i="1"/>
  <c r="AX337" i="1"/>
  <c r="AJ337" i="1"/>
  <c r="AK337" i="1"/>
  <c r="AL337" i="1" s="1"/>
  <c r="AM337" i="1"/>
  <c r="AN337" i="1"/>
  <c r="AO337" i="1"/>
  <c r="AP337" i="1" s="1"/>
  <c r="AQ337" i="1"/>
  <c r="AT337" i="1" s="1"/>
  <c r="AR337" i="1"/>
  <c r="AJ338" i="1"/>
  <c r="AK338" i="1"/>
  <c r="AL338" i="1" s="1"/>
  <c r="AM338" i="1"/>
  <c r="AN338" i="1"/>
  <c r="AO338" i="1"/>
  <c r="AP338" i="1" s="1"/>
  <c r="AQ338" i="1"/>
  <c r="AT338" i="1" s="1"/>
  <c r="AR338" i="1"/>
  <c r="AJ339" i="1"/>
  <c r="AK339" i="1"/>
  <c r="AL339" i="1" s="1"/>
  <c r="AM339" i="1"/>
  <c r="AN339" i="1"/>
  <c r="AO339" i="1"/>
  <c r="AP339" i="1" s="1"/>
  <c r="AQ339" i="1"/>
  <c r="AT339" i="1" s="1"/>
  <c r="AR339" i="1"/>
  <c r="AW340" i="1"/>
  <c r="AJ340" i="1"/>
  <c r="AK340" i="1"/>
  <c r="AL340" i="1" s="1"/>
  <c r="AM340" i="1"/>
  <c r="AN340" i="1"/>
  <c r="AO340" i="1"/>
  <c r="AP340" i="1" s="1"/>
  <c r="AQ340" i="1"/>
  <c r="AU340" i="1" s="1"/>
  <c r="AR340" i="1"/>
  <c r="AX341" i="1"/>
  <c r="AJ341" i="1"/>
  <c r="AK341" i="1"/>
  <c r="AL341" i="1" s="1"/>
  <c r="AM341" i="1"/>
  <c r="AN341" i="1"/>
  <c r="AO341" i="1"/>
  <c r="AP341" i="1" s="1"/>
  <c r="AQ341" i="1"/>
  <c r="AT341" i="1" s="1"/>
  <c r="AR341" i="1"/>
  <c r="AJ342" i="1"/>
  <c r="AK342" i="1"/>
  <c r="AL342" i="1" s="1"/>
  <c r="AM342" i="1"/>
  <c r="AN342" i="1"/>
  <c r="AO342" i="1"/>
  <c r="AP342" i="1" s="1"/>
  <c r="AQ342" i="1"/>
  <c r="AT342" i="1" s="1"/>
  <c r="AR342" i="1"/>
  <c r="AJ343" i="1"/>
  <c r="AK343" i="1"/>
  <c r="AL343" i="1" s="1"/>
  <c r="AM343" i="1"/>
  <c r="AN343" i="1"/>
  <c r="AO343" i="1"/>
  <c r="AP343" i="1" s="1"/>
  <c r="AQ343" i="1"/>
  <c r="AT343" i="1" s="1"/>
  <c r="AR343" i="1"/>
  <c r="AW344" i="1"/>
  <c r="AJ344" i="1"/>
  <c r="AK344" i="1"/>
  <c r="AL344" i="1" s="1"/>
  <c r="AM344" i="1"/>
  <c r="AN344" i="1"/>
  <c r="AO344" i="1"/>
  <c r="AP344" i="1" s="1"/>
  <c r="AQ344" i="1"/>
  <c r="AT344" i="1" s="1"/>
  <c r="AR344" i="1"/>
  <c r="AX345" i="1"/>
  <c r="AJ345" i="1"/>
  <c r="AK345" i="1"/>
  <c r="AL345" i="1" s="1"/>
  <c r="AM345" i="1"/>
  <c r="AN345" i="1"/>
  <c r="AO345" i="1"/>
  <c r="AP345" i="1" s="1"/>
  <c r="AQ345" i="1"/>
  <c r="AT345" i="1" s="1"/>
  <c r="AR345" i="1"/>
  <c r="AJ346" i="1"/>
  <c r="AK346" i="1"/>
  <c r="AL346" i="1" s="1"/>
  <c r="AM346" i="1"/>
  <c r="AN346" i="1"/>
  <c r="AO346" i="1"/>
  <c r="AP346" i="1" s="1"/>
  <c r="AQ346" i="1"/>
  <c r="AU346" i="1" s="1"/>
  <c r="AR346" i="1"/>
  <c r="AJ347" i="1"/>
  <c r="AK347" i="1"/>
  <c r="AL347" i="1" s="1"/>
  <c r="AM347" i="1"/>
  <c r="AN347" i="1"/>
  <c r="AO347" i="1"/>
  <c r="AP347" i="1" s="1"/>
  <c r="AQ347" i="1"/>
  <c r="AT347" i="1" s="1"/>
  <c r="AR347" i="1"/>
  <c r="AW348" i="1"/>
  <c r="AJ348" i="1"/>
  <c r="AK348" i="1"/>
  <c r="AL348" i="1" s="1"/>
  <c r="AM348" i="1"/>
  <c r="AN348" i="1"/>
  <c r="AO348" i="1"/>
  <c r="AP348" i="1" s="1"/>
  <c r="AQ348" i="1"/>
  <c r="AT348" i="1" s="1"/>
  <c r="AR348" i="1"/>
  <c r="AX349" i="1"/>
  <c r="AJ349" i="1"/>
  <c r="AK349" i="1"/>
  <c r="AL349" i="1" s="1"/>
  <c r="AM349" i="1"/>
  <c r="AN349" i="1"/>
  <c r="AO349" i="1"/>
  <c r="AP349" i="1" s="1"/>
  <c r="AQ349" i="1"/>
  <c r="AT349" i="1" s="1"/>
  <c r="AR349" i="1"/>
  <c r="AJ350" i="1"/>
  <c r="AK350" i="1"/>
  <c r="AL350" i="1" s="1"/>
  <c r="AM350" i="1"/>
  <c r="AN350" i="1"/>
  <c r="AO350" i="1"/>
  <c r="AP350" i="1" s="1"/>
  <c r="AQ350" i="1"/>
  <c r="AT350" i="1" s="1"/>
  <c r="AR350" i="1"/>
  <c r="AJ351" i="1"/>
  <c r="AK351" i="1"/>
  <c r="AL351" i="1" s="1"/>
  <c r="AM351" i="1"/>
  <c r="AN351" i="1"/>
  <c r="AO351" i="1"/>
  <c r="AP351" i="1" s="1"/>
  <c r="AQ351" i="1"/>
  <c r="AT351" i="1" s="1"/>
  <c r="AR351" i="1"/>
  <c r="AW352" i="1"/>
  <c r="AJ352" i="1"/>
  <c r="AK352" i="1"/>
  <c r="AL352" i="1" s="1"/>
  <c r="AM352" i="1"/>
  <c r="AN352" i="1"/>
  <c r="AO352" i="1"/>
  <c r="AP352" i="1" s="1"/>
  <c r="AQ352" i="1"/>
  <c r="AT352" i="1" s="1"/>
  <c r="AR352" i="1"/>
  <c r="AX353" i="1"/>
  <c r="AJ353" i="1"/>
  <c r="AK353" i="1"/>
  <c r="AL353" i="1" s="1"/>
  <c r="AM353" i="1"/>
  <c r="AN353" i="1"/>
  <c r="AO353" i="1"/>
  <c r="AP353" i="1" s="1"/>
  <c r="AQ353" i="1"/>
  <c r="AT353" i="1" s="1"/>
  <c r="AR353" i="1"/>
  <c r="AJ354" i="1"/>
  <c r="AK354" i="1"/>
  <c r="AL354" i="1" s="1"/>
  <c r="AM354" i="1"/>
  <c r="AN354" i="1"/>
  <c r="AO354" i="1"/>
  <c r="AP354" i="1" s="1"/>
  <c r="AQ354" i="1"/>
  <c r="AT354" i="1" s="1"/>
  <c r="AR354" i="1"/>
  <c r="AJ355" i="1"/>
  <c r="AK355" i="1"/>
  <c r="AL355" i="1" s="1"/>
  <c r="AM355" i="1"/>
  <c r="AN355" i="1"/>
  <c r="AO355" i="1"/>
  <c r="AP355" i="1" s="1"/>
  <c r="AQ355" i="1"/>
  <c r="AU355" i="1" s="1"/>
  <c r="AR355" i="1"/>
  <c r="AW356" i="1"/>
  <c r="AJ356" i="1"/>
  <c r="AK356" i="1"/>
  <c r="AL356" i="1" s="1"/>
  <c r="AM356" i="1"/>
  <c r="AN356" i="1"/>
  <c r="AO356" i="1"/>
  <c r="AP356" i="1" s="1"/>
  <c r="AQ356" i="1"/>
  <c r="AU356" i="1" s="1"/>
  <c r="AR356" i="1"/>
  <c r="AX357" i="1"/>
  <c r="AJ357" i="1"/>
  <c r="AK357" i="1"/>
  <c r="AL357" i="1" s="1"/>
  <c r="AM357" i="1"/>
  <c r="AN357" i="1"/>
  <c r="AO357" i="1"/>
  <c r="AP357" i="1" s="1"/>
  <c r="AQ357" i="1"/>
  <c r="AU357" i="1" s="1"/>
  <c r="AR357" i="1"/>
  <c r="AJ358" i="1"/>
  <c r="AK358" i="1"/>
  <c r="AL358" i="1" s="1"/>
  <c r="AM358" i="1"/>
  <c r="AN358" i="1"/>
  <c r="AO358" i="1"/>
  <c r="AP358" i="1" s="1"/>
  <c r="AQ358" i="1"/>
  <c r="AU358" i="1" s="1"/>
  <c r="AR358" i="1"/>
  <c r="AJ359" i="1"/>
  <c r="AK359" i="1"/>
  <c r="AL359" i="1" s="1"/>
  <c r="AM359" i="1"/>
  <c r="AN359" i="1"/>
  <c r="AO359" i="1"/>
  <c r="AP359" i="1" s="1"/>
  <c r="AQ359" i="1"/>
  <c r="AU359" i="1" s="1"/>
  <c r="AR359" i="1"/>
  <c r="AW360" i="1"/>
  <c r="AJ360" i="1"/>
  <c r="AK360" i="1"/>
  <c r="AL360" i="1" s="1"/>
  <c r="AM360" i="1"/>
  <c r="AN360" i="1"/>
  <c r="AO360" i="1"/>
  <c r="AP360" i="1" s="1"/>
  <c r="AQ360" i="1"/>
  <c r="AT360" i="1" s="1"/>
  <c r="AR360" i="1"/>
  <c r="AX361" i="1"/>
  <c r="AJ361" i="1"/>
  <c r="AK361" i="1"/>
  <c r="AL361" i="1" s="1"/>
  <c r="AM361" i="1"/>
  <c r="AN361" i="1"/>
  <c r="AO361" i="1"/>
  <c r="AP361" i="1" s="1"/>
  <c r="AQ361" i="1"/>
  <c r="AU361" i="1" s="1"/>
  <c r="AR361" i="1"/>
  <c r="AJ362" i="1"/>
  <c r="AK362" i="1"/>
  <c r="AL362" i="1" s="1"/>
  <c r="AM362" i="1"/>
  <c r="AN362" i="1"/>
  <c r="AO362" i="1"/>
  <c r="AP362" i="1" s="1"/>
  <c r="AQ362" i="1"/>
  <c r="AU362" i="1" s="1"/>
  <c r="AR362" i="1"/>
  <c r="AJ363" i="1"/>
  <c r="AK363" i="1"/>
  <c r="AL363" i="1" s="1"/>
  <c r="AM363" i="1"/>
  <c r="AN363" i="1"/>
  <c r="AO363" i="1"/>
  <c r="AP363" i="1" s="1"/>
  <c r="AQ363" i="1"/>
  <c r="AU363" i="1" s="1"/>
  <c r="AR363" i="1"/>
  <c r="AW364" i="1"/>
  <c r="AJ364" i="1"/>
  <c r="AK364" i="1"/>
  <c r="AL364" i="1" s="1"/>
  <c r="AM364" i="1"/>
  <c r="AN364" i="1"/>
  <c r="AO364" i="1"/>
  <c r="AP364" i="1" s="1"/>
  <c r="AQ364" i="1"/>
  <c r="AT364" i="1" s="1"/>
  <c r="AR364" i="1"/>
  <c r="AX365" i="1"/>
  <c r="AJ365" i="1"/>
  <c r="AK365" i="1"/>
  <c r="AL365" i="1" s="1"/>
  <c r="AM365" i="1"/>
  <c r="AN365" i="1"/>
  <c r="AO365" i="1"/>
  <c r="AP365" i="1" s="1"/>
  <c r="AQ365" i="1"/>
  <c r="AU365" i="1" s="1"/>
  <c r="AR365" i="1"/>
  <c r="AJ366" i="1"/>
  <c r="AK366" i="1"/>
  <c r="AL366" i="1" s="1"/>
  <c r="AM366" i="1"/>
  <c r="AN366" i="1"/>
  <c r="AO366" i="1"/>
  <c r="AP366" i="1" s="1"/>
  <c r="AQ366" i="1"/>
  <c r="AU366" i="1" s="1"/>
  <c r="AR366" i="1"/>
  <c r="AJ367" i="1"/>
  <c r="AK367" i="1"/>
  <c r="AL367" i="1" s="1"/>
  <c r="AM367" i="1"/>
  <c r="AN367" i="1"/>
  <c r="AO367" i="1"/>
  <c r="AP367" i="1" s="1"/>
  <c r="AQ367" i="1"/>
  <c r="AU367" i="1" s="1"/>
  <c r="AR367" i="1"/>
  <c r="AW368" i="1"/>
  <c r="AJ368" i="1"/>
  <c r="AK368" i="1"/>
  <c r="AL368" i="1" s="1"/>
  <c r="AM368" i="1"/>
  <c r="AN368" i="1"/>
  <c r="AO368" i="1"/>
  <c r="AP368" i="1" s="1"/>
  <c r="AQ368" i="1"/>
  <c r="AT368" i="1" s="1"/>
  <c r="AR368" i="1"/>
  <c r="AX369" i="1"/>
  <c r="AJ369" i="1"/>
  <c r="AK369" i="1"/>
  <c r="AL369" i="1" s="1"/>
  <c r="AM369" i="1"/>
  <c r="AN369" i="1"/>
  <c r="AO369" i="1"/>
  <c r="AP369" i="1" s="1"/>
  <c r="AQ369" i="1"/>
  <c r="AU369" i="1" s="1"/>
  <c r="AR369" i="1"/>
  <c r="AJ370" i="1"/>
  <c r="AK370" i="1"/>
  <c r="AL370" i="1" s="1"/>
  <c r="AM370" i="1"/>
  <c r="AN370" i="1"/>
  <c r="AO370" i="1"/>
  <c r="AP370" i="1" s="1"/>
  <c r="AQ370" i="1"/>
  <c r="AU370" i="1" s="1"/>
  <c r="AR370" i="1"/>
  <c r="AW371" i="1"/>
  <c r="AJ371" i="1"/>
  <c r="AK371" i="1"/>
  <c r="AL371" i="1" s="1"/>
  <c r="AM371" i="1"/>
  <c r="AN371" i="1"/>
  <c r="AO371" i="1"/>
  <c r="AP371" i="1" s="1"/>
  <c r="AQ371" i="1"/>
  <c r="AU371" i="1" s="1"/>
  <c r="AR371" i="1"/>
  <c r="AX372" i="1"/>
  <c r="AJ372" i="1"/>
  <c r="AK372" i="1"/>
  <c r="AL372" i="1" s="1"/>
  <c r="AM372" i="1"/>
  <c r="AN372" i="1"/>
  <c r="AO372" i="1"/>
  <c r="AP372" i="1" s="1"/>
  <c r="AQ372" i="1"/>
  <c r="AT372" i="1" s="1"/>
  <c r="AR372" i="1"/>
  <c r="AW373" i="1"/>
  <c r="AJ373" i="1"/>
  <c r="AK373" i="1"/>
  <c r="AL373" i="1" s="1"/>
  <c r="AM373" i="1"/>
  <c r="AN373" i="1"/>
  <c r="AO373" i="1"/>
  <c r="AP373" i="1" s="1"/>
  <c r="AQ373" i="1"/>
  <c r="AU373" i="1" s="1"/>
  <c r="AR373" i="1"/>
  <c r="AX374" i="1"/>
  <c r="AJ374" i="1"/>
  <c r="AK374" i="1"/>
  <c r="AL374" i="1" s="1"/>
  <c r="AM374" i="1"/>
  <c r="AN374" i="1"/>
  <c r="AO374" i="1"/>
  <c r="AP374" i="1" s="1"/>
  <c r="AQ374" i="1"/>
  <c r="AU374" i="1" s="1"/>
  <c r="AR374" i="1"/>
  <c r="AW375" i="1"/>
  <c r="AJ375" i="1"/>
  <c r="AK375" i="1"/>
  <c r="AL375" i="1" s="1"/>
  <c r="AM375" i="1"/>
  <c r="AN375" i="1"/>
  <c r="AO375" i="1"/>
  <c r="AP375" i="1" s="1"/>
  <c r="AQ375" i="1"/>
  <c r="AU375" i="1" s="1"/>
  <c r="AR375" i="1"/>
  <c r="AX376" i="1"/>
  <c r="AJ376" i="1"/>
  <c r="AK376" i="1"/>
  <c r="AL376" i="1" s="1"/>
  <c r="AM376" i="1"/>
  <c r="AN376" i="1"/>
  <c r="AO376" i="1"/>
  <c r="AP376" i="1" s="1"/>
  <c r="AQ376" i="1"/>
  <c r="AU376" i="1" s="1"/>
  <c r="AR376" i="1"/>
  <c r="AW377" i="1"/>
  <c r="AJ377" i="1"/>
  <c r="AK377" i="1"/>
  <c r="AL377" i="1" s="1"/>
  <c r="AM377" i="1"/>
  <c r="AN377" i="1"/>
  <c r="AO377" i="1"/>
  <c r="AP377" i="1" s="1"/>
  <c r="AQ377" i="1"/>
  <c r="AU377" i="1" s="1"/>
  <c r="AR377" i="1"/>
  <c r="AX378" i="1"/>
  <c r="AJ378" i="1"/>
  <c r="AK378" i="1"/>
  <c r="AL378" i="1" s="1"/>
  <c r="AM378" i="1"/>
  <c r="AN378" i="1"/>
  <c r="AO378" i="1"/>
  <c r="AP378" i="1" s="1"/>
  <c r="AQ378" i="1"/>
  <c r="AT378" i="1" s="1"/>
  <c r="AR378" i="1"/>
  <c r="AW379" i="1"/>
  <c r="AJ379" i="1"/>
  <c r="AK379" i="1"/>
  <c r="AL379" i="1" s="1"/>
  <c r="AM379" i="1"/>
  <c r="AN379" i="1"/>
  <c r="AO379" i="1"/>
  <c r="AP379" i="1" s="1"/>
  <c r="AQ379" i="1"/>
  <c r="AU379" i="1" s="1"/>
  <c r="AR379" i="1"/>
  <c r="AX380" i="1"/>
  <c r="AJ380" i="1"/>
  <c r="AK380" i="1"/>
  <c r="AL380" i="1" s="1"/>
  <c r="AM380" i="1"/>
  <c r="AN380" i="1"/>
  <c r="AO380" i="1"/>
  <c r="AP380" i="1" s="1"/>
  <c r="AQ380" i="1"/>
  <c r="AU380" i="1" s="1"/>
  <c r="AR380" i="1"/>
  <c r="AW381" i="1"/>
  <c r="AJ381" i="1"/>
  <c r="AK381" i="1"/>
  <c r="AL381" i="1" s="1"/>
  <c r="AM381" i="1"/>
  <c r="AN381" i="1"/>
  <c r="AO381" i="1"/>
  <c r="AP381" i="1" s="1"/>
  <c r="AQ381" i="1"/>
  <c r="AU381" i="1" s="1"/>
  <c r="AR381" i="1"/>
  <c r="AX382" i="1"/>
  <c r="AJ382" i="1"/>
  <c r="AK382" i="1"/>
  <c r="AL382" i="1" s="1"/>
  <c r="AM382" i="1"/>
  <c r="AN382" i="1"/>
  <c r="AO382" i="1"/>
  <c r="AP382" i="1" s="1"/>
  <c r="AQ382" i="1"/>
  <c r="AT382" i="1" s="1"/>
  <c r="AR382" i="1"/>
  <c r="AW383" i="1"/>
  <c r="AJ383" i="1"/>
  <c r="AK383" i="1"/>
  <c r="AL383" i="1" s="1"/>
  <c r="AM383" i="1"/>
  <c r="AN383" i="1"/>
  <c r="AO383" i="1"/>
  <c r="AP383" i="1" s="1"/>
  <c r="AQ383" i="1"/>
  <c r="AU383" i="1" s="1"/>
  <c r="AR383" i="1"/>
  <c r="AX384" i="1"/>
  <c r="AJ384" i="1"/>
  <c r="AK384" i="1"/>
  <c r="AL384" i="1" s="1"/>
  <c r="AM384" i="1"/>
  <c r="AN384" i="1"/>
  <c r="AO384" i="1"/>
  <c r="AP384" i="1" s="1"/>
  <c r="AQ384" i="1"/>
  <c r="AU384" i="1" s="1"/>
  <c r="AR384" i="1"/>
  <c r="AW385" i="1"/>
  <c r="AJ385" i="1"/>
  <c r="AK385" i="1"/>
  <c r="AL385" i="1" s="1"/>
  <c r="AM385" i="1"/>
  <c r="AN385" i="1"/>
  <c r="AO385" i="1"/>
  <c r="AP385" i="1" s="1"/>
  <c r="AQ385" i="1"/>
  <c r="AU385" i="1" s="1"/>
  <c r="AR385" i="1"/>
  <c r="AX386" i="1"/>
  <c r="AJ386" i="1"/>
  <c r="AK386" i="1"/>
  <c r="AL386" i="1" s="1"/>
  <c r="AM386" i="1"/>
  <c r="AN386" i="1"/>
  <c r="AO386" i="1"/>
  <c r="AP386" i="1" s="1"/>
  <c r="AQ386" i="1"/>
  <c r="AT386" i="1" s="1"/>
  <c r="AR386" i="1"/>
  <c r="AW387" i="1"/>
  <c r="AJ387" i="1"/>
  <c r="AK387" i="1"/>
  <c r="AL387" i="1" s="1"/>
  <c r="AM387" i="1"/>
  <c r="AN387" i="1"/>
  <c r="AO387" i="1"/>
  <c r="AP387" i="1" s="1"/>
  <c r="AQ387" i="1"/>
  <c r="AU387" i="1" s="1"/>
  <c r="AR387" i="1"/>
  <c r="AX388" i="1"/>
  <c r="AJ388" i="1"/>
  <c r="AK388" i="1"/>
  <c r="AL388" i="1" s="1"/>
  <c r="AM388" i="1"/>
  <c r="AN388" i="1"/>
  <c r="AO388" i="1"/>
  <c r="AP388" i="1" s="1"/>
  <c r="AQ388" i="1"/>
  <c r="AU388" i="1" s="1"/>
  <c r="AR388" i="1"/>
  <c r="AW389" i="1"/>
  <c r="AJ389" i="1"/>
  <c r="AK389" i="1"/>
  <c r="AL389" i="1" s="1"/>
  <c r="AM389" i="1"/>
  <c r="AN389" i="1"/>
  <c r="AO389" i="1"/>
  <c r="AP389" i="1" s="1"/>
  <c r="AQ389" i="1"/>
  <c r="AU389" i="1" s="1"/>
  <c r="AR389" i="1"/>
  <c r="AJ390" i="1"/>
  <c r="AK390" i="1"/>
  <c r="AL390" i="1" s="1"/>
  <c r="AM390" i="1"/>
  <c r="AN390" i="1"/>
  <c r="AO390" i="1"/>
  <c r="AP390" i="1" s="1"/>
  <c r="AQ390" i="1"/>
  <c r="AT390" i="1" s="1"/>
  <c r="AR390" i="1"/>
  <c r="AW391" i="1"/>
  <c r="AJ391" i="1"/>
  <c r="AK391" i="1"/>
  <c r="AL391" i="1" s="1"/>
  <c r="AM391" i="1"/>
  <c r="AN391" i="1"/>
  <c r="AO391" i="1"/>
  <c r="AP391" i="1" s="1"/>
  <c r="AQ391" i="1"/>
  <c r="AU391" i="1" s="1"/>
  <c r="AR391" i="1"/>
  <c r="AX392" i="1"/>
  <c r="AJ392" i="1"/>
  <c r="AK392" i="1"/>
  <c r="AL392" i="1" s="1"/>
  <c r="AM392" i="1"/>
  <c r="AN392" i="1"/>
  <c r="AO392" i="1"/>
  <c r="AP392" i="1" s="1"/>
  <c r="AQ392" i="1"/>
  <c r="AU392" i="1" s="1"/>
  <c r="AR392" i="1"/>
  <c r="AW393" i="1"/>
  <c r="AJ393" i="1"/>
  <c r="AK393" i="1"/>
  <c r="AL393" i="1" s="1"/>
  <c r="AM393" i="1"/>
  <c r="AN393" i="1"/>
  <c r="AO393" i="1"/>
  <c r="AP393" i="1" s="1"/>
  <c r="AQ393" i="1"/>
  <c r="AU393" i="1" s="1"/>
  <c r="AR393" i="1"/>
  <c r="AX394" i="1"/>
  <c r="AJ394" i="1"/>
  <c r="AK394" i="1"/>
  <c r="AL394" i="1" s="1"/>
  <c r="AM394" i="1"/>
  <c r="AN394" i="1"/>
  <c r="AO394" i="1"/>
  <c r="AP394" i="1" s="1"/>
  <c r="AQ394" i="1"/>
  <c r="AT394" i="1" s="1"/>
  <c r="AR394" i="1"/>
  <c r="AW395" i="1"/>
  <c r="AJ395" i="1"/>
  <c r="AK395" i="1"/>
  <c r="AL395" i="1" s="1"/>
  <c r="AM395" i="1"/>
  <c r="AN395" i="1"/>
  <c r="AO395" i="1"/>
  <c r="AP395" i="1" s="1"/>
  <c r="AQ395" i="1"/>
  <c r="AU395" i="1" s="1"/>
  <c r="AR395" i="1"/>
  <c r="AX396" i="1"/>
  <c r="AJ396" i="1"/>
  <c r="AK396" i="1"/>
  <c r="AL396" i="1" s="1"/>
  <c r="AM396" i="1"/>
  <c r="AN396" i="1"/>
  <c r="AO396" i="1"/>
  <c r="AP396" i="1" s="1"/>
  <c r="AQ396" i="1"/>
  <c r="AU396" i="1" s="1"/>
  <c r="AR396" i="1"/>
  <c r="AW397" i="1"/>
  <c r="AJ397" i="1"/>
  <c r="AK397" i="1"/>
  <c r="AL397" i="1" s="1"/>
  <c r="AM397" i="1"/>
  <c r="AN397" i="1"/>
  <c r="AO397" i="1"/>
  <c r="AP397" i="1" s="1"/>
  <c r="AQ397" i="1"/>
  <c r="AU397" i="1" s="1"/>
  <c r="AR397" i="1"/>
  <c r="AX398" i="1"/>
  <c r="AJ398" i="1"/>
  <c r="AK398" i="1"/>
  <c r="AL398" i="1" s="1"/>
  <c r="AM398" i="1"/>
  <c r="AN398" i="1"/>
  <c r="AO398" i="1"/>
  <c r="AP398" i="1" s="1"/>
  <c r="AQ398" i="1"/>
  <c r="AT398" i="1" s="1"/>
  <c r="AR398" i="1"/>
  <c r="AW399" i="1"/>
  <c r="AJ399" i="1"/>
  <c r="AK399" i="1"/>
  <c r="AL399" i="1" s="1"/>
  <c r="AM399" i="1"/>
  <c r="AN399" i="1"/>
  <c r="AO399" i="1"/>
  <c r="AP399" i="1" s="1"/>
  <c r="AQ399" i="1"/>
  <c r="AU399" i="1" s="1"/>
  <c r="AR399" i="1"/>
  <c r="AX400" i="1"/>
  <c r="AJ400" i="1"/>
  <c r="AK400" i="1"/>
  <c r="AL400" i="1" s="1"/>
  <c r="AM400" i="1"/>
  <c r="AN400" i="1"/>
  <c r="AO400" i="1"/>
  <c r="AP400" i="1" s="1"/>
  <c r="AQ400" i="1"/>
  <c r="AU400" i="1" s="1"/>
  <c r="AR400" i="1"/>
  <c r="AW401" i="1"/>
  <c r="AD401" i="1"/>
  <c r="AJ401" i="1"/>
  <c r="AK401" i="1"/>
  <c r="AL401" i="1" s="1"/>
  <c r="AM401" i="1"/>
  <c r="AN401" i="1"/>
  <c r="AO401" i="1"/>
  <c r="AP401" i="1" s="1"/>
  <c r="AQ401" i="1"/>
  <c r="AU401" i="1" s="1"/>
  <c r="AR401" i="1"/>
  <c r="AX402" i="1"/>
  <c r="AD402" i="1"/>
  <c r="AJ402" i="1"/>
  <c r="AK402" i="1"/>
  <c r="AL402" i="1" s="1"/>
  <c r="AM402" i="1"/>
  <c r="AN402" i="1"/>
  <c r="AO402" i="1"/>
  <c r="AP402" i="1" s="1"/>
  <c r="AQ402" i="1"/>
  <c r="AT402" i="1" s="1"/>
  <c r="AR402" i="1"/>
  <c r="AW403" i="1"/>
  <c r="AD403" i="1"/>
  <c r="AJ403" i="1"/>
  <c r="AK403" i="1"/>
  <c r="AL403" i="1" s="1"/>
  <c r="AM403" i="1"/>
  <c r="AN403" i="1"/>
  <c r="AO403" i="1"/>
  <c r="AP403" i="1" s="1"/>
  <c r="AQ403" i="1"/>
  <c r="AU403" i="1" s="1"/>
  <c r="AR403" i="1"/>
  <c r="AX404" i="1"/>
  <c r="AD404" i="1"/>
  <c r="AJ404" i="1"/>
  <c r="AK404" i="1"/>
  <c r="AL404" i="1" s="1"/>
  <c r="AM404" i="1"/>
  <c r="AN404" i="1"/>
  <c r="AO404" i="1"/>
  <c r="AP404" i="1" s="1"/>
  <c r="AQ404" i="1"/>
  <c r="AU404" i="1" s="1"/>
  <c r="AR404" i="1"/>
  <c r="AW405" i="1"/>
  <c r="AD405" i="1"/>
  <c r="AJ405" i="1"/>
  <c r="AK405" i="1"/>
  <c r="AL405" i="1" s="1"/>
  <c r="AM405" i="1"/>
  <c r="AN405" i="1"/>
  <c r="AO405" i="1"/>
  <c r="AP405" i="1" s="1"/>
  <c r="AQ405" i="1"/>
  <c r="AU405" i="1" s="1"/>
  <c r="AR405" i="1"/>
  <c r="AX406" i="1"/>
  <c r="AD406" i="1"/>
  <c r="AJ406" i="1"/>
  <c r="AK406" i="1"/>
  <c r="AL406" i="1" s="1"/>
  <c r="AM406" i="1"/>
  <c r="AN406" i="1"/>
  <c r="AO406" i="1"/>
  <c r="AP406" i="1" s="1"/>
  <c r="AQ406" i="1"/>
  <c r="AU406" i="1" s="1"/>
  <c r="AR406" i="1"/>
  <c r="AW407" i="1"/>
  <c r="AD407" i="1"/>
  <c r="AJ407" i="1"/>
  <c r="AK407" i="1"/>
  <c r="AL407" i="1" s="1"/>
  <c r="AM407" i="1"/>
  <c r="AN407" i="1"/>
  <c r="AO407" i="1"/>
  <c r="AP407" i="1" s="1"/>
  <c r="AQ407" i="1"/>
  <c r="AU407" i="1" s="1"/>
  <c r="AR407" i="1"/>
  <c r="AX408" i="1"/>
  <c r="AD408" i="1"/>
  <c r="AJ408" i="1"/>
  <c r="AK408" i="1"/>
  <c r="AL408" i="1" s="1"/>
  <c r="AM408" i="1"/>
  <c r="AN408" i="1"/>
  <c r="AO408" i="1"/>
  <c r="AP408" i="1" s="1"/>
  <c r="AQ408" i="1"/>
  <c r="AT408" i="1" s="1"/>
  <c r="AR408" i="1"/>
  <c r="AW409" i="1"/>
  <c r="AD409" i="1"/>
  <c r="AJ409" i="1"/>
  <c r="AK409" i="1"/>
  <c r="AL409" i="1" s="1"/>
  <c r="AM409" i="1"/>
  <c r="AN409" i="1"/>
  <c r="AO409" i="1"/>
  <c r="AP409" i="1" s="1"/>
  <c r="AQ409" i="1"/>
  <c r="AU409" i="1" s="1"/>
  <c r="AR409" i="1"/>
  <c r="AX410" i="1"/>
  <c r="AD410" i="1"/>
  <c r="AJ410" i="1"/>
  <c r="AK410" i="1"/>
  <c r="AL410" i="1" s="1"/>
  <c r="AM410" i="1"/>
  <c r="AN410" i="1"/>
  <c r="AO410" i="1"/>
  <c r="AP410" i="1" s="1"/>
  <c r="AQ410" i="1"/>
  <c r="AU410" i="1" s="1"/>
  <c r="AR410" i="1"/>
  <c r="AW411" i="1"/>
  <c r="AD411" i="1"/>
  <c r="AJ411" i="1"/>
  <c r="AK411" i="1"/>
  <c r="AL411" i="1" s="1"/>
  <c r="AM411" i="1"/>
  <c r="AN411" i="1"/>
  <c r="AO411" i="1"/>
  <c r="AP411" i="1" s="1"/>
  <c r="AQ411" i="1"/>
  <c r="AU411" i="1" s="1"/>
  <c r="AR411" i="1"/>
  <c r="AX412" i="1"/>
  <c r="AD412" i="1"/>
  <c r="AJ412" i="1"/>
  <c r="AK412" i="1"/>
  <c r="AL412" i="1" s="1"/>
  <c r="AM412" i="1"/>
  <c r="AN412" i="1"/>
  <c r="AO412" i="1"/>
  <c r="AP412" i="1" s="1"/>
  <c r="AQ412" i="1"/>
  <c r="AT412" i="1" s="1"/>
  <c r="AR412" i="1"/>
  <c r="AW413" i="1"/>
  <c r="AD413" i="1"/>
  <c r="AJ413" i="1"/>
  <c r="AK413" i="1"/>
  <c r="AL413" i="1" s="1"/>
  <c r="AM413" i="1"/>
  <c r="AN413" i="1"/>
  <c r="AO413" i="1"/>
  <c r="AP413" i="1" s="1"/>
  <c r="AQ413" i="1"/>
  <c r="AU413" i="1" s="1"/>
  <c r="AR413" i="1"/>
  <c r="AX414" i="1"/>
  <c r="AD414" i="1"/>
  <c r="AJ414" i="1"/>
  <c r="AK414" i="1"/>
  <c r="AL414" i="1" s="1"/>
  <c r="AM414" i="1"/>
  <c r="AN414" i="1"/>
  <c r="AO414" i="1"/>
  <c r="AP414" i="1" s="1"/>
  <c r="AQ414" i="1"/>
  <c r="AU414" i="1" s="1"/>
  <c r="AR414" i="1"/>
  <c r="AW415" i="1"/>
  <c r="AD415" i="1"/>
  <c r="AJ415" i="1"/>
  <c r="AK415" i="1"/>
  <c r="AL415" i="1" s="1"/>
  <c r="AM415" i="1"/>
  <c r="AN415" i="1"/>
  <c r="AO415" i="1"/>
  <c r="AP415" i="1" s="1"/>
  <c r="AQ415" i="1"/>
  <c r="AU415" i="1" s="1"/>
  <c r="AR415" i="1"/>
  <c r="AX416" i="1"/>
  <c r="AD416" i="1"/>
  <c r="AJ416" i="1"/>
  <c r="AK416" i="1"/>
  <c r="AL416" i="1" s="1"/>
  <c r="AM416" i="1"/>
  <c r="AN416" i="1"/>
  <c r="AO416" i="1"/>
  <c r="AP416" i="1" s="1"/>
  <c r="AQ416" i="1"/>
  <c r="AT416" i="1" s="1"/>
  <c r="AR416" i="1"/>
  <c r="AW417" i="1"/>
  <c r="AD417" i="1"/>
  <c r="AJ417" i="1"/>
  <c r="AK417" i="1"/>
  <c r="AL417" i="1" s="1"/>
  <c r="AM417" i="1"/>
  <c r="AN417" i="1"/>
  <c r="AO417" i="1"/>
  <c r="AP417" i="1" s="1"/>
  <c r="AQ417" i="1"/>
  <c r="AU417" i="1" s="1"/>
  <c r="AR417" i="1"/>
  <c r="AX418" i="1"/>
  <c r="AD418" i="1"/>
  <c r="AJ418" i="1"/>
  <c r="AK418" i="1"/>
  <c r="AL418" i="1" s="1"/>
  <c r="AM418" i="1"/>
  <c r="AN418" i="1"/>
  <c r="AO418" i="1"/>
  <c r="AP418" i="1" s="1"/>
  <c r="AQ418" i="1"/>
  <c r="AU418" i="1" s="1"/>
  <c r="AR418" i="1"/>
  <c r="AW419" i="1"/>
  <c r="AD419" i="1"/>
  <c r="AJ419" i="1"/>
  <c r="AK419" i="1"/>
  <c r="AL419" i="1" s="1"/>
  <c r="AM419" i="1"/>
  <c r="AN419" i="1"/>
  <c r="AO419" i="1"/>
  <c r="AP419" i="1" s="1"/>
  <c r="AQ419" i="1"/>
  <c r="AU419" i="1" s="1"/>
  <c r="AR419" i="1"/>
  <c r="AX420" i="1"/>
  <c r="AD420" i="1"/>
  <c r="AJ420" i="1"/>
  <c r="AK420" i="1"/>
  <c r="AL420" i="1" s="1"/>
  <c r="AM420" i="1"/>
  <c r="AN420" i="1"/>
  <c r="AO420" i="1"/>
  <c r="AP420" i="1" s="1"/>
  <c r="AQ420" i="1"/>
  <c r="AT420" i="1" s="1"/>
  <c r="AR420" i="1"/>
  <c r="AW421" i="1"/>
  <c r="AD421" i="1"/>
  <c r="AJ421" i="1"/>
  <c r="AK421" i="1"/>
  <c r="AL421" i="1" s="1"/>
  <c r="AM421" i="1"/>
  <c r="AN421" i="1"/>
  <c r="AO421" i="1"/>
  <c r="AP421" i="1" s="1"/>
  <c r="AQ421" i="1"/>
  <c r="AU421" i="1" s="1"/>
  <c r="AR421" i="1"/>
  <c r="AD422" i="1"/>
  <c r="AJ422" i="1"/>
  <c r="AK422" i="1"/>
  <c r="AL422" i="1" s="1"/>
  <c r="AM422" i="1"/>
  <c r="AN422" i="1"/>
  <c r="AO422" i="1"/>
  <c r="AP422" i="1" s="1"/>
  <c r="AQ422" i="1"/>
  <c r="AU422" i="1" s="1"/>
  <c r="AR422" i="1"/>
  <c r="AW423" i="1"/>
  <c r="AD423" i="1"/>
  <c r="AJ423" i="1"/>
  <c r="AK423" i="1"/>
  <c r="AL423" i="1" s="1"/>
  <c r="AM423" i="1"/>
  <c r="AN423" i="1"/>
  <c r="AO423" i="1"/>
  <c r="AP423" i="1" s="1"/>
  <c r="AQ423" i="1"/>
  <c r="AU423" i="1" s="1"/>
  <c r="AR423" i="1"/>
  <c r="AX424" i="1"/>
  <c r="AD424" i="1"/>
  <c r="AJ424" i="1"/>
  <c r="AK424" i="1"/>
  <c r="AL424" i="1" s="1"/>
  <c r="AM424" i="1"/>
  <c r="AN424" i="1"/>
  <c r="AO424" i="1"/>
  <c r="AP424" i="1" s="1"/>
  <c r="AQ424" i="1"/>
  <c r="AU424" i="1" s="1"/>
  <c r="AR424" i="1"/>
  <c r="AW425" i="1"/>
  <c r="AD425" i="1"/>
  <c r="AJ425" i="1"/>
  <c r="AK425" i="1"/>
  <c r="AL425" i="1" s="1"/>
  <c r="AM425" i="1"/>
  <c r="AN425" i="1"/>
  <c r="AO425" i="1"/>
  <c r="AP425" i="1" s="1"/>
  <c r="AQ425" i="1"/>
  <c r="AR425" i="1"/>
  <c r="AX426" i="1"/>
  <c r="AD426" i="1"/>
  <c r="AJ426" i="1"/>
  <c r="AK426" i="1"/>
  <c r="AL426" i="1" s="1"/>
  <c r="AM426" i="1"/>
  <c r="AN426" i="1"/>
  <c r="AO426" i="1"/>
  <c r="AP426" i="1" s="1"/>
  <c r="AQ426" i="1"/>
  <c r="AU426" i="1" s="1"/>
  <c r="AR426" i="1"/>
  <c r="AW427" i="1"/>
  <c r="AD427" i="1"/>
  <c r="AJ427" i="1"/>
  <c r="AK427" i="1"/>
  <c r="AL427" i="1" s="1"/>
  <c r="AM427" i="1"/>
  <c r="AN427" i="1"/>
  <c r="AO427" i="1"/>
  <c r="AP427" i="1" s="1"/>
  <c r="AQ427" i="1"/>
  <c r="AU427" i="1" s="1"/>
  <c r="AR427" i="1"/>
  <c r="AX428" i="1"/>
  <c r="AD428" i="1"/>
  <c r="AJ428" i="1"/>
  <c r="AK428" i="1"/>
  <c r="AL428" i="1" s="1"/>
  <c r="AM428" i="1"/>
  <c r="AN428" i="1"/>
  <c r="AO428" i="1"/>
  <c r="AP428" i="1" s="1"/>
  <c r="AQ428" i="1"/>
  <c r="AU428" i="1" s="1"/>
  <c r="AR428" i="1"/>
  <c r="AW429" i="1"/>
  <c r="AD429" i="1"/>
  <c r="AJ429" i="1"/>
  <c r="AK429" i="1"/>
  <c r="AL429" i="1" s="1"/>
  <c r="AM429" i="1"/>
  <c r="AN429" i="1"/>
  <c r="AO429" i="1"/>
  <c r="AP429" i="1" s="1"/>
  <c r="AQ429" i="1"/>
  <c r="AR429" i="1"/>
  <c r="AX430" i="1"/>
  <c r="AD430" i="1"/>
  <c r="AJ430" i="1"/>
  <c r="AK430" i="1"/>
  <c r="AL430" i="1" s="1"/>
  <c r="AM430" i="1"/>
  <c r="AN430" i="1"/>
  <c r="AO430" i="1"/>
  <c r="AP430" i="1" s="1"/>
  <c r="AQ430" i="1"/>
  <c r="AU430" i="1" s="1"/>
  <c r="AR430" i="1"/>
  <c r="AW431" i="1"/>
  <c r="AD431" i="1"/>
  <c r="AJ431" i="1"/>
  <c r="AK431" i="1"/>
  <c r="AL431" i="1" s="1"/>
  <c r="AM431" i="1"/>
  <c r="AN431" i="1"/>
  <c r="AO431" i="1"/>
  <c r="AP431" i="1" s="1"/>
  <c r="AQ431" i="1"/>
  <c r="AU431" i="1" s="1"/>
  <c r="AR431" i="1"/>
  <c r="AX432" i="1"/>
  <c r="AD432" i="1"/>
  <c r="AJ432" i="1"/>
  <c r="AK432" i="1"/>
  <c r="AL432" i="1" s="1"/>
  <c r="AM432" i="1"/>
  <c r="AN432" i="1"/>
  <c r="AO432" i="1"/>
  <c r="AP432" i="1" s="1"/>
  <c r="AQ432" i="1"/>
  <c r="AU432" i="1" s="1"/>
  <c r="AR432" i="1"/>
  <c r="AW433" i="1"/>
  <c r="AD433" i="1"/>
  <c r="AJ433" i="1"/>
  <c r="AK433" i="1"/>
  <c r="AL433" i="1" s="1"/>
  <c r="AM433" i="1"/>
  <c r="AN433" i="1"/>
  <c r="AO433" i="1"/>
  <c r="AP433" i="1" s="1"/>
  <c r="AQ433" i="1"/>
  <c r="AR433" i="1"/>
  <c r="AX434" i="1"/>
  <c r="AD434" i="1"/>
  <c r="AJ434" i="1"/>
  <c r="AK434" i="1"/>
  <c r="AL434" i="1" s="1"/>
  <c r="AM434" i="1"/>
  <c r="AN434" i="1"/>
  <c r="AO434" i="1"/>
  <c r="AP434" i="1" s="1"/>
  <c r="AQ434" i="1"/>
  <c r="AU434" i="1" s="1"/>
  <c r="AR434" i="1"/>
  <c r="AW435" i="1"/>
  <c r="AD435" i="1"/>
  <c r="AJ435" i="1"/>
  <c r="AK435" i="1"/>
  <c r="AL435" i="1" s="1"/>
  <c r="AM435" i="1"/>
  <c r="AN435" i="1"/>
  <c r="AO435" i="1"/>
  <c r="AP435" i="1" s="1"/>
  <c r="AQ435" i="1"/>
  <c r="AU435" i="1" s="1"/>
  <c r="AR435" i="1"/>
  <c r="AX436" i="1"/>
  <c r="AD436" i="1"/>
  <c r="AJ436" i="1"/>
  <c r="AK436" i="1"/>
  <c r="AL436" i="1" s="1"/>
  <c r="AM436" i="1"/>
  <c r="AN436" i="1"/>
  <c r="AO436" i="1"/>
  <c r="AP436" i="1" s="1"/>
  <c r="AQ436" i="1"/>
  <c r="AU436" i="1" s="1"/>
  <c r="AR436" i="1"/>
  <c r="AW437" i="1"/>
  <c r="AD437" i="1"/>
  <c r="AJ437" i="1"/>
  <c r="AK437" i="1"/>
  <c r="AL437" i="1" s="1"/>
  <c r="AM437" i="1"/>
  <c r="AN437" i="1"/>
  <c r="AO437" i="1"/>
  <c r="AP437" i="1" s="1"/>
  <c r="AQ437" i="1"/>
  <c r="AR437" i="1"/>
  <c r="AX438" i="1"/>
  <c r="AD438" i="1"/>
  <c r="AJ438" i="1"/>
  <c r="AK438" i="1"/>
  <c r="AL438" i="1" s="1"/>
  <c r="AM438" i="1"/>
  <c r="AN438" i="1"/>
  <c r="AO438" i="1"/>
  <c r="AP438" i="1" s="1"/>
  <c r="AQ438" i="1"/>
  <c r="AU438" i="1" s="1"/>
  <c r="AR438" i="1"/>
  <c r="AW439" i="1"/>
  <c r="AD439" i="1"/>
  <c r="AJ439" i="1"/>
  <c r="AK439" i="1"/>
  <c r="AL439" i="1" s="1"/>
  <c r="AM439" i="1"/>
  <c r="AN439" i="1"/>
  <c r="AO439" i="1"/>
  <c r="AP439" i="1" s="1"/>
  <c r="AQ439" i="1"/>
  <c r="AU439" i="1" s="1"/>
  <c r="AR439" i="1"/>
  <c r="AX440" i="1"/>
  <c r="AD440" i="1"/>
  <c r="AJ440" i="1"/>
  <c r="AK440" i="1"/>
  <c r="AL440" i="1" s="1"/>
  <c r="AM440" i="1"/>
  <c r="AN440" i="1"/>
  <c r="AO440" i="1"/>
  <c r="AP440" i="1" s="1"/>
  <c r="AQ440" i="1"/>
  <c r="AU440" i="1" s="1"/>
  <c r="AR440" i="1"/>
  <c r="AW441" i="1"/>
  <c r="AD441" i="1"/>
  <c r="AJ441" i="1"/>
  <c r="AK441" i="1"/>
  <c r="AL441" i="1" s="1"/>
  <c r="AM441" i="1"/>
  <c r="AN441" i="1"/>
  <c r="AO441" i="1"/>
  <c r="AP441" i="1" s="1"/>
  <c r="AQ441" i="1"/>
  <c r="AR441" i="1"/>
  <c r="AX442" i="1"/>
  <c r="AD442" i="1"/>
  <c r="AJ442" i="1"/>
  <c r="AK442" i="1"/>
  <c r="AL442" i="1" s="1"/>
  <c r="AM442" i="1"/>
  <c r="AN442" i="1"/>
  <c r="AO442" i="1"/>
  <c r="AP442" i="1" s="1"/>
  <c r="AQ442" i="1"/>
  <c r="AU442" i="1" s="1"/>
  <c r="AR442" i="1"/>
  <c r="AW443" i="1"/>
  <c r="AD443" i="1"/>
  <c r="AJ443" i="1"/>
  <c r="AK443" i="1"/>
  <c r="AL443" i="1" s="1"/>
  <c r="AM443" i="1"/>
  <c r="AN443" i="1"/>
  <c r="AO443" i="1"/>
  <c r="AP443" i="1" s="1"/>
  <c r="AQ443" i="1"/>
  <c r="AU443" i="1" s="1"/>
  <c r="AR443" i="1"/>
  <c r="AX444" i="1"/>
  <c r="AD444" i="1"/>
  <c r="AJ444" i="1"/>
  <c r="AK444" i="1"/>
  <c r="AL444" i="1" s="1"/>
  <c r="AM444" i="1"/>
  <c r="AN444" i="1"/>
  <c r="AO444" i="1"/>
  <c r="AP444" i="1" s="1"/>
  <c r="AQ444" i="1"/>
  <c r="AT444" i="1" s="1"/>
  <c r="AR444" i="1"/>
  <c r="AW445" i="1"/>
  <c r="AD445" i="1"/>
  <c r="AJ445" i="1"/>
  <c r="AK445" i="1"/>
  <c r="AL445" i="1" s="1"/>
  <c r="AM445" i="1"/>
  <c r="AN445" i="1"/>
  <c r="AO445" i="1"/>
  <c r="AP445" i="1" s="1"/>
  <c r="AQ445" i="1"/>
  <c r="AT445" i="1" s="1"/>
  <c r="AR445" i="1"/>
  <c r="AX446" i="1"/>
  <c r="AD446" i="1"/>
  <c r="AJ446" i="1"/>
  <c r="AK446" i="1"/>
  <c r="AL446" i="1" s="1"/>
  <c r="AM446" i="1"/>
  <c r="AN446" i="1"/>
  <c r="AO446" i="1"/>
  <c r="AP446" i="1" s="1"/>
  <c r="AQ446" i="1"/>
  <c r="AT446" i="1" s="1"/>
  <c r="AR446" i="1"/>
  <c r="AW447" i="1"/>
  <c r="AD447" i="1"/>
  <c r="AJ447" i="1"/>
  <c r="AK447" i="1"/>
  <c r="AL447" i="1" s="1"/>
  <c r="AM447" i="1"/>
  <c r="AN447" i="1"/>
  <c r="AO447" i="1"/>
  <c r="AP447" i="1" s="1"/>
  <c r="AQ447" i="1"/>
  <c r="AU447" i="1" s="1"/>
  <c r="AR447" i="1"/>
  <c r="AX448" i="1"/>
  <c r="AD448" i="1"/>
  <c r="AJ448" i="1"/>
  <c r="AK448" i="1"/>
  <c r="AL448" i="1" s="1"/>
  <c r="AM448" i="1"/>
  <c r="AN448" i="1"/>
  <c r="AO448" i="1"/>
  <c r="AP448" i="1" s="1"/>
  <c r="AQ448" i="1"/>
  <c r="AT448" i="1" s="1"/>
  <c r="AR448" i="1"/>
  <c r="AW449" i="1"/>
  <c r="AD449" i="1"/>
  <c r="AJ449" i="1"/>
  <c r="AK449" i="1"/>
  <c r="AL449" i="1" s="1"/>
  <c r="AM449" i="1"/>
  <c r="AN449" i="1"/>
  <c r="AO449" i="1"/>
  <c r="AP449" i="1" s="1"/>
  <c r="AQ449" i="1"/>
  <c r="AT449" i="1" s="1"/>
  <c r="AR449" i="1"/>
  <c r="AX450" i="1"/>
  <c r="AD450" i="1"/>
  <c r="AJ450" i="1"/>
  <c r="AK450" i="1"/>
  <c r="AL450" i="1" s="1"/>
  <c r="AM450" i="1"/>
  <c r="AN450" i="1"/>
  <c r="AO450" i="1"/>
  <c r="AP450" i="1" s="1"/>
  <c r="AQ450" i="1"/>
  <c r="AT450" i="1" s="1"/>
  <c r="AR450" i="1"/>
  <c r="AW451" i="1"/>
  <c r="AD451" i="1"/>
  <c r="AJ451" i="1"/>
  <c r="AK451" i="1"/>
  <c r="AL451" i="1" s="1"/>
  <c r="AM451" i="1"/>
  <c r="AN451" i="1"/>
  <c r="AO451" i="1"/>
  <c r="AP451" i="1" s="1"/>
  <c r="AQ451" i="1"/>
  <c r="AU451" i="1" s="1"/>
  <c r="AR451" i="1"/>
  <c r="AX452" i="1"/>
  <c r="AD452" i="1"/>
  <c r="AJ452" i="1"/>
  <c r="AK452" i="1"/>
  <c r="AL452" i="1" s="1"/>
  <c r="AM452" i="1"/>
  <c r="AN452" i="1"/>
  <c r="AO452" i="1"/>
  <c r="AP452" i="1" s="1"/>
  <c r="AQ452" i="1"/>
  <c r="AT452" i="1" s="1"/>
  <c r="AR452" i="1"/>
  <c r="AW453" i="1"/>
  <c r="AD453" i="1"/>
  <c r="AJ453" i="1"/>
  <c r="AK453" i="1"/>
  <c r="AL453" i="1" s="1"/>
  <c r="AM453" i="1"/>
  <c r="AN453" i="1"/>
  <c r="AO453" i="1"/>
  <c r="AP453" i="1" s="1"/>
  <c r="AQ453" i="1"/>
  <c r="AT453" i="1" s="1"/>
  <c r="AR453" i="1"/>
  <c r="AX454" i="1"/>
  <c r="AD454" i="1"/>
  <c r="AJ454" i="1"/>
  <c r="AK454" i="1"/>
  <c r="AL454" i="1" s="1"/>
  <c r="AM454" i="1"/>
  <c r="AN454" i="1"/>
  <c r="AO454" i="1"/>
  <c r="AP454" i="1" s="1"/>
  <c r="AQ454" i="1"/>
  <c r="AT454" i="1" s="1"/>
  <c r="AR454" i="1"/>
  <c r="AW455" i="1"/>
  <c r="AD455" i="1"/>
  <c r="AJ455" i="1"/>
  <c r="AK455" i="1"/>
  <c r="AL455" i="1" s="1"/>
  <c r="AM455" i="1"/>
  <c r="AN455" i="1"/>
  <c r="AO455" i="1"/>
  <c r="AP455" i="1" s="1"/>
  <c r="AQ455" i="1"/>
  <c r="AU455" i="1" s="1"/>
  <c r="AR455" i="1"/>
  <c r="AX456" i="1"/>
  <c r="AD456" i="1"/>
  <c r="AJ456" i="1"/>
  <c r="AK456" i="1"/>
  <c r="AL456" i="1" s="1"/>
  <c r="AM456" i="1"/>
  <c r="AN456" i="1"/>
  <c r="AO456" i="1"/>
  <c r="AP456" i="1" s="1"/>
  <c r="AQ456" i="1"/>
  <c r="AT456" i="1" s="1"/>
  <c r="AR456" i="1"/>
  <c r="AW457" i="1"/>
  <c r="AD457" i="1"/>
  <c r="AJ457" i="1"/>
  <c r="AK457" i="1"/>
  <c r="AL457" i="1" s="1"/>
  <c r="AM457" i="1"/>
  <c r="AN457" i="1"/>
  <c r="AO457" i="1"/>
  <c r="AP457" i="1" s="1"/>
  <c r="AQ457" i="1"/>
  <c r="AT457" i="1" s="1"/>
  <c r="AR457" i="1"/>
  <c r="AW458" i="1"/>
  <c r="AD458" i="1"/>
  <c r="AJ458" i="1"/>
  <c r="AK458" i="1"/>
  <c r="AL458" i="1" s="1"/>
  <c r="AM458" i="1"/>
  <c r="AN458" i="1"/>
  <c r="AO458" i="1"/>
  <c r="AP458" i="1" s="1"/>
  <c r="AQ458" i="1"/>
  <c r="AT458" i="1" s="1"/>
  <c r="AR458" i="1"/>
  <c r="AX459" i="1"/>
  <c r="AD459" i="1"/>
  <c r="AJ459" i="1"/>
  <c r="AK459" i="1"/>
  <c r="AL459" i="1" s="1"/>
  <c r="AM459" i="1"/>
  <c r="AN459" i="1"/>
  <c r="AO459" i="1"/>
  <c r="AP459" i="1" s="1"/>
  <c r="AQ459" i="1"/>
  <c r="AU459" i="1" s="1"/>
  <c r="AR459" i="1"/>
  <c r="AW460" i="1"/>
  <c r="AD460" i="1"/>
  <c r="AJ460" i="1"/>
  <c r="AK460" i="1"/>
  <c r="AL460" i="1" s="1"/>
  <c r="AM460" i="1"/>
  <c r="AN460" i="1"/>
  <c r="AO460" i="1"/>
  <c r="AP460" i="1" s="1"/>
  <c r="AQ460" i="1"/>
  <c r="AT460" i="1" s="1"/>
  <c r="AR460" i="1"/>
  <c r="AW461" i="1"/>
  <c r="AD461" i="1"/>
  <c r="AJ461" i="1"/>
  <c r="AK461" i="1"/>
  <c r="AL461" i="1" s="1"/>
  <c r="AM461" i="1"/>
  <c r="AN461" i="1"/>
  <c r="AO461" i="1"/>
  <c r="AP461" i="1" s="1"/>
  <c r="AQ461" i="1"/>
  <c r="AT461" i="1" s="1"/>
  <c r="AR461" i="1"/>
  <c r="AW462" i="1"/>
  <c r="AD462" i="1"/>
  <c r="AJ462" i="1"/>
  <c r="AK462" i="1"/>
  <c r="AL462" i="1" s="1"/>
  <c r="AM462" i="1"/>
  <c r="AN462" i="1"/>
  <c r="AO462" i="1"/>
  <c r="AP462" i="1" s="1"/>
  <c r="AQ462" i="1"/>
  <c r="AT462" i="1" s="1"/>
  <c r="AR462" i="1"/>
  <c r="AW463" i="1"/>
  <c r="AD463" i="1"/>
  <c r="AJ463" i="1"/>
  <c r="AK463" i="1"/>
  <c r="AL463" i="1" s="1"/>
  <c r="AM463" i="1"/>
  <c r="AN463" i="1"/>
  <c r="AO463" i="1"/>
  <c r="AP463" i="1" s="1"/>
  <c r="AQ463" i="1"/>
  <c r="AU463" i="1" s="1"/>
  <c r="AR463" i="1"/>
  <c r="AW464" i="1"/>
  <c r="AD464" i="1"/>
  <c r="AJ464" i="1"/>
  <c r="AK464" i="1"/>
  <c r="AL464" i="1" s="1"/>
  <c r="AM464" i="1"/>
  <c r="AN464" i="1"/>
  <c r="AO464" i="1"/>
  <c r="AP464" i="1" s="1"/>
  <c r="AQ464" i="1"/>
  <c r="AT464" i="1" s="1"/>
  <c r="AR464" i="1"/>
  <c r="AX465" i="1"/>
  <c r="AD465" i="1"/>
  <c r="AJ465" i="1"/>
  <c r="AK465" i="1"/>
  <c r="AL465" i="1" s="1"/>
  <c r="AM465" i="1"/>
  <c r="AN465" i="1"/>
  <c r="AO465" i="1"/>
  <c r="AP465" i="1" s="1"/>
  <c r="AQ465" i="1"/>
  <c r="AT465" i="1" s="1"/>
  <c r="AR465" i="1"/>
  <c r="AW466" i="1"/>
  <c r="AD466" i="1"/>
  <c r="AJ466" i="1"/>
  <c r="AK466" i="1"/>
  <c r="AL466" i="1" s="1"/>
  <c r="AM466" i="1"/>
  <c r="AN466" i="1"/>
  <c r="AO466" i="1"/>
  <c r="AP466" i="1" s="1"/>
  <c r="AQ466" i="1"/>
  <c r="AT466" i="1" s="1"/>
  <c r="AR466" i="1"/>
  <c r="AW467" i="1"/>
  <c r="AD467" i="1"/>
  <c r="AJ467" i="1"/>
  <c r="AK467" i="1"/>
  <c r="AL467" i="1" s="1"/>
  <c r="AM467" i="1"/>
  <c r="AN467" i="1"/>
  <c r="AO467" i="1"/>
  <c r="AP467" i="1" s="1"/>
  <c r="AQ467" i="1"/>
  <c r="AU467" i="1" s="1"/>
  <c r="AR467" i="1"/>
  <c r="AW468" i="1"/>
  <c r="AD468" i="1"/>
  <c r="AJ468" i="1"/>
  <c r="AK468" i="1"/>
  <c r="AL468" i="1" s="1"/>
  <c r="AM468" i="1"/>
  <c r="AN468" i="1"/>
  <c r="AO468" i="1"/>
  <c r="AP468" i="1" s="1"/>
  <c r="AQ468" i="1"/>
  <c r="AT468" i="1" s="1"/>
  <c r="AR468" i="1"/>
  <c r="AX469" i="1"/>
  <c r="AD469" i="1"/>
  <c r="AJ469" i="1"/>
  <c r="AK469" i="1"/>
  <c r="AL469" i="1" s="1"/>
  <c r="AM469" i="1"/>
  <c r="AN469" i="1"/>
  <c r="AO469" i="1"/>
  <c r="AP469" i="1" s="1"/>
  <c r="AQ469" i="1"/>
  <c r="AT469" i="1" s="1"/>
  <c r="AR469" i="1"/>
  <c r="AW470" i="1"/>
  <c r="AD470" i="1"/>
  <c r="AJ470" i="1"/>
  <c r="AK470" i="1"/>
  <c r="AL470" i="1" s="1"/>
  <c r="AM470" i="1"/>
  <c r="AN470" i="1"/>
  <c r="AO470" i="1"/>
  <c r="AP470" i="1" s="1"/>
  <c r="AQ470" i="1"/>
  <c r="AT470" i="1" s="1"/>
  <c r="AR470" i="1"/>
  <c r="AW471" i="1"/>
  <c r="AD471" i="1"/>
  <c r="AJ471" i="1"/>
  <c r="AK471" i="1"/>
  <c r="AL471" i="1" s="1"/>
  <c r="AM471" i="1"/>
  <c r="AN471" i="1"/>
  <c r="AO471" i="1"/>
  <c r="AP471" i="1" s="1"/>
  <c r="AQ471" i="1"/>
  <c r="AT471" i="1" s="1"/>
  <c r="AR471" i="1"/>
  <c r="AW472" i="1"/>
  <c r="AD472" i="1"/>
  <c r="AJ472" i="1"/>
  <c r="AK472" i="1"/>
  <c r="AL472" i="1" s="1"/>
  <c r="AM472" i="1"/>
  <c r="AN472" i="1"/>
  <c r="AO472" i="1"/>
  <c r="AP472" i="1" s="1"/>
  <c r="AQ472" i="1"/>
  <c r="AT472" i="1" s="1"/>
  <c r="AR472" i="1"/>
  <c r="AW473" i="1"/>
  <c r="AD473" i="1"/>
  <c r="AJ473" i="1"/>
  <c r="AK473" i="1"/>
  <c r="AL473" i="1" s="1"/>
  <c r="AM473" i="1"/>
  <c r="AN473" i="1"/>
  <c r="AO473" i="1"/>
  <c r="AP473" i="1" s="1"/>
  <c r="AQ473" i="1"/>
  <c r="AT473" i="1" s="1"/>
  <c r="AR473" i="1"/>
  <c r="AW474" i="1"/>
  <c r="AD474" i="1"/>
  <c r="AJ474" i="1"/>
  <c r="AK474" i="1"/>
  <c r="AL474" i="1" s="1"/>
  <c r="AM474" i="1"/>
  <c r="AN474" i="1"/>
  <c r="AO474" i="1"/>
  <c r="AP474" i="1" s="1"/>
  <c r="AQ474" i="1"/>
  <c r="AU474" i="1" s="1"/>
  <c r="AR474" i="1"/>
  <c r="AX475" i="1"/>
  <c r="AD475" i="1"/>
  <c r="AJ475" i="1"/>
  <c r="AK475" i="1"/>
  <c r="AL475" i="1" s="1"/>
  <c r="AM475" i="1"/>
  <c r="AN475" i="1"/>
  <c r="AO475" i="1"/>
  <c r="AP475" i="1" s="1"/>
  <c r="AQ475" i="1"/>
  <c r="AT475" i="1" s="1"/>
  <c r="AR475" i="1"/>
  <c r="AW476" i="1"/>
  <c r="AD476" i="1"/>
  <c r="AJ476" i="1"/>
  <c r="AK476" i="1"/>
  <c r="AL476" i="1" s="1"/>
  <c r="AM476" i="1"/>
  <c r="AN476" i="1"/>
  <c r="AO476" i="1"/>
  <c r="AP476" i="1" s="1"/>
  <c r="AQ476" i="1"/>
  <c r="AT476" i="1" s="1"/>
  <c r="AR476" i="1"/>
  <c r="AW477" i="1"/>
  <c r="AD477" i="1"/>
  <c r="AJ477" i="1"/>
  <c r="AK477" i="1"/>
  <c r="AL477" i="1" s="1"/>
  <c r="AM477" i="1"/>
  <c r="AN477" i="1"/>
  <c r="AO477" i="1"/>
  <c r="AP477" i="1" s="1"/>
  <c r="AQ477" i="1"/>
  <c r="AT477" i="1" s="1"/>
  <c r="AR477" i="1"/>
  <c r="AW478" i="1"/>
  <c r="AD478" i="1"/>
  <c r="AJ478" i="1"/>
  <c r="AK478" i="1"/>
  <c r="AL478" i="1" s="1"/>
  <c r="AM478" i="1"/>
  <c r="AN478" i="1"/>
  <c r="AO478" i="1"/>
  <c r="AP478" i="1" s="1"/>
  <c r="AQ478" i="1"/>
  <c r="AU478" i="1" s="1"/>
  <c r="AR478" i="1"/>
  <c r="AX479" i="1"/>
  <c r="AD479" i="1"/>
  <c r="AJ479" i="1"/>
  <c r="AK479" i="1"/>
  <c r="AL479" i="1" s="1"/>
  <c r="AM479" i="1"/>
  <c r="AN479" i="1"/>
  <c r="AO479" i="1"/>
  <c r="AP479" i="1" s="1"/>
  <c r="AQ479" i="1"/>
  <c r="AU479" i="1" s="1"/>
  <c r="AR479" i="1"/>
  <c r="AW480" i="1"/>
  <c r="AD480" i="1"/>
  <c r="AJ480" i="1"/>
  <c r="AK480" i="1"/>
  <c r="AL480" i="1" s="1"/>
  <c r="AM480" i="1"/>
  <c r="AN480" i="1"/>
  <c r="AO480" i="1"/>
  <c r="AP480" i="1" s="1"/>
  <c r="AQ480" i="1"/>
  <c r="AU480" i="1" s="1"/>
  <c r="AR480" i="1"/>
  <c r="AW481" i="1"/>
  <c r="AD481" i="1"/>
  <c r="AJ481" i="1"/>
  <c r="AK481" i="1"/>
  <c r="AL481" i="1" s="1"/>
  <c r="AM481" i="1"/>
  <c r="AN481" i="1"/>
  <c r="AO481" i="1"/>
  <c r="AP481" i="1" s="1"/>
  <c r="AQ481" i="1"/>
  <c r="AU481" i="1" s="1"/>
  <c r="AR481" i="1"/>
  <c r="AW482" i="1"/>
  <c r="AD482" i="1"/>
  <c r="AJ482" i="1"/>
  <c r="AK482" i="1"/>
  <c r="AL482" i="1" s="1"/>
  <c r="AM482" i="1"/>
  <c r="AN482" i="1"/>
  <c r="AO482" i="1"/>
  <c r="AP482" i="1" s="1"/>
  <c r="AQ482" i="1"/>
  <c r="AU482" i="1" s="1"/>
  <c r="AR482" i="1"/>
  <c r="AW483" i="1"/>
  <c r="AD483" i="1"/>
  <c r="AJ483" i="1"/>
  <c r="AK483" i="1"/>
  <c r="AL483" i="1" s="1"/>
  <c r="AM483" i="1"/>
  <c r="AN483" i="1"/>
  <c r="AO483" i="1"/>
  <c r="AP483" i="1" s="1"/>
  <c r="AQ483" i="1"/>
  <c r="AU483" i="1" s="1"/>
  <c r="AR483" i="1"/>
  <c r="AW484" i="1"/>
  <c r="AD484" i="1"/>
  <c r="AJ484" i="1"/>
  <c r="AK484" i="1"/>
  <c r="AL484" i="1" s="1"/>
  <c r="AM484" i="1"/>
  <c r="AN484" i="1"/>
  <c r="AO484" i="1"/>
  <c r="AP484" i="1" s="1"/>
  <c r="AQ484" i="1"/>
  <c r="AU484" i="1" s="1"/>
  <c r="AR484" i="1"/>
  <c r="AW485" i="1"/>
  <c r="AD485" i="1"/>
  <c r="AJ485" i="1"/>
  <c r="AK485" i="1"/>
  <c r="AL485" i="1" s="1"/>
  <c r="AM485" i="1"/>
  <c r="AN485" i="1"/>
  <c r="AO485" i="1"/>
  <c r="AP485" i="1" s="1"/>
  <c r="AQ485" i="1"/>
  <c r="AU485" i="1" s="1"/>
  <c r="AR485" i="1"/>
  <c r="AW486" i="1"/>
  <c r="AD486" i="1"/>
  <c r="AJ486" i="1"/>
  <c r="AK486" i="1"/>
  <c r="AL486" i="1" s="1"/>
  <c r="AM486" i="1"/>
  <c r="AN486" i="1"/>
  <c r="AO486" i="1"/>
  <c r="AP486" i="1" s="1"/>
  <c r="AQ486" i="1"/>
  <c r="AU486" i="1" s="1"/>
  <c r="AR486" i="1"/>
  <c r="AW487" i="1"/>
  <c r="AD487" i="1"/>
  <c r="AJ487" i="1"/>
  <c r="AK487" i="1"/>
  <c r="AL487" i="1" s="1"/>
  <c r="AM487" i="1"/>
  <c r="AN487" i="1"/>
  <c r="AO487" i="1"/>
  <c r="AP487" i="1" s="1"/>
  <c r="AQ487" i="1"/>
  <c r="AU487" i="1" s="1"/>
  <c r="AR487" i="1"/>
  <c r="AW488" i="1"/>
  <c r="AD488" i="1"/>
  <c r="AJ488" i="1"/>
  <c r="AK488" i="1"/>
  <c r="AL488" i="1" s="1"/>
  <c r="AM488" i="1"/>
  <c r="AN488" i="1"/>
  <c r="AO488" i="1"/>
  <c r="AP488" i="1" s="1"/>
  <c r="AQ488" i="1"/>
  <c r="AU488" i="1" s="1"/>
  <c r="AR488" i="1"/>
  <c r="AW489" i="1"/>
  <c r="AD489" i="1"/>
  <c r="AJ489" i="1"/>
  <c r="AK489" i="1"/>
  <c r="AL489" i="1" s="1"/>
  <c r="AM489" i="1"/>
  <c r="AN489" i="1"/>
  <c r="AO489" i="1"/>
  <c r="AP489" i="1" s="1"/>
  <c r="AQ489" i="1"/>
  <c r="AU489" i="1" s="1"/>
  <c r="AR489" i="1"/>
  <c r="AW490" i="1"/>
  <c r="AD490" i="1"/>
  <c r="AJ490" i="1"/>
  <c r="AK490" i="1"/>
  <c r="AL490" i="1" s="1"/>
  <c r="AM490" i="1"/>
  <c r="AN490" i="1"/>
  <c r="AO490" i="1"/>
  <c r="AP490" i="1" s="1"/>
  <c r="AQ490" i="1"/>
  <c r="AU490" i="1" s="1"/>
  <c r="AR490" i="1"/>
  <c r="AW491" i="1"/>
  <c r="AD491" i="1"/>
  <c r="AJ491" i="1"/>
  <c r="AK491" i="1"/>
  <c r="AL491" i="1" s="1"/>
  <c r="AM491" i="1"/>
  <c r="AN491" i="1"/>
  <c r="AO491" i="1"/>
  <c r="AP491" i="1" s="1"/>
  <c r="AQ491" i="1"/>
  <c r="AU491" i="1" s="1"/>
  <c r="AR491" i="1"/>
  <c r="AW492" i="1"/>
  <c r="AD492" i="1"/>
  <c r="AJ492" i="1"/>
  <c r="AK492" i="1"/>
  <c r="AL492" i="1" s="1"/>
  <c r="AM492" i="1"/>
  <c r="AN492" i="1"/>
  <c r="AO492" i="1"/>
  <c r="AP492" i="1" s="1"/>
  <c r="AQ492" i="1"/>
  <c r="AU492" i="1" s="1"/>
  <c r="AR492" i="1"/>
  <c r="AX493" i="1"/>
  <c r="AD493" i="1"/>
  <c r="AJ493" i="1"/>
  <c r="AK493" i="1"/>
  <c r="AL493" i="1" s="1"/>
  <c r="AM493" i="1"/>
  <c r="AN493" i="1"/>
  <c r="AO493" i="1"/>
  <c r="AP493" i="1" s="1"/>
  <c r="AQ493" i="1"/>
  <c r="AU493" i="1" s="1"/>
  <c r="AR493" i="1"/>
  <c r="AW494" i="1"/>
  <c r="AD494" i="1"/>
  <c r="AJ494" i="1"/>
  <c r="AK494" i="1"/>
  <c r="AL494" i="1" s="1"/>
  <c r="AM494" i="1"/>
  <c r="AN494" i="1"/>
  <c r="AO494" i="1"/>
  <c r="AP494" i="1" s="1"/>
  <c r="AQ494" i="1"/>
  <c r="AT494" i="1" s="1"/>
  <c r="AR494" i="1"/>
  <c r="AW495" i="1"/>
  <c r="AD495" i="1"/>
  <c r="AJ495" i="1"/>
  <c r="AK495" i="1"/>
  <c r="AL495" i="1" s="1"/>
  <c r="AM495" i="1"/>
  <c r="AN495" i="1"/>
  <c r="AO495" i="1"/>
  <c r="AP495" i="1" s="1"/>
  <c r="AQ495" i="1"/>
  <c r="AT495" i="1" s="1"/>
  <c r="AR495" i="1"/>
  <c r="AW496" i="1"/>
  <c r="AD496" i="1"/>
  <c r="AJ496" i="1"/>
  <c r="AK496" i="1"/>
  <c r="AL496" i="1" s="1"/>
  <c r="AM496" i="1"/>
  <c r="AN496" i="1"/>
  <c r="AO496" i="1"/>
  <c r="AP496" i="1" s="1"/>
  <c r="AQ496" i="1"/>
  <c r="AT496" i="1" s="1"/>
  <c r="AR496" i="1"/>
  <c r="AW215" i="1"/>
  <c r="AJ215" i="1"/>
  <c r="AK215" i="1"/>
  <c r="AL215" i="1" s="1"/>
  <c r="AM215" i="1"/>
  <c r="AN215" i="1"/>
  <c r="AO215" i="1"/>
  <c r="AP215" i="1" s="1"/>
  <c r="AQ215" i="1"/>
  <c r="AR215" i="1"/>
  <c r="AX216" i="1"/>
  <c r="AJ216" i="1"/>
  <c r="AK216" i="1"/>
  <c r="AL216" i="1" s="1"/>
  <c r="AM216" i="1"/>
  <c r="AN216" i="1"/>
  <c r="AO216" i="1"/>
  <c r="AP216" i="1" s="1"/>
  <c r="AQ216" i="1"/>
  <c r="AR216" i="1"/>
  <c r="AJ217" i="1"/>
  <c r="AK217" i="1"/>
  <c r="AL217" i="1" s="1"/>
  <c r="AM217" i="1"/>
  <c r="AN217" i="1"/>
  <c r="AO217" i="1"/>
  <c r="AP217" i="1" s="1"/>
  <c r="AQ217" i="1"/>
  <c r="AT217" i="1" s="1"/>
  <c r="AR217" i="1"/>
  <c r="AJ218" i="1"/>
  <c r="AK218" i="1"/>
  <c r="AL218" i="1" s="1"/>
  <c r="AM218" i="1"/>
  <c r="AN218" i="1"/>
  <c r="AO218" i="1"/>
  <c r="AP218" i="1" s="1"/>
  <c r="AQ218" i="1"/>
  <c r="AT218" i="1" s="1"/>
  <c r="AR218" i="1"/>
  <c r="AW219" i="1"/>
  <c r="AJ219" i="1"/>
  <c r="AK219" i="1"/>
  <c r="AL219" i="1" s="1"/>
  <c r="AM219" i="1"/>
  <c r="AN219" i="1"/>
  <c r="AO219" i="1"/>
  <c r="AP219" i="1" s="1"/>
  <c r="AQ219" i="1"/>
  <c r="AR219" i="1"/>
  <c r="AX220" i="1"/>
  <c r="AJ220" i="1"/>
  <c r="AK220" i="1"/>
  <c r="AL220" i="1" s="1"/>
  <c r="AM220" i="1"/>
  <c r="AN220" i="1"/>
  <c r="AO220" i="1"/>
  <c r="AP220" i="1" s="1"/>
  <c r="AQ220" i="1"/>
  <c r="AR220" i="1"/>
  <c r="AJ221" i="1"/>
  <c r="AK221" i="1"/>
  <c r="AL221" i="1" s="1"/>
  <c r="AM221" i="1"/>
  <c r="AN221" i="1"/>
  <c r="AO221" i="1"/>
  <c r="AP221" i="1" s="1"/>
  <c r="AQ221" i="1"/>
  <c r="AT221" i="1" s="1"/>
  <c r="AR221" i="1"/>
  <c r="AJ222" i="1"/>
  <c r="AK222" i="1"/>
  <c r="AL222" i="1" s="1"/>
  <c r="AM222" i="1"/>
  <c r="AN222" i="1"/>
  <c r="AO222" i="1"/>
  <c r="AP222" i="1" s="1"/>
  <c r="AQ222" i="1"/>
  <c r="AT222" i="1" s="1"/>
  <c r="AR222" i="1"/>
  <c r="AW223" i="1"/>
  <c r="AJ223" i="1"/>
  <c r="AK223" i="1"/>
  <c r="AL223" i="1" s="1"/>
  <c r="AM223" i="1"/>
  <c r="AN223" i="1"/>
  <c r="AO223" i="1"/>
  <c r="AP223" i="1" s="1"/>
  <c r="AQ223" i="1"/>
  <c r="AR223" i="1"/>
  <c r="AX224" i="1"/>
  <c r="AJ224" i="1"/>
  <c r="AK224" i="1"/>
  <c r="AL224" i="1" s="1"/>
  <c r="AM224" i="1"/>
  <c r="AN224" i="1"/>
  <c r="AO224" i="1"/>
  <c r="AP224" i="1" s="1"/>
  <c r="AQ224" i="1"/>
  <c r="AR224" i="1"/>
  <c r="AJ225" i="1"/>
  <c r="AK225" i="1"/>
  <c r="AL225" i="1" s="1"/>
  <c r="AM225" i="1"/>
  <c r="AN225" i="1"/>
  <c r="AO225" i="1"/>
  <c r="AP225" i="1" s="1"/>
  <c r="AQ225" i="1"/>
  <c r="AT225" i="1" s="1"/>
  <c r="AR225" i="1"/>
  <c r="AJ226" i="1"/>
  <c r="AK226" i="1"/>
  <c r="AL226" i="1" s="1"/>
  <c r="AM226" i="1"/>
  <c r="AN226" i="1"/>
  <c r="AO226" i="1"/>
  <c r="AP226" i="1" s="1"/>
  <c r="AQ226" i="1"/>
  <c r="AT226" i="1" s="1"/>
  <c r="AR226" i="1"/>
  <c r="AW227" i="1"/>
  <c r="AJ227" i="1"/>
  <c r="AK227" i="1"/>
  <c r="AL227" i="1" s="1"/>
  <c r="AM227" i="1"/>
  <c r="AN227" i="1"/>
  <c r="AO227" i="1"/>
  <c r="AP227" i="1" s="1"/>
  <c r="AQ227" i="1"/>
  <c r="AR227" i="1"/>
  <c r="AX228" i="1"/>
  <c r="AJ228" i="1"/>
  <c r="AK228" i="1"/>
  <c r="AL228" i="1" s="1"/>
  <c r="AM228" i="1"/>
  <c r="AN228" i="1"/>
  <c r="AO228" i="1"/>
  <c r="AP228" i="1" s="1"/>
  <c r="AQ228" i="1"/>
  <c r="AR228" i="1"/>
  <c r="AJ229" i="1"/>
  <c r="AK229" i="1"/>
  <c r="AL229" i="1" s="1"/>
  <c r="AM229" i="1"/>
  <c r="AN229" i="1"/>
  <c r="AO229" i="1"/>
  <c r="AP229" i="1" s="1"/>
  <c r="AQ229" i="1"/>
  <c r="AT229" i="1" s="1"/>
  <c r="AR229" i="1"/>
  <c r="AJ230" i="1"/>
  <c r="AK230" i="1"/>
  <c r="AL230" i="1" s="1"/>
  <c r="AM230" i="1"/>
  <c r="AN230" i="1"/>
  <c r="AO230" i="1"/>
  <c r="AP230" i="1" s="1"/>
  <c r="AQ230" i="1"/>
  <c r="AT230" i="1" s="1"/>
  <c r="AR230" i="1"/>
  <c r="AW231" i="1"/>
  <c r="AJ231" i="1"/>
  <c r="AK231" i="1"/>
  <c r="AL231" i="1" s="1"/>
  <c r="AM231" i="1"/>
  <c r="AN231" i="1"/>
  <c r="AO231" i="1"/>
  <c r="AP231" i="1" s="1"/>
  <c r="AQ231" i="1"/>
  <c r="AR231" i="1"/>
  <c r="AX232" i="1"/>
  <c r="AJ232" i="1"/>
  <c r="AK232" i="1"/>
  <c r="AL232" i="1" s="1"/>
  <c r="AM232" i="1"/>
  <c r="AN232" i="1"/>
  <c r="AO232" i="1"/>
  <c r="AP232" i="1" s="1"/>
  <c r="AQ232" i="1"/>
  <c r="AR232" i="1"/>
  <c r="AJ233" i="1"/>
  <c r="AK233" i="1"/>
  <c r="AL233" i="1" s="1"/>
  <c r="AM233" i="1"/>
  <c r="AN233" i="1"/>
  <c r="AO233" i="1"/>
  <c r="AP233" i="1" s="1"/>
  <c r="AQ233" i="1"/>
  <c r="AT233" i="1" s="1"/>
  <c r="AR233" i="1"/>
  <c r="AJ234" i="1"/>
  <c r="AK234" i="1"/>
  <c r="AL234" i="1" s="1"/>
  <c r="AM234" i="1"/>
  <c r="AN234" i="1"/>
  <c r="AO234" i="1"/>
  <c r="AP234" i="1" s="1"/>
  <c r="AQ234" i="1"/>
  <c r="AT234" i="1" s="1"/>
  <c r="AR234" i="1"/>
  <c r="AW235" i="1"/>
  <c r="AJ235" i="1"/>
  <c r="AK235" i="1"/>
  <c r="AL235" i="1" s="1"/>
  <c r="AM235" i="1"/>
  <c r="AN235" i="1"/>
  <c r="AO235" i="1"/>
  <c r="AP235" i="1" s="1"/>
  <c r="AQ235" i="1"/>
  <c r="AR235" i="1"/>
  <c r="AX236" i="1"/>
  <c r="AJ236" i="1"/>
  <c r="AK236" i="1"/>
  <c r="AL236" i="1" s="1"/>
  <c r="AM236" i="1"/>
  <c r="AN236" i="1"/>
  <c r="AO236" i="1"/>
  <c r="AP236" i="1" s="1"/>
  <c r="AQ236" i="1"/>
  <c r="AR236" i="1"/>
  <c r="AJ237" i="1"/>
  <c r="AK237" i="1"/>
  <c r="AL237" i="1" s="1"/>
  <c r="AM237" i="1"/>
  <c r="AN237" i="1"/>
  <c r="AO237" i="1"/>
  <c r="AP237" i="1" s="1"/>
  <c r="AQ237" i="1"/>
  <c r="AT237" i="1" s="1"/>
  <c r="AR237" i="1"/>
  <c r="AJ238" i="1"/>
  <c r="AK238" i="1"/>
  <c r="AL238" i="1" s="1"/>
  <c r="AM238" i="1"/>
  <c r="AN238" i="1"/>
  <c r="AO238" i="1"/>
  <c r="AP238" i="1" s="1"/>
  <c r="AQ238" i="1"/>
  <c r="AT238" i="1" s="1"/>
  <c r="AR238" i="1"/>
  <c r="AW239" i="1"/>
  <c r="AJ239" i="1"/>
  <c r="AK239" i="1"/>
  <c r="AL239" i="1" s="1"/>
  <c r="AM239" i="1"/>
  <c r="AN239" i="1"/>
  <c r="AO239" i="1"/>
  <c r="AP239" i="1" s="1"/>
  <c r="AQ239" i="1"/>
  <c r="AR239" i="1"/>
  <c r="AX240" i="1"/>
  <c r="AJ240" i="1"/>
  <c r="AK240" i="1"/>
  <c r="AL240" i="1" s="1"/>
  <c r="AM240" i="1"/>
  <c r="AN240" i="1"/>
  <c r="AO240" i="1"/>
  <c r="AP240" i="1" s="1"/>
  <c r="AQ240" i="1"/>
  <c r="AR240" i="1"/>
  <c r="AJ241" i="1"/>
  <c r="AK241" i="1"/>
  <c r="AL241" i="1" s="1"/>
  <c r="AM241" i="1"/>
  <c r="AN241" i="1"/>
  <c r="AO241" i="1"/>
  <c r="AP241" i="1" s="1"/>
  <c r="AQ241" i="1"/>
  <c r="AT241" i="1" s="1"/>
  <c r="AR241" i="1"/>
  <c r="AJ242" i="1"/>
  <c r="AK242" i="1"/>
  <c r="AL242" i="1" s="1"/>
  <c r="AM242" i="1"/>
  <c r="AN242" i="1"/>
  <c r="AO242" i="1"/>
  <c r="AP242" i="1" s="1"/>
  <c r="AQ242" i="1"/>
  <c r="AT242" i="1" s="1"/>
  <c r="AR242" i="1"/>
  <c r="AW243" i="1"/>
  <c r="AJ243" i="1"/>
  <c r="AK243" i="1"/>
  <c r="AL243" i="1" s="1"/>
  <c r="AM243" i="1"/>
  <c r="AN243" i="1"/>
  <c r="AO243" i="1"/>
  <c r="AP243" i="1" s="1"/>
  <c r="AQ243" i="1"/>
  <c r="AR243" i="1"/>
  <c r="AX244" i="1"/>
  <c r="AJ244" i="1"/>
  <c r="AK244" i="1"/>
  <c r="AL244" i="1" s="1"/>
  <c r="AM244" i="1"/>
  <c r="AN244" i="1"/>
  <c r="AO244" i="1"/>
  <c r="AP244" i="1" s="1"/>
  <c r="AQ244" i="1"/>
  <c r="AR244" i="1"/>
  <c r="AJ245" i="1"/>
  <c r="AK245" i="1"/>
  <c r="AL245" i="1" s="1"/>
  <c r="AM245" i="1"/>
  <c r="AN245" i="1"/>
  <c r="AO245" i="1"/>
  <c r="AP245" i="1" s="1"/>
  <c r="AQ245" i="1"/>
  <c r="AT245" i="1" s="1"/>
  <c r="AR245" i="1"/>
  <c r="AJ246" i="1"/>
  <c r="AK246" i="1"/>
  <c r="AL246" i="1" s="1"/>
  <c r="AM246" i="1"/>
  <c r="AN246" i="1"/>
  <c r="AO246" i="1"/>
  <c r="AP246" i="1" s="1"/>
  <c r="AQ246" i="1"/>
  <c r="AT246" i="1" s="1"/>
  <c r="AR246" i="1"/>
  <c r="AW247" i="1"/>
  <c r="AJ247" i="1"/>
  <c r="AK247" i="1"/>
  <c r="AL247" i="1" s="1"/>
  <c r="AM247" i="1"/>
  <c r="AN247" i="1"/>
  <c r="AO247" i="1"/>
  <c r="AP247" i="1" s="1"/>
  <c r="AQ247" i="1"/>
  <c r="AR247" i="1"/>
  <c r="AX248" i="1"/>
  <c r="AJ248" i="1"/>
  <c r="AK248" i="1"/>
  <c r="AL248" i="1" s="1"/>
  <c r="AM248" i="1"/>
  <c r="AN248" i="1"/>
  <c r="AO248" i="1"/>
  <c r="AP248" i="1" s="1"/>
  <c r="AQ248" i="1"/>
  <c r="AR248" i="1"/>
  <c r="AJ249" i="1"/>
  <c r="AK249" i="1"/>
  <c r="AL249" i="1" s="1"/>
  <c r="AM249" i="1"/>
  <c r="AN249" i="1"/>
  <c r="AO249" i="1"/>
  <c r="AP249" i="1" s="1"/>
  <c r="AQ249" i="1"/>
  <c r="AT249" i="1" s="1"/>
  <c r="AR249" i="1"/>
  <c r="AJ250" i="1"/>
  <c r="AK250" i="1"/>
  <c r="AL250" i="1" s="1"/>
  <c r="AM250" i="1"/>
  <c r="AN250" i="1"/>
  <c r="AO250" i="1"/>
  <c r="AP250" i="1" s="1"/>
  <c r="AQ250" i="1"/>
  <c r="AT250" i="1" s="1"/>
  <c r="AR250" i="1"/>
  <c r="AW251" i="1"/>
  <c r="AJ251" i="1"/>
  <c r="AK251" i="1"/>
  <c r="AL251" i="1" s="1"/>
  <c r="AM251" i="1"/>
  <c r="AN251" i="1"/>
  <c r="AO251" i="1"/>
  <c r="AP251" i="1" s="1"/>
  <c r="AQ251" i="1"/>
  <c r="AR251" i="1"/>
  <c r="AX252" i="1"/>
  <c r="AJ252" i="1"/>
  <c r="AK252" i="1"/>
  <c r="AL252" i="1" s="1"/>
  <c r="AM252" i="1"/>
  <c r="AN252" i="1"/>
  <c r="AO252" i="1"/>
  <c r="AP252" i="1" s="1"/>
  <c r="AQ252" i="1"/>
  <c r="AR252" i="1"/>
  <c r="AJ201" i="1"/>
  <c r="AK201" i="1"/>
  <c r="AL201" i="1" s="1"/>
  <c r="AM201" i="1"/>
  <c r="AN201" i="1"/>
  <c r="AO201" i="1"/>
  <c r="AP201" i="1" s="1"/>
  <c r="AQ201" i="1"/>
  <c r="AR201" i="1"/>
  <c r="AJ202" i="1"/>
  <c r="AK202" i="1"/>
  <c r="AL202" i="1" s="1"/>
  <c r="AM202" i="1"/>
  <c r="AN202" i="1"/>
  <c r="AO202" i="1"/>
  <c r="AP202" i="1" s="1"/>
  <c r="AQ202" i="1"/>
  <c r="AT202" i="1" s="1"/>
  <c r="AR202" i="1"/>
  <c r="AW203" i="1"/>
  <c r="AJ203" i="1"/>
  <c r="AK203" i="1"/>
  <c r="AL203" i="1" s="1"/>
  <c r="AM203" i="1"/>
  <c r="AN203" i="1"/>
  <c r="AO203" i="1"/>
  <c r="AP203" i="1" s="1"/>
  <c r="AQ203" i="1"/>
  <c r="AR203" i="1"/>
  <c r="AX204" i="1"/>
  <c r="AJ204" i="1"/>
  <c r="AK204" i="1"/>
  <c r="AL204" i="1" s="1"/>
  <c r="AM204" i="1"/>
  <c r="AN204" i="1"/>
  <c r="AO204" i="1"/>
  <c r="AP204" i="1" s="1"/>
  <c r="AQ204" i="1"/>
  <c r="AR204" i="1"/>
  <c r="AJ205" i="1"/>
  <c r="AK205" i="1"/>
  <c r="AL205" i="1" s="1"/>
  <c r="AM205" i="1"/>
  <c r="AN205" i="1"/>
  <c r="AO205" i="1"/>
  <c r="AP205" i="1" s="1"/>
  <c r="AQ205" i="1"/>
  <c r="AT205" i="1" s="1"/>
  <c r="AR205" i="1"/>
  <c r="AJ206" i="1"/>
  <c r="AK206" i="1"/>
  <c r="AL206" i="1" s="1"/>
  <c r="AM206" i="1"/>
  <c r="AN206" i="1"/>
  <c r="AO206" i="1"/>
  <c r="AP206" i="1" s="1"/>
  <c r="AQ206" i="1"/>
  <c r="AT206" i="1" s="1"/>
  <c r="AR206" i="1"/>
  <c r="AW207" i="1"/>
  <c r="AJ207" i="1"/>
  <c r="AK207" i="1"/>
  <c r="AL207" i="1" s="1"/>
  <c r="AM207" i="1"/>
  <c r="AN207" i="1"/>
  <c r="AO207" i="1"/>
  <c r="AP207" i="1" s="1"/>
  <c r="AQ207" i="1"/>
  <c r="AR207" i="1"/>
  <c r="AX208" i="1"/>
  <c r="AJ208" i="1"/>
  <c r="AK208" i="1"/>
  <c r="AL208" i="1" s="1"/>
  <c r="AM208" i="1"/>
  <c r="AN208" i="1"/>
  <c r="AO208" i="1"/>
  <c r="AP208" i="1" s="1"/>
  <c r="AQ208" i="1"/>
  <c r="AR208" i="1"/>
  <c r="AJ209" i="1"/>
  <c r="AK209" i="1"/>
  <c r="AL209" i="1" s="1"/>
  <c r="AM209" i="1"/>
  <c r="AN209" i="1"/>
  <c r="AO209" i="1"/>
  <c r="AP209" i="1" s="1"/>
  <c r="AQ209" i="1"/>
  <c r="AT209" i="1" s="1"/>
  <c r="AR209" i="1"/>
  <c r="AJ210" i="1"/>
  <c r="AK210" i="1"/>
  <c r="AL210" i="1" s="1"/>
  <c r="AM210" i="1"/>
  <c r="AN210" i="1"/>
  <c r="AO210" i="1"/>
  <c r="AP210" i="1" s="1"/>
  <c r="AQ210" i="1"/>
  <c r="AT210" i="1" s="1"/>
  <c r="AR210" i="1"/>
  <c r="AW211" i="1"/>
  <c r="AJ211" i="1"/>
  <c r="AK211" i="1"/>
  <c r="AL211" i="1" s="1"/>
  <c r="AM211" i="1"/>
  <c r="AN211" i="1"/>
  <c r="AO211" i="1"/>
  <c r="AP211" i="1" s="1"/>
  <c r="AQ211" i="1"/>
  <c r="AR211" i="1"/>
  <c r="AX212" i="1"/>
  <c r="AJ212" i="1"/>
  <c r="AK212" i="1"/>
  <c r="AL212" i="1" s="1"/>
  <c r="AM212" i="1"/>
  <c r="AN212" i="1"/>
  <c r="AO212" i="1"/>
  <c r="AP212" i="1" s="1"/>
  <c r="AQ212" i="1"/>
  <c r="AR212" i="1"/>
  <c r="AJ213" i="1"/>
  <c r="AK213" i="1"/>
  <c r="AL213" i="1" s="1"/>
  <c r="AM213" i="1"/>
  <c r="AN213" i="1"/>
  <c r="AO213" i="1"/>
  <c r="AP213" i="1" s="1"/>
  <c r="AQ213" i="1"/>
  <c r="AT213" i="1" s="1"/>
  <c r="AR213" i="1"/>
  <c r="AJ214" i="1"/>
  <c r="AK214" i="1"/>
  <c r="AL214" i="1" s="1"/>
  <c r="AM214" i="1"/>
  <c r="AN214" i="1"/>
  <c r="AO214" i="1"/>
  <c r="AP214" i="1" s="1"/>
  <c r="AQ214" i="1"/>
  <c r="AT214" i="1" s="1"/>
  <c r="AR214" i="1"/>
  <c r="AU458" i="1" l="1"/>
  <c r="AU382" i="1"/>
  <c r="AU293" i="1"/>
  <c r="AU350" i="1"/>
  <c r="AT442" i="1"/>
  <c r="AU364" i="1"/>
  <c r="AU253" i="1"/>
  <c r="AU416" i="1"/>
  <c r="AT284" i="1"/>
  <c r="AU472" i="1"/>
  <c r="AU398" i="1"/>
  <c r="AU336" i="1"/>
  <c r="AT289" i="1"/>
  <c r="AU470" i="1"/>
  <c r="AU412" i="1"/>
  <c r="AU394" i="1"/>
  <c r="AU360" i="1"/>
  <c r="AT346" i="1"/>
  <c r="AT310" i="1"/>
  <c r="AT274" i="1"/>
  <c r="AU466" i="1"/>
  <c r="AU450" i="1"/>
  <c r="AT426" i="1"/>
  <c r="AU408" i="1"/>
  <c r="AU390" i="1"/>
  <c r="AU372" i="1"/>
  <c r="AU344" i="1"/>
  <c r="AU332" i="1"/>
  <c r="AU323" i="1"/>
  <c r="AU318" i="1"/>
  <c r="AU313" i="1"/>
  <c r="AU308" i="1"/>
  <c r="AU301" i="1"/>
  <c r="AU287" i="1"/>
  <c r="AU282" i="1"/>
  <c r="AT279" i="1"/>
  <c r="AT357" i="1"/>
  <c r="AU269" i="1"/>
  <c r="AU454" i="1"/>
  <c r="AT432" i="1"/>
  <c r="AU378" i="1"/>
  <c r="AT315" i="1"/>
  <c r="AU476" i="1"/>
  <c r="AU462" i="1"/>
  <c r="AU446" i="1"/>
  <c r="AU420" i="1"/>
  <c r="AU402" i="1"/>
  <c r="AU386" i="1"/>
  <c r="AU368" i="1"/>
  <c r="AU354" i="1"/>
  <c r="AT340" i="1"/>
  <c r="AU335" i="1"/>
  <c r="AU328" i="1"/>
  <c r="AU319" i="1"/>
  <c r="AT306" i="1"/>
  <c r="AU297" i="1"/>
  <c r="AT280" i="1"/>
  <c r="AT488" i="1"/>
  <c r="AU477" i="1"/>
  <c r="AU473" i="1"/>
  <c r="AU471" i="1"/>
  <c r="AU469" i="1"/>
  <c r="AU465" i="1"/>
  <c r="AU461" i="1"/>
  <c r="AU457" i="1"/>
  <c r="AU453" i="1"/>
  <c r="AU449" i="1"/>
  <c r="AU445" i="1"/>
  <c r="AT423" i="1"/>
  <c r="AT419" i="1"/>
  <c r="AT415" i="1"/>
  <c r="AT411" i="1"/>
  <c r="AT407" i="1"/>
  <c r="AT484" i="1"/>
  <c r="AT436" i="1"/>
  <c r="AT424" i="1"/>
  <c r="AT404" i="1"/>
  <c r="AT400" i="1"/>
  <c r="AT396" i="1"/>
  <c r="AT392" i="1"/>
  <c r="AT388" i="1"/>
  <c r="AT384" i="1"/>
  <c r="AT380" i="1"/>
  <c r="AT376" i="1"/>
  <c r="AT370" i="1"/>
  <c r="AT366" i="1"/>
  <c r="AT362" i="1"/>
  <c r="AT358" i="1"/>
  <c r="AU345" i="1"/>
  <c r="AU339" i="1"/>
  <c r="AU309" i="1"/>
  <c r="AU303" i="1"/>
  <c r="AU288" i="1"/>
  <c r="AU254" i="1"/>
  <c r="AU245" i="1"/>
  <c r="AU221" i="1"/>
  <c r="AT405" i="1"/>
  <c r="AT401" i="1"/>
  <c r="AT397" i="1"/>
  <c r="AT393" i="1"/>
  <c r="AT389" i="1"/>
  <c r="AT385" i="1"/>
  <c r="AT381" i="1"/>
  <c r="AT377" i="1"/>
  <c r="AT371" i="1"/>
  <c r="AT367" i="1"/>
  <c r="AT363" i="1"/>
  <c r="AT359" i="1"/>
  <c r="AU349" i="1"/>
  <c r="AU292" i="1"/>
  <c r="AU270" i="1"/>
  <c r="AU261" i="1"/>
  <c r="AU237" i="1"/>
  <c r="AU222" i="1"/>
  <c r="AT492" i="1"/>
  <c r="AU475" i="1"/>
  <c r="AU468" i="1"/>
  <c r="AU464" i="1"/>
  <c r="AU460" i="1"/>
  <c r="AU456" i="1"/>
  <c r="AU452" i="1"/>
  <c r="AU448" i="1"/>
  <c r="AU444" i="1"/>
  <c r="AT428" i="1"/>
  <c r="AT422" i="1"/>
  <c r="AT418" i="1"/>
  <c r="AT414" i="1"/>
  <c r="AT410" i="1"/>
  <c r="AT406" i="1"/>
  <c r="AT356" i="1"/>
  <c r="AU334" i="1"/>
  <c r="AU314" i="1"/>
  <c r="AU283" i="1"/>
  <c r="AU271" i="1"/>
  <c r="AX263" i="1"/>
  <c r="AU262" i="1"/>
  <c r="AU229" i="1"/>
  <c r="AU205" i="1"/>
  <c r="AT215" i="1"/>
  <c r="AU215" i="1"/>
  <c r="AT224" i="1"/>
  <c r="AU224" i="1"/>
  <c r="AT220" i="1"/>
  <c r="AU220" i="1"/>
  <c r="AT216" i="1"/>
  <c r="AU216" i="1"/>
  <c r="AX422" i="1"/>
  <c r="AW422" i="1"/>
  <c r="AT255" i="1"/>
  <c r="AU255" i="1"/>
  <c r="AU494" i="1"/>
  <c r="AT493" i="1"/>
  <c r="AT489" i="1"/>
  <c r="AT485" i="1"/>
  <c r="AT481" i="1"/>
  <c r="AT479" i="1"/>
  <c r="AT478" i="1"/>
  <c r="AT474" i="1"/>
  <c r="AT467" i="1"/>
  <c r="AT463" i="1"/>
  <c r="AT459" i="1"/>
  <c r="AT455" i="1"/>
  <c r="AT451" i="1"/>
  <c r="AT447" i="1"/>
  <c r="AT443" i="1"/>
  <c r="AT440" i="1"/>
  <c r="AT430" i="1"/>
  <c r="AT427" i="1"/>
  <c r="AU351" i="1"/>
  <c r="AU341" i="1"/>
  <c r="AU330" i="1"/>
  <c r="AU325" i="1"/>
  <c r="AU320" i="1"/>
  <c r="AU304" i="1"/>
  <c r="AU299" i="1"/>
  <c r="AU294" i="1"/>
  <c r="AU277" i="1"/>
  <c r="AU272" i="1"/>
  <c r="AU266" i="1"/>
  <c r="AU246" i="1"/>
  <c r="AU238" i="1"/>
  <c r="AU230" i="1"/>
  <c r="AU214" i="1"/>
  <c r="AU206" i="1"/>
  <c r="AU437" i="1"/>
  <c r="AT437" i="1"/>
  <c r="AT413" i="1"/>
  <c r="AT403" i="1"/>
  <c r="AT395" i="1"/>
  <c r="AT387" i="1"/>
  <c r="AT379" i="1"/>
  <c r="AT375" i="1"/>
  <c r="AT369" i="1"/>
  <c r="AT361" i="1"/>
  <c r="AU276" i="1"/>
  <c r="AU265" i="1"/>
  <c r="AU213" i="1"/>
  <c r="AT251" i="1"/>
  <c r="AU251" i="1"/>
  <c r="AT247" i="1"/>
  <c r="AU247" i="1"/>
  <c r="AT243" i="1"/>
  <c r="AU243" i="1"/>
  <c r="AT239" i="1"/>
  <c r="AU239" i="1"/>
  <c r="AT263" i="1"/>
  <c r="AU263" i="1"/>
  <c r="AT256" i="1"/>
  <c r="AU256" i="1"/>
  <c r="AU495" i="1"/>
  <c r="AT490" i="1"/>
  <c r="AT486" i="1"/>
  <c r="AT482" i="1"/>
  <c r="AW479" i="1"/>
  <c r="AT434" i="1"/>
  <c r="AT431" i="1"/>
  <c r="AU352" i="1"/>
  <c r="AU347" i="1"/>
  <c r="AU342" i="1"/>
  <c r="AU337" i="1"/>
  <c r="AU331" i="1"/>
  <c r="AU326" i="1"/>
  <c r="AU321" i="1"/>
  <c r="AU316" i="1"/>
  <c r="AU311" i="1"/>
  <c r="AU305" i="1"/>
  <c r="AU300" i="1"/>
  <c r="AU295" i="1"/>
  <c r="AU290" i="1"/>
  <c r="AU285" i="1"/>
  <c r="AU278" i="1"/>
  <c r="AU273" i="1"/>
  <c r="AU267" i="1"/>
  <c r="AU257" i="1"/>
  <c r="AU249" i="1"/>
  <c r="AU241" i="1"/>
  <c r="AU233" i="1"/>
  <c r="AU225" i="1"/>
  <c r="AU217" i="1"/>
  <c r="AU209" i="1"/>
  <c r="AT201" i="1"/>
  <c r="AU201" i="1"/>
  <c r="AT223" i="1"/>
  <c r="AU223" i="1"/>
  <c r="AT219" i="1"/>
  <c r="AU219" i="1"/>
  <c r="AU433" i="1"/>
  <c r="AT433" i="1"/>
  <c r="AU429" i="1"/>
  <c r="AT429" i="1"/>
  <c r="AU425" i="1"/>
  <c r="AT425" i="1"/>
  <c r="AT480" i="1"/>
  <c r="AT439" i="1"/>
  <c r="AT421" i="1"/>
  <c r="AT417" i="1"/>
  <c r="AT409" i="1"/>
  <c r="AT399" i="1"/>
  <c r="AT391" i="1"/>
  <c r="AT383" i="1"/>
  <c r="AT374" i="1"/>
  <c r="AT373" i="1"/>
  <c r="AT365" i="1"/>
  <c r="AT355" i="1"/>
  <c r="AU329" i="1"/>
  <c r="AU324" i="1"/>
  <c r="AU298" i="1"/>
  <c r="AT235" i="1"/>
  <c r="AU235" i="1"/>
  <c r="AT231" i="1"/>
  <c r="AU231" i="1"/>
  <c r="AT211" i="1"/>
  <c r="AU211" i="1"/>
  <c r="AT207" i="1"/>
  <c r="AU207" i="1"/>
  <c r="AT203" i="1"/>
  <c r="AU203" i="1"/>
  <c r="AT252" i="1"/>
  <c r="AU252" i="1"/>
  <c r="AT248" i="1"/>
  <c r="AU248" i="1"/>
  <c r="AT244" i="1"/>
  <c r="AU244" i="1"/>
  <c r="AT240" i="1"/>
  <c r="AU240" i="1"/>
  <c r="AT236" i="1"/>
  <c r="AU236" i="1"/>
  <c r="AT232" i="1"/>
  <c r="AU232" i="1"/>
  <c r="AU441" i="1"/>
  <c r="AT441" i="1"/>
  <c r="AT212" i="1"/>
  <c r="AU212" i="1"/>
  <c r="AT208" i="1"/>
  <c r="AU208" i="1"/>
  <c r="AT204" i="1"/>
  <c r="AU204" i="1"/>
  <c r="AT228" i="1"/>
  <c r="AU228" i="1"/>
  <c r="AT227" i="1"/>
  <c r="AU227" i="1"/>
  <c r="AT260" i="1"/>
  <c r="AU260" i="1"/>
  <c r="AT259" i="1"/>
  <c r="AU259" i="1"/>
  <c r="AU496" i="1"/>
  <c r="AW493" i="1"/>
  <c r="AT491" i="1"/>
  <c r="AT487" i="1"/>
  <c r="AT483" i="1"/>
  <c r="AT438" i="1"/>
  <c r="AT435" i="1"/>
  <c r="AU353" i="1"/>
  <c r="AU348" i="1"/>
  <c r="AU343" i="1"/>
  <c r="AU338" i="1"/>
  <c r="AU333" i="1"/>
  <c r="AU327" i="1"/>
  <c r="AU322" i="1"/>
  <c r="AU317" i="1"/>
  <c r="AU312" i="1"/>
  <c r="AU307" i="1"/>
  <c r="AU302" i="1"/>
  <c r="AU296" i="1"/>
  <c r="AU291" i="1"/>
  <c r="AU286" i="1"/>
  <c r="AU281" i="1"/>
  <c r="AU275" i="1"/>
  <c r="AU268" i="1"/>
  <c r="AU264" i="1"/>
  <c r="AU258" i="1"/>
  <c r="AU250" i="1"/>
  <c r="AU242" i="1"/>
  <c r="AU234" i="1"/>
  <c r="AU226" i="1"/>
  <c r="AU218" i="1"/>
  <c r="AU210" i="1"/>
  <c r="AU202" i="1"/>
  <c r="AX390" i="1"/>
  <c r="AW390" i="1"/>
  <c r="AX473" i="1"/>
  <c r="AX360" i="1"/>
  <c r="AW454" i="1"/>
  <c r="AW305" i="1"/>
  <c r="AW321" i="1"/>
  <c r="AW208" i="1"/>
  <c r="AX491" i="1"/>
  <c r="AW446" i="1"/>
  <c r="AW414" i="1"/>
  <c r="AW382" i="1"/>
  <c r="AX352" i="1"/>
  <c r="AW313" i="1"/>
  <c r="AW248" i="1"/>
  <c r="AX471" i="1"/>
  <c r="AW438" i="1"/>
  <c r="AW406" i="1"/>
  <c r="AW374" i="1"/>
  <c r="AX344" i="1"/>
  <c r="AX247" i="1"/>
  <c r="AX487" i="1"/>
  <c r="AW465" i="1"/>
  <c r="AW430" i="1"/>
  <c r="AW398" i="1"/>
  <c r="AX368" i="1"/>
  <c r="AX336" i="1"/>
  <c r="AX271" i="1"/>
  <c r="AX231" i="1"/>
  <c r="AW475" i="1"/>
  <c r="AX457" i="1"/>
  <c r="AW272" i="1"/>
  <c r="AX495" i="1"/>
  <c r="AX481" i="1"/>
  <c r="AX477" i="1"/>
  <c r="AX463" i="1"/>
  <c r="AX441" i="1"/>
  <c r="AX425" i="1"/>
  <c r="AX409" i="1"/>
  <c r="AX393" i="1"/>
  <c r="AX377" i="1"/>
  <c r="AW361" i="1"/>
  <c r="AW345" i="1"/>
  <c r="AX304" i="1"/>
  <c r="AW224" i="1"/>
  <c r="AW288" i="1"/>
  <c r="AW240" i="1"/>
  <c r="AW216" i="1"/>
  <c r="AX489" i="1"/>
  <c r="AX461" i="1"/>
  <c r="AX449" i="1"/>
  <c r="AX433" i="1"/>
  <c r="AX417" i="1"/>
  <c r="AX401" i="1"/>
  <c r="AX385" i="1"/>
  <c r="AW369" i="1"/>
  <c r="AW353" i="1"/>
  <c r="AW337" i="1"/>
  <c r="AX312" i="1"/>
  <c r="AW280" i="1"/>
  <c r="AW256" i="1"/>
  <c r="AW232" i="1"/>
  <c r="AX215" i="1"/>
  <c r="AX202" i="1"/>
  <c r="AW202" i="1"/>
  <c r="AW201" i="1"/>
  <c r="AX201" i="1"/>
  <c r="AW237" i="1"/>
  <c r="AX237" i="1"/>
  <c r="AX222" i="1"/>
  <c r="AW222" i="1"/>
  <c r="AW370" i="1"/>
  <c r="AX370" i="1"/>
  <c r="AX363" i="1"/>
  <c r="AW363" i="1"/>
  <c r="AW362" i="1"/>
  <c r="AX362" i="1"/>
  <c r="AX339" i="1"/>
  <c r="AW339" i="1"/>
  <c r="AW338" i="1"/>
  <c r="AX338" i="1"/>
  <c r="AX307" i="1"/>
  <c r="AW307" i="1"/>
  <c r="AW306" i="1"/>
  <c r="AX306" i="1"/>
  <c r="AX286" i="1"/>
  <c r="AW286" i="1"/>
  <c r="AW277" i="1"/>
  <c r="AX277" i="1"/>
  <c r="AX274" i="1"/>
  <c r="AW274" i="1"/>
  <c r="AW265" i="1"/>
  <c r="AX265" i="1"/>
  <c r="AX254" i="1"/>
  <c r="AW254" i="1"/>
  <c r="AX485" i="1"/>
  <c r="AW450" i="1"/>
  <c r="AW434" i="1"/>
  <c r="AW426" i="1"/>
  <c r="AW386" i="1"/>
  <c r="AW378" i="1"/>
  <c r="AW297" i="1"/>
  <c r="AW269" i="1"/>
  <c r="AX269" i="1"/>
  <c r="AX266" i="1"/>
  <c r="AW266" i="1"/>
  <c r="AW469" i="1"/>
  <c r="AW459" i="1"/>
  <c r="AX445" i="1"/>
  <c r="AX429" i="1"/>
  <c r="AX413" i="1"/>
  <c r="AX397" i="1"/>
  <c r="AX381" i="1"/>
  <c r="AX320" i="1"/>
  <c r="AX296" i="1"/>
  <c r="AX279" i="1"/>
  <c r="AX239" i="1"/>
  <c r="AX223" i="1"/>
  <c r="AX207" i="1"/>
  <c r="AW209" i="1"/>
  <c r="AX209" i="1"/>
  <c r="AX246" i="1"/>
  <c r="AW246" i="1"/>
  <c r="AW245" i="1"/>
  <c r="AX245" i="1"/>
  <c r="AX230" i="1"/>
  <c r="AW230" i="1"/>
  <c r="AW229" i="1"/>
  <c r="AX229" i="1"/>
  <c r="AX367" i="1"/>
  <c r="AW367" i="1"/>
  <c r="AW366" i="1"/>
  <c r="AX366" i="1"/>
  <c r="AX359" i="1"/>
  <c r="AW359" i="1"/>
  <c r="AW358" i="1"/>
  <c r="AX358" i="1"/>
  <c r="AX351" i="1"/>
  <c r="AW351" i="1"/>
  <c r="AW350" i="1"/>
  <c r="AX350" i="1"/>
  <c r="AX343" i="1"/>
  <c r="AW343" i="1"/>
  <c r="AW342" i="1"/>
  <c r="AX342" i="1"/>
  <c r="AX335" i="1"/>
  <c r="AW335" i="1"/>
  <c r="AW334" i="1"/>
  <c r="AX334" i="1"/>
  <c r="AX323" i="1"/>
  <c r="AW323" i="1"/>
  <c r="AW322" i="1"/>
  <c r="AX322" i="1"/>
  <c r="AX303" i="1"/>
  <c r="AW303" i="1"/>
  <c r="AW302" i="1"/>
  <c r="AX302" i="1"/>
  <c r="AX290" i="1"/>
  <c r="AW290" i="1"/>
  <c r="AW281" i="1"/>
  <c r="AX281" i="1"/>
  <c r="AX270" i="1"/>
  <c r="AW270" i="1"/>
  <c r="AW261" i="1"/>
  <c r="AX261" i="1"/>
  <c r="AX258" i="1"/>
  <c r="AW258" i="1"/>
  <c r="AX496" i="1"/>
  <c r="AX494" i="1"/>
  <c r="AX492" i="1"/>
  <c r="AX490" i="1"/>
  <c r="AX488" i="1"/>
  <c r="AX486" i="1"/>
  <c r="AX484" i="1"/>
  <c r="AX482" i="1"/>
  <c r="AX480" i="1"/>
  <c r="AX478" i="1"/>
  <c r="AX476" i="1"/>
  <c r="AX474" i="1"/>
  <c r="AX472" i="1"/>
  <c r="AX470" i="1"/>
  <c r="AX468" i="1"/>
  <c r="AX466" i="1"/>
  <c r="AX464" i="1"/>
  <c r="AX462" i="1"/>
  <c r="AX460" i="1"/>
  <c r="AX458" i="1"/>
  <c r="AW456" i="1"/>
  <c r="AW452" i="1"/>
  <c r="AW448" i="1"/>
  <c r="AW444" i="1"/>
  <c r="AW440" i="1"/>
  <c r="AW436" i="1"/>
  <c r="AW432" i="1"/>
  <c r="AW428" i="1"/>
  <c r="AW424" i="1"/>
  <c r="AW420" i="1"/>
  <c r="AW416" i="1"/>
  <c r="AW412" i="1"/>
  <c r="AW408" i="1"/>
  <c r="AW404" i="1"/>
  <c r="AW400" i="1"/>
  <c r="AW396" i="1"/>
  <c r="AW392" i="1"/>
  <c r="AW388" i="1"/>
  <c r="AW384" i="1"/>
  <c r="AW380" i="1"/>
  <c r="AW376" i="1"/>
  <c r="AW372" i="1"/>
  <c r="AW365" i="1"/>
  <c r="AW357" i="1"/>
  <c r="AW349" i="1"/>
  <c r="AW341" i="1"/>
  <c r="AW333" i="1"/>
  <c r="AW325" i="1"/>
  <c r="AW317" i="1"/>
  <c r="AW309" i="1"/>
  <c r="AW301" i="1"/>
  <c r="AW292" i="1"/>
  <c r="AW284" i="1"/>
  <c r="AW276" i="1"/>
  <c r="AW268" i="1"/>
  <c r="AW260" i="1"/>
  <c r="AW252" i="1"/>
  <c r="AW244" i="1"/>
  <c r="AW236" i="1"/>
  <c r="AW228" i="1"/>
  <c r="AW220" i="1"/>
  <c r="AW212" i="1"/>
  <c r="AW204" i="1"/>
  <c r="AX238" i="1"/>
  <c r="AW238" i="1"/>
  <c r="AW221" i="1"/>
  <c r="AX221" i="1"/>
  <c r="AX355" i="1"/>
  <c r="AW355" i="1"/>
  <c r="AW354" i="1"/>
  <c r="AX354" i="1"/>
  <c r="AX347" i="1"/>
  <c r="AW347" i="1"/>
  <c r="AW346" i="1"/>
  <c r="AX346" i="1"/>
  <c r="AX319" i="1"/>
  <c r="AW319" i="1"/>
  <c r="AW318" i="1"/>
  <c r="AX318" i="1"/>
  <c r="AX483" i="1"/>
  <c r="AX467" i="1"/>
  <c r="AW442" i="1"/>
  <c r="AW418" i="1"/>
  <c r="AW410" i="1"/>
  <c r="AW402" i="1"/>
  <c r="AW394" i="1"/>
  <c r="AW329" i="1"/>
  <c r="AW264" i="1"/>
  <c r="AX206" i="1"/>
  <c r="AW206" i="1"/>
  <c r="AW205" i="1"/>
  <c r="AX205" i="1"/>
  <c r="AX242" i="1"/>
  <c r="AW242" i="1"/>
  <c r="AW241" i="1"/>
  <c r="AX241" i="1"/>
  <c r="AX226" i="1"/>
  <c r="AW226" i="1"/>
  <c r="AW225" i="1"/>
  <c r="AX225" i="1"/>
  <c r="AX331" i="1"/>
  <c r="AW331" i="1"/>
  <c r="AW330" i="1"/>
  <c r="AX330" i="1"/>
  <c r="AX311" i="1"/>
  <c r="AW311" i="1"/>
  <c r="AW310" i="1"/>
  <c r="AX310" i="1"/>
  <c r="AX299" i="1"/>
  <c r="AW299" i="1"/>
  <c r="AW298" i="1"/>
  <c r="AX298" i="1"/>
  <c r="AW289" i="1"/>
  <c r="AX289" i="1"/>
  <c r="AX278" i="1"/>
  <c r="AW278" i="1"/>
  <c r="AW257" i="1"/>
  <c r="AX257" i="1"/>
  <c r="AX453" i="1"/>
  <c r="AX437" i="1"/>
  <c r="AX421" i="1"/>
  <c r="AX405" i="1"/>
  <c r="AX389" i="1"/>
  <c r="AX373" i="1"/>
  <c r="AX328" i="1"/>
  <c r="AX287" i="1"/>
  <c r="AX255" i="1"/>
  <c r="AX210" i="1"/>
  <c r="AW210" i="1"/>
  <c r="AX214" i="1"/>
  <c r="AW214" i="1"/>
  <c r="AW213" i="1"/>
  <c r="AX213" i="1"/>
  <c r="AX250" i="1"/>
  <c r="AW250" i="1"/>
  <c r="AW249" i="1"/>
  <c r="AX249" i="1"/>
  <c r="AX234" i="1"/>
  <c r="AW234" i="1"/>
  <c r="AW233" i="1"/>
  <c r="AX233" i="1"/>
  <c r="AX218" i="1"/>
  <c r="AW218" i="1"/>
  <c r="AW217" i="1"/>
  <c r="AX217" i="1"/>
  <c r="AX327" i="1"/>
  <c r="AW327" i="1"/>
  <c r="AW326" i="1"/>
  <c r="AX326" i="1"/>
  <c r="AX315" i="1"/>
  <c r="AW315" i="1"/>
  <c r="AW314" i="1"/>
  <c r="AX314" i="1"/>
  <c r="AX295" i="1"/>
  <c r="AW295" i="1"/>
  <c r="AW294" i="1"/>
  <c r="AX294" i="1"/>
  <c r="AW285" i="1"/>
  <c r="AX285" i="1"/>
  <c r="AX282" i="1"/>
  <c r="AW282" i="1"/>
  <c r="AW273" i="1"/>
  <c r="AX273" i="1"/>
  <c r="AX262" i="1"/>
  <c r="AW262" i="1"/>
  <c r="AW253" i="1"/>
  <c r="AX253" i="1"/>
  <c r="AX455" i="1"/>
  <c r="AX451" i="1"/>
  <c r="AX447" i="1"/>
  <c r="AX443" i="1"/>
  <c r="AX439" i="1"/>
  <c r="AX435" i="1"/>
  <c r="AX431" i="1"/>
  <c r="AX427" i="1"/>
  <c r="AX423" i="1"/>
  <c r="AX419" i="1"/>
  <c r="AX415" i="1"/>
  <c r="AX411" i="1"/>
  <c r="AX407" i="1"/>
  <c r="AX403" i="1"/>
  <c r="AX399" i="1"/>
  <c r="AX395" i="1"/>
  <c r="AX391" i="1"/>
  <c r="AX387" i="1"/>
  <c r="AX383" i="1"/>
  <c r="AX379" i="1"/>
  <c r="AX375" i="1"/>
  <c r="AX371" i="1"/>
  <c r="AX364" i="1"/>
  <c r="AX356" i="1"/>
  <c r="AX348" i="1"/>
  <c r="AX340" i="1"/>
  <c r="AX332" i="1"/>
  <c r="AX324" i="1"/>
  <c r="AX316" i="1"/>
  <c r="AX308" i="1"/>
  <c r="AX300" i="1"/>
  <c r="AX291" i="1"/>
  <c r="AX283" i="1"/>
  <c r="AX275" i="1"/>
  <c r="AX267" i="1"/>
  <c r="AX259" i="1"/>
  <c r="AX251" i="1"/>
  <c r="AX243" i="1"/>
  <c r="AX235" i="1"/>
  <c r="AX227" i="1"/>
  <c r="AX219" i="1"/>
  <c r="AX211" i="1"/>
  <c r="AX203" i="1"/>
  <c r="AX293" i="1"/>
</calcChain>
</file>

<file path=xl/sharedStrings.xml><?xml version="1.0" encoding="utf-8"?>
<sst xmlns="http://schemas.openxmlformats.org/spreadsheetml/2006/main" count="3255" uniqueCount="503">
  <si>
    <t>CLUSTER</t>
  </si>
  <si>
    <t>SITE ID/NAME</t>
  </si>
  <si>
    <t>ISSUE</t>
  </si>
  <si>
    <t>INVOLVED GROUP/S</t>
  </si>
  <si>
    <t>DATE ENDORSED</t>
  </si>
  <si>
    <t>WATO REMARKS</t>
  </si>
  <si>
    <t>STATUS</t>
  </si>
  <si>
    <t>FSR</t>
  </si>
  <si>
    <t>QUOTATION</t>
  </si>
  <si>
    <t>REPAIR WORKS / CONSUMABLES</t>
  </si>
  <si>
    <t>SLA FOR REPAIR WORKS / CONSUMABLE</t>
  </si>
  <si>
    <t>WORK ORDER</t>
  </si>
  <si>
    <t>DATE RECTIFIED</t>
  </si>
  <si>
    <t>TRACKER REMARKS</t>
  </si>
  <si>
    <t>SLA MONITORING (AGEING)</t>
  </si>
  <si>
    <t>TOTAL DAYS UPON ENDORSEMENT</t>
  </si>
  <si>
    <t>WO DEPENDENCY</t>
  </si>
  <si>
    <t>WO NUMBER</t>
  </si>
  <si>
    <t>DATE FILED</t>
  </si>
  <si>
    <t>"FOR IMPLEMENTATION" DATE</t>
  </si>
  <si>
    <t>REMARKS</t>
  </si>
  <si>
    <t>FSR RELEASING</t>
  </si>
  <si>
    <t>WO CREATION TO APPROVAL</t>
  </si>
  <si>
    <t>CIB</t>
  </si>
  <si>
    <t>CSMP IMPLEMENTATION ACTUAL</t>
  </si>
  <si>
    <t>CSMP IMPLEMENTATION</t>
  </si>
  <si>
    <t>CONSUMABLE CATEGORY</t>
  </si>
  <si>
    <t>AWAITING FSR</t>
  </si>
  <si>
    <t>PENDING WFM WO</t>
  </si>
  <si>
    <t>WATO WO FILING</t>
  </si>
  <si>
    <t>DONE WITH DELAY</t>
  </si>
  <si>
    <t>DONE WITHIN SLA</t>
  </si>
  <si>
    <t>Item</t>
  </si>
  <si>
    <t>Repair work</t>
  </si>
  <si>
    <t>SLA</t>
  </si>
  <si>
    <t>WARRANTY</t>
  </si>
  <si>
    <t>Overhauling</t>
  </si>
  <si>
    <t>3 months warranty or 1500 running hours whichever comes first</t>
  </si>
  <si>
    <t>Top Overhauling</t>
  </si>
  <si>
    <t>Rewinding-Main Alternator (incl.exciter)</t>
  </si>
  <si>
    <t xml:space="preserve">3 months warranty </t>
  </si>
  <si>
    <t>Rewinding-Exciter only</t>
  </si>
  <si>
    <t>Starter replacement</t>
  </si>
  <si>
    <t>Starter repair</t>
  </si>
  <si>
    <t>Charging Alternator repair</t>
  </si>
  <si>
    <t>Charging alternator replacement</t>
  </si>
  <si>
    <t>Radiator repair</t>
  </si>
  <si>
    <t>Radiator replacement</t>
  </si>
  <si>
    <t>Water pump</t>
  </si>
  <si>
    <t>GCU (Genset control unit)</t>
  </si>
  <si>
    <t>Fuel Solenoid</t>
  </si>
  <si>
    <t>Oil seal replacement (front &amp; rear)</t>
  </si>
  <si>
    <t>Injection pump (repair &amp; calibration)</t>
  </si>
  <si>
    <t>Injection</t>
  </si>
  <si>
    <t>Automatoc Voltage Regulator</t>
  </si>
  <si>
    <t>KWH meter</t>
  </si>
  <si>
    <t>Cranking Module</t>
  </si>
  <si>
    <t>Battery Charger</t>
  </si>
  <si>
    <t>Oil pressure sender</t>
  </si>
  <si>
    <t>High temperature shutdown sender</t>
  </si>
  <si>
    <t>Lower &amp; upper radiator hose</t>
  </si>
  <si>
    <t>Flexible exhaust pipe</t>
  </si>
  <si>
    <t>Breakers/fuses</t>
  </si>
  <si>
    <t>Elecrical wiring and devices (less than 25K)</t>
  </si>
  <si>
    <t>Civil works (less than 25K)</t>
  </si>
  <si>
    <t>Wacu/pacu repair</t>
  </si>
  <si>
    <t>ATS &amp; MTS repair</t>
  </si>
  <si>
    <t>Exhaust Fan</t>
  </si>
  <si>
    <t>1 year</t>
  </si>
  <si>
    <t xml:space="preserve">Hauling </t>
  </si>
  <si>
    <t>Works not service affecting can be schedule agreed with FO.</t>
  </si>
  <si>
    <t>WO Dependency</t>
  </si>
  <si>
    <t>WFM</t>
  </si>
  <si>
    <t>WATO</t>
  </si>
  <si>
    <t>Battery</t>
  </si>
  <si>
    <t>Change Oil</t>
  </si>
  <si>
    <t>Air/Oil Filter</t>
  </si>
  <si>
    <t>RH Meter</t>
  </si>
  <si>
    <t>Battery Switch/terminal</t>
  </si>
  <si>
    <t>Coolant</t>
  </si>
  <si>
    <t>Minor Accessories Repair</t>
  </si>
  <si>
    <t>TRACKER COMMENTS</t>
  </si>
  <si>
    <t>TRACKER CONDITION</t>
  </si>
  <si>
    <t>CONDITION1</t>
  </si>
  <si>
    <t>CONDITION2</t>
  </si>
  <si>
    <t>CONDITION3</t>
  </si>
  <si>
    <t>CONDITION4</t>
  </si>
  <si>
    <t>CONDITION5</t>
  </si>
  <si>
    <t>Involved Group: except WFM only</t>
  </si>
  <si>
    <t>Status: DONE</t>
  </si>
  <si>
    <t>Date Rectified</t>
  </si>
  <si>
    <t>CSMP Impl SLA Remarks: WITHIN SLA</t>
  </si>
  <si>
    <t>CSMP Impl SLA Remarks: EXCEEDED SLA</t>
  </si>
  <si>
    <t>Status: PENDING</t>
  </si>
  <si>
    <t>FSR Status: AWAITING FROM CSMP</t>
  </si>
  <si>
    <t>FSR Status: WATO ON-HAND</t>
  </si>
  <si>
    <t>FSR Received Date</t>
  </si>
  <si>
    <t>WO Dependency: WATO</t>
  </si>
  <si>
    <t>FOR IMPLEMENTATION DATE: NONE</t>
  </si>
  <si>
    <t>FSR Status: SUBMITTED TO WFM</t>
  </si>
  <si>
    <t>WO Dependency: WFM</t>
  </si>
  <si>
    <t>FOR CSMP IMPLEMENTATION</t>
  </si>
  <si>
    <t>FOR IMPLEMENTATION DATE</t>
  </si>
  <si>
    <t>CSMP, WATO, WFM</t>
  </si>
  <si>
    <t>CSMP, WATO</t>
  </si>
  <si>
    <t>DONE</t>
  </si>
  <si>
    <t>PENDING</t>
  </si>
  <si>
    <t>AWAITING FROM CSMP</t>
  </si>
  <si>
    <t>SUBMITTED TO WFM</t>
  </si>
  <si>
    <t>WATO ON-HAND</t>
  </si>
  <si>
    <t>GENSET</t>
  </si>
  <si>
    <t>ATS</t>
  </si>
  <si>
    <t>ACU</t>
  </si>
  <si>
    <t>FOR LEVEL1 APPROVAL</t>
  </si>
  <si>
    <t>FOR LEVEL2 APPROVAL</t>
  </si>
  <si>
    <t>FOR IMPLEMENTATION</t>
  </si>
  <si>
    <t>involvegroup</t>
  </si>
  <si>
    <t>fsrstat</t>
  </si>
  <si>
    <t>cmrstat</t>
  </si>
  <si>
    <t>concat</t>
  </si>
  <si>
    <t>wostat</t>
  </si>
  <si>
    <t>FRBASE</t>
  </si>
  <si>
    <t>WOBASE</t>
  </si>
  <si>
    <t>WOCTAA</t>
  </si>
  <si>
    <t>Row Labels</t>
  </si>
  <si>
    <t>Grand Total</t>
  </si>
  <si>
    <t>Average of FSR RELEASING</t>
  </si>
  <si>
    <t>Average of WO CREATION TO APPROVAL</t>
  </si>
  <si>
    <t>Average of CSMP IMPLEMENTATION</t>
  </si>
  <si>
    <t>CONSUMABLE DETAILS</t>
  </si>
  <si>
    <t>Others</t>
  </si>
  <si>
    <t>(blank)</t>
  </si>
  <si>
    <t>CMR SOURCE</t>
  </si>
  <si>
    <t>ECALL TICKET NUMBER</t>
  </si>
  <si>
    <t>Area</t>
  </si>
  <si>
    <t>SITE CATEGORY</t>
  </si>
  <si>
    <t>area</t>
  </si>
  <si>
    <t>Area 1</t>
  </si>
  <si>
    <t>Area 2</t>
  </si>
  <si>
    <t>Area 3</t>
  </si>
  <si>
    <t>BSC</t>
  </si>
  <si>
    <t>Major Hub</t>
  </si>
  <si>
    <t>sitecat</t>
  </si>
  <si>
    <t>Last Mile</t>
  </si>
  <si>
    <t>Intermidiate Link</t>
  </si>
  <si>
    <t>cmrsource</t>
  </si>
  <si>
    <t>E-CALL</t>
  </si>
  <si>
    <t>CMR ENDORSEMENT AND DETAILS</t>
  </si>
  <si>
    <t>PMR</t>
  </si>
  <si>
    <t>FSRREF</t>
  </si>
  <si>
    <t>FSRRBASE</t>
  </si>
  <si>
    <t>Count of TRACKER REMARKS</t>
  </si>
  <si>
    <t>Column Labels</t>
  </si>
  <si>
    <t>(All)</t>
  </si>
  <si>
    <t>PM</t>
  </si>
  <si>
    <t>Brand/ Model</t>
  </si>
  <si>
    <t>SN</t>
  </si>
  <si>
    <t>Genset Wont Start</t>
  </si>
  <si>
    <t xml:space="preserve"> FSR STATUS</t>
  </si>
  <si>
    <t>Q STATUS</t>
  </si>
  <si>
    <t>W.O. STATUS</t>
  </si>
  <si>
    <t xml:space="preserve"> STATUS</t>
  </si>
  <si>
    <t>Count of CONSUMABLE CATEGORY</t>
  </si>
  <si>
    <t>Count of WO NUMBER</t>
  </si>
  <si>
    <t>Field Service Report</t>
  </si>
  <si>
    <t>Work Order Issuance</t>
  </si>
  <si>
    <t>Count of Pending</t>
  </si>
  <si>
    <t>WITHIN SLA</t>
  </si>
  <si>
    <t>EXCEEDED SLA</t>
  </si>
  <si>
    <t/>
  </si>
  <si>
    <t>Powercity 25KVA</t>
  </si>
  <si>
    <t>INCORRECT DATA INPUT</t>
  </si>
  <si>
    <t>WFM SLA</t>
  </si>
  <si>
    <t>Perkins 15KVA</t>
  </si>
  <si>
    <t>G13121816</t>
  </si>
  <si>
    <t>Denyo 25KVA</t>
  </si>
  <si>
    <t>Powercity 45KVA</t>
  </si>
  <si>
    <t>Genset wont Start</t>
  </si>
  <si>
    <t>V3607</t>
  </si>
  <si>
    <t>20170117-0004</t>
  </si>
  <si>
    <t>Busted ECB</t>
  </si>
  <si>
    <t xml:space="preserve">Completed </t>
  </si>
  <si>
    <t>V0070</t>
  </si>
  <si>
    <t>2017119-0008</t>
  </si>
  <si>
    <t xml:space="preserve">Genset wont start </t>
  </si>
  <si>
    <t xml:space="preserve">Water Dripping </t>
  </si>
  <si>
    <t xml:space="preserve">No response </t>
  </si>
  <si>
    <t>Ormoc12317_001</t>
  </si>
  <si>
    <t xml:space="preserve">No Response from CSMP </t>
  </si>
  <si>
    <t>Z81</t>
  </si>
  <si>
    <t>Ormoc12317_002</t>
  </si>
  <si>
    <t>VISMSN-20170119-0010</t>
  </si>
  <si>
    <t>defective battery switch</t>
  </si>
  <si>
    <t>Powercity</t>
  </si>
  <si>
    <t>G14070562</t>
  </si>
  <si>
    <t>MSN-012017-001</t>
  </si>
  <si>
    <t>VISMSN-20170122-0017</t>
  </si>
  <si>
    <t>burnt module, no automatic transfer</t>
  </si>
  <si>
    <t>FUD: Replacement of ATS module</t>
  </si>
  <si>
    <t>Kutai</t>
  </si>
  <si>
    <t>VISMSN-20170123-0018</t>
  </si>
  <si>
    <t>Genset suddenly shut down. Low voltage alarm</t>
  </si>
  <si>
    <t xml:space="preserve">DCB: For replacement of feed pump at injection jump. </t>
  </si>
  <si>
    <t>VISMSN-20170123-0019</t>
  </si>
  <si>
    <t>Genset suddenly shut down.</t>
  </si>
  <si>
    <t>DCB: Resolved but no FSR</t>
  </si>
  <si>
    <t>VISMSN-20170123-0020</t>
  </si>
  <si>
    <t>Genset no output</t>
  </si>
  <si>
    <t>DCB: For replacement of AVR</t>
  </si>
  <si>
    <t>Denyo</t>
  </si>
  <si>
    <t>VISMSN-20170123-0021</t>
  </si>
  <si>
    <t>VISMSN-20170123-0023</t>
  </si>
  <si>
    <t>Busted Fuselink</t>
  </si>
  <si>
    <t>FUD: Replacement of Busted Fuselink</t>
  </si>
  <si>
    <t>MSN-012517-001</t>
  </si>
  <si>
    <t>VIS2017-16</t>
  </si>
  <si>
    <t>Damaged power meter and dropped wires</t>
  </si>
  <si>
    <t>DCB: For line clearing and power meter base rehab</t>
  </si>
  <si>
    <t>VIS2017-17</t>
  </si>
  <si>
    <t>Genset wont start</t>
  </si>
  <si>
    <t>DCB: On-going</t>
  </si>
  <si>
    <t>Olympian</t>
  </si>
  <si>
    <t>VIS2017-18</t>
  </si>
  <si>
    <t>Genset won't start</t>
  </si>
  <si>
    <t>VIS2017-19</t>
  </si>
  <si>
    <t>VIS2017-21</t>
  </si>
  <si>
    <t>FUD: for replacement of genset</t>
  </si>
  <si>
    <t>VIS2017-25</t>
  </si>
  <si>
    <t>Genset suddenly shutdown</t>
  </si>
  <si>
    <t>FUD: refill engine oil</t>
  </si>
  <si>
    <t>VIS2017-29</t>
  </si>
  <si>
    <t>FUD: Replacement of Busted Fuselink and Powerlince Clearing</t>
  </si>
  <si>
    <t>MSN-013017-001</t>
  </si>
  <si>
    <t>VIS2017-32</t>
  </si>
  <si>
    <t>FUD: for refilling of engine oil</t>
  </si>
  <si>
    <t>VIS2017-37-8</t>
  </si>
  <si>
    <t>FUD for refilling of fuel</t>
  </si>
  <si>
    <t>Genset cant start</t>
  </si>
  <si>
    <t>FUD: Replacement of Battery Switch</t>
  </si>
  <si>
    <t>G12120903</t>
  </si>
  <si>
    <t>VIS2017-91-8</t>
  </si>
  <si>
    <t>ACU no cooling/defective compressor</t>
  </si>
  <si>
    <t>DCB: Defective compressor. ACU for replacement</t>
  </si>
  <si>
    <t>Carrier</t>
  </si>
  <si>
    <t>51PMXRACCAR19KEDE08PC-0309849</t>
  </si>
  <si>
    <t>51PMXRACCAR19KEDE08PC-0309853</t>
  </si>
  <si>
    <t>Genset overheating. Leaking radiator</t>
  </si>
  <si>
    <t>DCB: Leaking radiator for replacement</t>
  </si>
  <si>
    <t>Busted perimeter lights</t>
  </si>
  <si>
    <t>DCB: For replacement of bulb, socket and wires</t>
  </si>
  <si>
    <t>SITE ID</t>
  </si>
  <si>
    <t>SITE Name</t>
  </si>
  <si>
    <t>Tacloban 7</t>
  </si>
  <si>
    <t>Macrohon</t>
  </si>
  <si>
    <t>Libagon</t>
  </si>
  <si>
    <t>Javier</t>
  </si>
  <si>
    <t>Tunga</t>
  </si>
  <si>
    <t>Marabut RS</t>
  </si>
  <si>
    <t>Maasin1</t>
  </si>
  <si>
    <t>Palo 1</t>
  </si>
  <si>
    <t>F36</t>
  </si>
  <si>
    <t>Malitbog</t>
  </si>
  <si>
    <t>Inopacan</t>
  </si>
  <si>
    <t>Cabulihan</t>
  </si>
  <si>
    <t>J58</t>
  </si>
  <si>
    <t>Sta Rita Tominamos</t>
  </si>
  <si>
    <t>Babatngon Rizal</t>
  </si>
  <si>
    <t>Pintuyan BTS</t>
  </si>
  <si>
    <t>V0058</t>
  </si>
  <si>
    <t>Pintuyan RS</t>
  </si>
  <si>
    <t>V3601</t>
  </si>
  <si>
    <t>Sun Hilongos</t>
  </si>
  <si>
    <t>Sun Libagon</t>
  </si>
  <si>
    <t>Sun Liloan</t>
  </si>
  <si>
    <t>Sun Malitbog</t>
  </si>
  <si>
    <t>Lower Villa</t>
  </si>
  <si>
    <t>Cahagnaan</t>
  </si>
  <si>
    <t>FSR Number</t>
  </si>
  <si>
    <t>for replacement of ATS</t>
  </si>
  <si>
    <t>MAA-02162017-005</t>
  </si>
  <si>
    <t xml:space="preserve">V5255 </t>
  </si>
  <si>
    <t>MAA-02162017-004</t>
  </si>
  <si>
    <t xml:space="preserve">V3674 </t>
  </si>
  <si>
    <t>G14070569</t>
  </si>
  <si>
    <t>MAA-02162017-003</t>
  </si>
  <si>
    <t xml:space="preserve">J36 </t>
  </si>
  <si>
    <t>for quotation by local coop for post replacement</t>
  </si>
  <si>
    <t xml:space="preserve"> Hinundayan</t>
  </si>
  <si>
    <t>Kipor</t>
  </si>
  <si>
    <t>for ARDA, for replacement of genset</t>
  </si>
  <si>
    <t xml:space="preserve">V3670 </t>
  </si>
  <si>
    <t>G14070679</t>
  </si>
  <si>
    <t>MAA-02162017-006</t>
  </si>
  <si>
    <t xml:space="preserve">V0033 </t>
  </si>
  <si>
    <t xml:space="preserve">V0058 </t>
  </si>
  <si>
    <t xml:space="preserve">V5257 </t>
  </si>
  <si>
    <t xml:space="preserve">V3673 </t>
  </si>
  <si>
    <t>for replacement of WACU; already applied ATMF for transfer from Maasin 2</t>
  </si>
  <si>
    <t xml:space="preserve">V3601 </t>
  </si>
  <si>
    <t xml:space="preserve">F79 </t>
  </si>
  <si>
    <t>MAA-02162017-001</t>
  </si>
  <si>
    <t>VIS2017-111-8</t>
  </si>
  <si>
    <t>DCB: Genset wont start</t>
  </si>
  <si>
    <t>Hindang</t>
  </si>
  <si>
    <t>ACU defective compressor</t>
  </si>
  <si>
    <t>FUD: for replacement of new ACU</t>
  </si>
  <si>
    <t xml:space="preserve">V5231 </t>
  </si>
  <si>
    <t>Hindang Doos</t>
  </si>
  <si>
    <t>for replacement of new padlock</t>
  </si>
  <si>
    <t>FUD: for replacement of new padlock</t>
  </si>
  <si>
    <t>MSN-020917-001</t>
  </si>
  <si>
    <t>Bontoc</t>
  </si>
  <si>
    <t>VIS2017-129-8</t>
  </si>
  <si>
    <t>Portal ticket #: VIS-2017-02-23-003</t>
  </si>
  <si>
    <t>FUD: replacement of busted fuselink</t>
  </si>
  <si>
    <t xml:space="preserve">V5258 </t>
  </si>
  <si>
    <t>Consolacion</t>
  </si>
  <si>
    <t>VIS2017-128-8</t>
  </si>
  <si>
    <t>Portal ticket #: VIS-2017-02-23-006</t>
  </si>
  <si>
    <t xml:space="preserve">F17 </t>
  </si>
  <si>
    <t>San Juan</t>
  </si>
  <si>
    <t>VIS2017-153-8</t>
  </si>
  <si>
    <t>Portal ticket #: VIS-2017-02-26-011</t>
  </si>
  <si>
    <t>FUD: genset won't start</t>
  </si>
  <si>
    <t xml:space="preserve"> San Juan</t>
  </si>
  <si>
    <t>VIS2017-178-8</t>
  </si>
  <si>
    <t>Portal ticket #: VIS-2017-03-03-010</t>
  </si>
  <si>
    <t>FUD: no commercial power inside the radio room</t>
  </si>
  <si>
    <t>Liloan</t>
  </si>
  <si>
    <t>VIS2017-182-8</t>
  </si>
  <si>
    <t>Portal ticket #: VIS-2017-03-03-011</t>
  </si>
  <si>
    <t>VIS2017-186-8</t>
  </si>
  <si>
    <t>Portal ticket #: VIS-2017-03-06-015</t>
  </si>
  <si>
    <t>FUD: loose contact on ignition switch</t>
  </si>
  <si>
    <t>F57</t>
  </si>
  <si>
    <t>Maasin2</t>
  </si>
  <si>
    <t>VIS2017-194-8</t>
  </si>
  <si>
    <t>Portal ticket #: VIS-2017-03-06-016</t>
  </si>
  <si>
    <t>FUD: loose fan belt, less engine oil</t>
  </si>
  <si>
    <t>V3370</t>
  </si>
  <si>
    <t>Sun Tomas Oppus</t>
  </si>
  <si>
    <t>DCB: Rewire ATS controller to genset battery and genset load going to ATS output</t>
  </si>
  <si>
    <t>VIS-2017-03-11-015</t>
  </si>
  <si>
    <t>Genset wont start. Under frequency alarm</t>
  </si>
  <si>
    <t>DCB: Adjust idling circuit settings</t>
  </si>
  <si>
    <t>Sun Ormoc San Pablo</t>
  </si>
  <si>
    <t>Maripipi</t>
  </si>
  <si>
    <t>Baybay 2 - Lito Quirong</t>
  </si>
  <si>
    <t>Ormoc - Linao</t>
  </si>
  <si>
    <t xml:space="preserve">San Isidro </t>
  </si>
  <si>
    <t xml:space="preserve">Power Clearing </t>
  </si>
  <si>
    <t xml:space="preserve">For WO </t>
  </si>
  <si>
    <t>17-013596</t>
  </si>
  <si>
    <t>V5221</t>
  </si>
  <si>
    <t xml:space="preserve">Sun Matlang </t>
  </si>
  <si>
    <t xml:space="preserve">Padlock </t>
  </si>
  <si>
    <t xml:space="preserve">17-013277 </t>
  </si>
  <si>
    <t xml:space="preserve">F42 </t>
  </si>
  <si>
    <t>Villaba</t>
  </si>
  <si>
    <t xml:space="preserve">Genset AVR </t>
  </si>
  <si>
    <t xml:space="preserve">For Replacement </t>
  </si>
  <si>
    <t xml:space="preserve">Airman 25 KVA </t>
  </si>
  <si>
    <t>1233A50341</t>
  </si>
  <si>
    <t xml:space="preserve">17-011583 </t>
  </si>
  <si>
    <t>Dulag</t>
  </si>
  <si>
    <t>VIS2017-99-8</t>
  </si>
  <si>
    <t>REC: Genset won't start</t>
  </si>
  <si>
    <t>VIS2017-119-8</t>
  </si>
  <si>
    <t>VIS2017-113-8</t>
  </si>
  <si>
    <t>REC: Defective DC Charging Alternator</t>
  </si>
  <si>
    <t>DENYO/25KVA</t>
  </si>
  <si>
    <t>Silago</t>
  </si>
  <si>
    <t>VIS2017-124-8</t>
  </si>
  <si>
    <t>ILO:Request E-Call</t>
  </si>
  <si>
    <t>Mt. Naga-Naga</t>
  </si>
  <si>
    <t>VIS2017-133-8</t>
  </si>
  <si>
    <t>Genset cant start Denyo</t>
  </si>
  <si>
    <t>ILO: Defective FanBelt</t>
  </si>
  <si>
    <t xml:space="preserve">U60 </t>
  </si>
  <si>
    <t>VIS2017-134-8</t>
  </si>
  <si>
    <t>Genset cant Start</t>
  </si>
  <si>
    <t xml:space="preserve"> Palo 1</t>
  </si>
  <si>
    <t>VIS2017-135-9</t>
  </si>
  <si>
    <t>genset cant start Denyo</t>
  </si>
  <si>
    <t>Tac8</t>
  </si>
  <si>
    <t>VIS2017-147-8</t>
  </si>
  <si>
    <t>REC: Request E-Call</t>
  </si>
  <si>
    <t>VIS2017-148-8</t>
  </si>
  <si>
    <t>VIS2017-151-8</t>
  </si>
  <si>
    <t>Portable genset shutdown during operation</t>
  </si>
  <si>
    <t>REC: Diesel mixed with water.</t>
  </si>
  <si>
    <t>VIS2017-152-8</t>
  </si>
  <si>
    <t>REC: Loose contact ingnation switch</t>
  </si>
  <si>
    <t>Tacloban 2</t>
  </si>
  <si>
    <t>VIS2017-149-8</t>
  </si>
  <si>
    <t>genset shutdown during operation</t>
  </si>
  <si>
    <t>REC: refill 4 Liters engine Oill</t>
  </si>
  <si>
    <t>G13121808</t>
  </si>
  <si>
    <t>17-013649</t>
  </si>
  <si>
    <t>for refill 4L</t>
  </si>
  <si>
    <t>VIS2017-205-8</t>
  </si>
  <si>
    <t>Genset with low engine oil Marabut 5882 (Endorsed 03072017 0910H) with VIS2017-205-8 portal E-call Number: VIS-2017-03-11-003</t>
  </si>
  <si>
    <t>VIS2017-206-8</t>
  </si>
  <si>
    <t>Genset with low engine oil 4371 Tunga (Endorsed 03072017 0910H) with VIS2017-206-8; PORTAL ECALL number: VIS-2017-03-11-004</t>
  </si>
  <si>
    <t>F84</t>
  </si>
  <si>
    <t>Tacloban 5</t>
  </si>
  <si>
    <t>VIS2017-207-8</t>
  </si>
  <si>
    <t>Genset cant start F84 Tacloban 5 Perkins (Endorsed 03072017 0910H) with VIS2017-207-8; PORTAL ECALL number: VIS-2017-03-11-005</t>
  </si>
  <si>
    <t>Tacloban 1</t>
  </si>
  <si>
    <t>VIS2017-212-8</t>
  </si>
  <si>
    <t>Genset Cant Start Denyo (Endorsed 03072017 1549H) with VIS2017-212-8; PORTAL ECALL number: VIS-2017-03-11-006</t>
  </si>
  <si>
    <t>VIS2017-228-8</t>
  </si>
  <si>
    <t>Defective Fuselink 4371 Tunga (Endorsed 03102017 2101H) with VIS2017-228-8; PORTAL ECALL number: VIS-2017-03-11-007</t>
  </si>
  <si>
    <t>Busted fuselink</t>
  </si>
  <si>
    <t>VIS2017-229-8</t>
  </si>
  <si>
    <t>Genset with low engine oil 4371 Tunga (Endorsed 03102017 2101H) with VIS2017-229-8; PORTAL ECALL number: VIS-2017-03-11-008</t>
  </si>
  <si>
    <t>VIS2017-230-8</t>
  </si>
  <si>
    <t>Genset Wont start; defective fanbelt (endorsed 03112017 0545H) with ecall number VIS2017-230-8; PORTAL ECALL number: VIS-2017-03-11-009</t>
  </si>
  <si>
    <t>Sta Rita</t>
  </si>
  <si>
    <t>VIS2017-236-8</t>
  </si>
  <si>
    <t>Genset Wont Start (endorsed 03122017 1428H) with ecall number VIS2017-236-8; PORTAL ECALL number: VIS-2017-03-13-011</t>
  </si>
  <si>
    <t>V3615</t>
  </si>
  <si>
    <t>SUN Tacloban Marasbaras</t>
  </si>
  <si>
    <t>VIS2017-237-8</t>
  </si>
  <si>
    <t>Genset automatic shutdown powercigty 25KVA (endorsed 03132017 0454H) with ecall number VIS2017-237-8; PORTAL ECALL number: VIS-2017-03-13-012</t>
  </si>
  <si>
    <t>G14070572</t>
  </si>
  <si>
    <t>Villareal</t>
  </si>
  <si>
    <t>ACU with no power and burnt out compressor</t>
  </si>
  <si>
    <t>Out of warranty.</t>
  </si>
  <si>
    <t>Condura</t>
  </si>
  <si>
    <t>51QSXRACCON19KEDH10PC - 0354563</t>
  </si>
  <si>
    <t>catbalogan</t>
  </si>
  <si>
    <t>Catbalogan</t>
  </si>
  <si>
    <t>Not Cooling</t>
  </si>
  <si>
    <t>Out of warranty. For installation ACU on site</t>
  </si>
  <si>
    <t>51QSXRACCON19KEDR14PC - 0599694</t>
  </si>
  <si>
    <t>Sta. Margarita</t>
  </si>
  <si>
    <t>51QSXRACCON19KED09PC - 393530</t>
  </si>
  <si>
    <t>Catubig</t>
  </si>
  <si>
    <t>20170120-0012</t>
  </si>
  <si>
    <t>N/A</t>
  </si>
  <si>
    <t>Catarman</t>
  </si>
  <si>
    <t>UEP</t>
  </si>
  <si>
    <t>20170121-0014</t>
  </si>
  <si>
    <t>Genset Abnormal Running Condition</t>
  </si>
  <si>
    <t>San Jose</t>
  </si>
  <si>
    <t>20170121-0015</t>
  </si>
  <si>
    <t>Bobon</t>
  </si>
  <si>
    <t>20170130-0001</t>
  </si>
  <si>
    <t>Sulat RS</t>
  </si>
  <si>
    <t>Genset</t>
  </si>
  <si>
    <t>Main alternator and field exciter for rewinding</t>
  </si>
  <si>
    <t>Borongan</t>
  </si>
  <si>
    <t>Guiuan</t>
  </si>
  <si>
    <t>DC Charging alternator for repair</t>
  </si>
  <si>
    <t>Guiuan-Calicoan</t>
  </si>
  <si>
    <t>Main alternator for rewind</t>
  </si>
  <si>
    <t>Jipapad</t>
  </si>
  <si>
    <t>Palapag</t>
  </si>
  <si>
    <t>Defective Actuator , for replacement</t>
  </si>
  <si>
    <t>Maydolong</t>
  </si>
  <si>
    <t>DEF. ACTUATOR AND CONTROLLER/DISPLAY</t>
  </si>
  <si>
    <t>Arteche</t>
  </si>
  <si>
    <t>For repair (under warranty)</t>
  </si>
  <si>
    <t>Dolores</t>
  </si>
  <si>
    <t>Hernani</t>
  </si>
  <si>
    <t>San Policarpio</t>
  </si>
  <si>
    <t>defective ACU compressor,beyond repair</t>
  </si>
  <si>
    <t>Taft Eastern Samar</t>
  </si>
  <si>
    <t>Def Compressor. For replacement</t>
  </si>
  <si>
    <t>Borongan-Lalawigan</t>
  </si>
  <si>
    <t>For replacement of defective Module control</t>
  </si>
  <si>
    <t>San Julian</t>
  </si>
  <si>
    <t>main alternator for rewinding</t>
  </si>
  <si>
    <t>Gandara</t>
  </si>
  <si>
    <t>Beyond repair</t>
  </si>
  <si>
    <t>Socorro</t>
  </si>
  <si>
    <t>G0809031</t>
  </si>
  <si>
    <t>Daram</t>
  </si>
  <si>
    <t>G0910919</t>
  </si>
  <si>
    <t>San Jorge</t>
  </si>
  <si>
    <t>G10090855</t>
  </si>
  <si>
    <t>Sta Margarita</t>
  </si>
  <si>
    <t>Calbiga</t>
  </si>
  <si>
    <t>Tarangnan</t>
  </si>
  <si>
    <t>San Agustin</t>
  </si>
  <si>
    <t>Pinabacao</t>
  </si>
  <si>
    <t>PLDT Catbalogan</t>
  </si>
  <si>
    <t>Paranas</t>
  </si>
  <si>
    <t>Zumarraga</t>
  </si>
  <si>
    <t>Catbalogan RS</t>
  </si>
  <si>
    <t>Maulong</t>
  </si>
  <si>
    <t>PLDT Calbayog</t>
  </si>
  <si>
    <t>ATS beyond repair</t>
  </si>
  <si>
    <t>Genset Unrepairable</t>
  </si>
  <si>
    <t>V92210110</t>
  </si>
  <si>
    <t>Oquindo</t>
  </si>
  <si>
    <t>G18061006</t>
  </si>
  <si>
    <t>G09121252</t>
  </si>
  <si>
    <t>no output power</t>
  </si>
  <si>
    <t>2017-166-9</t>
  </si>
  <si>
    <t>20170120-0011</t>
  </si>
  <si>
    <t>wont 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</si>
</sst>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;@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168">
    <xf numFmtId="0" fontId="0" fillId="0" borderId="0" xfId="0"/>
    <xf numFmtId="0" fontId="2" fillId="0" borderId="0" xfId="0" applyFont="1"/>
    <xf numFmtId="0" fontId="2" fillId="0" borderId="11" xfId="0" applyFont="1" applyBorder="1" applyAlignment="1" applyProtection="1">
      <alignment horizontal="center" vertical="center"/>
      <protection locked="0"/>
    </xf>
    <xf numFmtId="164" fontId="2" fillId="0" borderId="11" xfId="0" applyNumberFormat="1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164" fontId="2" fillId="0" borderId="1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3" fillId="4" borderId="5" xfId="0" applyFont="1" applyFill="1" applyBorder="1" applyAlignment="1" applyProtection="1">
      <alignment horizontal="center" vertical="center" wrapText="1"/>
      <protection locked="0"/>
    </xf>
    <xf numFmtId="0" fontId="2" fillId="5" borderId="11" xfId="0" applyFont="1" applyFill="1" applyBorder="1" applyAlignment="1" applyProtection="1">
      <alignment horizontal="center" vertical="center" wrapText="1"/>
      <protection locked="0"/>
    </xf>
    <xf numFmtId="0" fontId="2" fillId="6" borderId="11" xfId="0" applyFont="1" applyFill="1" applyBorder="1" applyAlignment="1" applyProtection="1">
      <alignment horizontal="center" vertical="center" wrapText="1"/>
      <protection locked="0"/>
    </xf>
    <xf numFmtId="0" fontId="2" fillId="7" borderId="11" xfId="0" applyFont="1" applyFill="1" applyBorder="1" applyAlignment="1" applyProtection="1">
      <alignment horizontal="center" vertical="center" wrapText="1"/>
      <protection locked="0"/>
    </xf>
    <xf numFmtId="0" fontId="2" fillId="7" borderId="14" xfId="0" applyFont="1" applyFill="1" applyBorder="1" applyAlignment="1" applyProtection="1">
      <alignment horizontal="center" vertical="center" wrapText="1"/>
      <protection locked="0"/>
    </xf>
    <xf numFmtId="0" fontId="0" fillId="0" borderId="29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29" xfId="0" applyBorder="1" applyAlignment="1" applyProtection="1">
      <alignment horizontal="center"/>
    </xf>
    <xf numFmtId="0" fontId="0" fillId="0" borderId="0" xfId="0" applyProtection="1"/>
    <xf numFmtId="164" fontId="0" fillId="0" borderId="29" xfId="0" applyNumberFormat="1" applyBorder="1" applyProtection="1">
      <protection locked="0"/>
    </xf>
    <xf numFmtId="164" fontId="0" fillId="0" borderId="15" xfId="0" applyNumberFormat="1" applyBorder="1" applyProtection="1">
      <protection locked="0"/>
    </xf>
    <xf numFmtId="164" fontId="0" fillId="0" borderId="29" xfId="0" applyNumberFormat="1" applyBorder="1" applyAlignment="1" applyProtection="1">
      <alignment horizontal="center"/>
      <protection locked="0"/>
    </xf>
    <xf numFmtId="164" fontId="0" fillId="0" borderId="15" xfId="0" applyNumberFormat="1" applyBorder="1" applyAlignment="1" applyProtection="1">
      <alignment horizontal="center"/>
      <protection locked="0"/>
    </xf>
    <xf numFmtId="16" fontId="0" fillId="0" borderId="15" xfId="0" applyNumberFormat="1" applyBorder="1" applyProtection="1">
      <protection locked="0"/>
    </xf>
    <xf numFmtId="0" fontId="0" fillId="0" borderId="0" xfId="0" applyAlignment="1" applyProtection="1">
      <alignment horizontal="center"/>
    </xf>
    <xf numFmtId="0" fontId="0" fillId="0" borderId="29" xfId="0" applyBorder="1" applyAlignment="1" applyProtection="1">
      <alignment horizontal="center" vertical="center" wrapText="1"/>
    </xf>
    <xf numFmtId="0" fontId="5" fillId="2" borderId="15" xfId="1" applyFont="1" applyFill="1" applyBorder="1" applyAlignment="1" applyProtection="1">
      <alignment horizontal="justify" vertical="center" wrapText="1"/>
    </xf>
    <xf numFmtId="0" fontId="5" fillId="2" borderId="15" xfId="1" applyFont="1" applyFill="1" applyBorder="1" applyAlignment="1" applyProtection="1">
      <alignment horizontal="center" vertical="center" wrapText="1"/>
    </xf>
    <xf numFmtId="0" fontId="6" fillId="8" borderId="15" xfId="1" applyFont="1" applyFill="1" applyBorder="1" applyAlignment="1" applyProtection="1">
      <alignment horizontal="justify" vertical="center" wrapText="1"/>
    </xf>
    <xf numFmtId="0" fontId="6" fillId="8" borderId="15" xfId="1" applyFont="1" applyFill="1" applyBorder="1" applyAlignment="1" applyProtection="1">
      <alignment horizontal="center" vertical="center" wrapText="1"/>
    </xf>
    <xf numFmtId="0" fontId="6" fillId="8" borderId="15" xfId="1" applyFont="1" applyFill="1" applyBorder="1" applyAlignment="1" applyProtection="1">
      <alignment horizontal="center" vertical="center"/>
    </xf>
    <xf numFmtId="0" fontId="1" fillId="10" borderId="20" xfId="0" applyFont="1" applyFill="1" applyBorder="1" applyAlignment="1" applyProtection="1">
      <alignment horizontal="center" wrapText="1"/>
    </xf>
    <xf numFmtId="0" fontId="1" fillId="10" borderId="21" xfId="0" applyFont="1" applyFill="1" applyBorder="1" applyAlignment="1" applyProtection="1">
      <alignment horizontal="center" wrapText="1"/>
    </xf>
    <xf numFmtId="0" fontId="1" fillId="10" borderId="22" xfId="0" applyFont="1" applyFill="1" applyBorder="1" applyAlignment="1" applyProtection="1">
      <alignment horizontal="center" wrapText="1"/>
    </xf>
    <xf numFmtId="0" fontId="8" fillId="11" borderId="23" xfId="0" applyFont="1" applyFill="1" applyBorder="1" applyProtection="1"/>
    <xf numFmtId="0" fontId="9" fillId="11" borderId="24" xfId="0" applyFont="1" applyFill="1" applyBorder="1" applyAlignment="1" applyProtection="1">
      <alignment wrapText="1"/>
    </xf>
    <xf numFmtId="0" fontId="9" fillId="11" borderId="15" xfId="0" applyFont="1" applyFill="1" applyBorder="1" applyAlignment="1" applyProtection="1">
      <alignment wrapText="1"/>
    </xf>
    <xf numFmtId="0" fontId="9" fillId="11" borderId="25" xfId="0" applyFont="1" applyFill="1" applyBorder="1" applyAlignment="1" applyProtection="1">
      <alignment wrapText="1"/>
    </xf>
    <xf numFmtId="0" fontId="8" fillId="7" borderId="23" xfId="0" applyFont="1" applyFill="1" applyBorder="1" applyProtection="1"/>
    <xf numFmtId="0" fontId="9" fillId="7" borderId="24" xfId="0" applyFont="1" applyFill="1" applyBorder="1" applyAlignment="1" applyProtection="1">
      <alignment wrapText="1"/>
    </xf>
    <xf numFmtId="0" fontId="9" fillId="7" borderId="15" xfId="0" applyFont="1" applyFill="1" applyBorder="1" applyAlignment="1" applyProtection="1">
      <alignment wrapText="1"/>
    </xf>
    <xf numFmtId="0" fontId="9" fillId="7" borderId="25" xfId="0" applyFont="1" applyFill="1" applyBorder="1" applyAlignment="1" applyProtection="1">
      <alignment wrapText="1"/>
    </xf>
    <xf numFmtId="0" fontId="8" fillId="7" borderId="10" xfId="0" applyFont="1" applyFill="1" applyBorder="1" applyProtection="1"/>
    <xf numFmtId="0" fontId="9" fillId="7" borderId="26" xfId="0" applyFont="1" applyFill="1" applyBorder="1" applyAlignment="1" applyProtection="1">
      <alignment wrapText="1"/>
    </xf>
    <xf numFmtId="0" fontId="9" fillId="7" borderId="27" xfId="0" applyFont="1" applyFill="1" applyBorder="1" applyAlignment="1" applyProtection="1">
      <alignment wrapText="1"/>
    </xf>
    <xf numFmtId="0" fontId="9" fillId="7" borderId="28" xfId="0" applyFont="1" applyFill="1" applyBorder="1" applyAlignment="1" applyProtection="1">
      <alignment wrapText="1"/>
    </xf>
    <xf numFmtId="0" fontId="0" fillId="12" borderId="0" xfId="0" applyFill="1" applyProtection="1"/>
    <xf numFmtId="0" fontId="7" fillId="8" borderId="15" xfId="1" applyFont="1" applyFill="1" applyBorder="1" applyAlignment="1" applyProtection="1">
      <alignment horizontal="center" vertical="center" wrapText="1"/>
    </xf>
    <xf numFmtId="0" fontId="6" fillId="8" borderId="15" xfId="1" applyFont="1" applyFill="1" applyBorder="1" applyAlignment="1" applyProtection="1">
      <alignment vertical="center"/>
    </xf>
    <xf numFmtId="0" fontId="6" fillId="8" borderId="15" xfId="1" applyFont="1" applyFill="1" applyBorder="1" applyAlignment="1" applyProtection="1">
      <alignment vertical="center" wrapText="1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164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3" borderId="1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164" fontId="3" fillId="17" borderId="1" xfId="0" applyNumberFormat="1" applyFont="1" applyFill="1" applyBorder="1" applyAlignment="1" applyProtection="1">
      <alignment vertical="center" wrapText="1"/>
      <protection locked="0"/>
    </xf>
    <xf numFmtId="0" fontId="3" fillId="17" borderId="2" xfId="0" applyFont="1" applyFill="1" applyBorder="1" applyAlignment="1" applyProtection="1">
      <alignment vertical="center"/>
      <protection locked="0"/>
    </xf>
    <xf numFmtId="0" fontId="3" fillId="11" borderId="5" xfId="0" applyFont="1" applyFill="1" applyBorder="1" applyAlignment="1" applyProtection="1">
      <alignment vertical="center" wrapText="1"/>
      <protection locked="0"/>
    </xf>
    <xf numFmtId="1" fontId="0" fillId="0" borderId="0" xfId="0" applyNumberFormat="1"/>
    <xf numFmtId="164" fontId="0" fillId="8" borderId="15" xfId="0" applyNumberForma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164" fontId="0" fillId="8" borderId="29" xfId="0" applyNumberFormat="1" applyFill="1" applyBorder="1" applyAlignment="1" applyProtection="1">
      <alignment horizontal="center"/>
      <protection locked="0"/>
    </xf>
    <xf numFmtId="0" fontId="0" fillId="0" borderId="30" xfId="0" applyBorder="1" applyProtection="1"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left"/>
      <protection locked="0"/>
    </xf>
    <xf numFmtId="0" fontId="0" fillId="0" borderId="29" xfId="0" quotePrefix="1" applyBorder="1" applyAlignment="1" applyProtection="1">
      <alignment horizontal="center"/>
      <protection locked="0"/>
    </xf>
    <xf numFmtId="0" fontId="0" fillId="8" borderId="29" xfId="0" applyFill="1" applyBorder="1" applyAlignment="1" applyProtection="1">
      <alignment horizontal="center"/>
      <protection locked="0"/>
    </xf>
    <xf numFmtId="0" fontId="0" fillId="8" borderId="29" xfId="0" quotePrefix="1" applyFill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left" wrapText="1"/>
      <protection locked="0"/>
    </xf>
    <xf numFmtId="164" fontId="0" fillId="0" borderId="31" xfId="0" applyNumberFormat="1" applyBorder="1" applyAlignment="1" applyProtection="1">
      <alignment horizontal="center"/>
      <protection locked="0"/>
    </xf>
    <xf numFmtId="0" fontId="0" fillId="0" borderId="30" xfId="0" applyFill="1" applyBorder="1" applyProtection="1">
      <protection locked="0"/>
    </xf>
    <xf numFmtId="164" fontId="0" fillId="8" borderId="31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Protection="1"/>
    <xf numFmtId="0" fontId="0" fillId="0" borderId="0" xfId="0" applyAlignment="1">
      <alignment horizontal="center"/>
    </xf>
    <xf numFmtId="0" fontId="2" fillId="0" borderId="11" xfId="0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/>
    <xf numFmtId="0" fontId="0" fillId="0" borderId="0" xfId="0" applyNumberFormat="1" applyAlignment="1">
      <alignment horizontal="center"/>
    </xf>
    <xf numFmtId="0" fontId="2" fillId="3" borderId="11" xfId="0" applyFon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0" xfId="0" applyFill="1"/>
    <xf numFmtId="0" fontId="2" fillId="8" borderId="13" xfId="0" applyFont="1" applyFill="1" applyBorder="1" applyAlignment="1" applyProtection="1">
      <alignment horizontal="center" vertical="center" wrapText="1"/>
      <protection locked="0"/>
    </xf>
    <xf numFmtId="0" fontId="0" fillId="8" borderId="15" xfId="0" applyFill="1" applyBorder="1" applyProtection="1">
      <protection locked="0"/>
    </xf>
    <xf numFmtId="0" fontId="0" fillId="8" borderId="0" xfId="0" applyFill="1" applyProtection="1">
      <protection locked="0"/>
    </xf>
    <xf numFmtId="0" fontId="0" fillId="8" borderId="0" xfId="0" applyFill="1"/>
    <xf numFmtId="0" fontId="0" fillId="0" borderId="0" xfId="0" applyAlignment="1">
      <alignment horizontal="center"/>
    </xf>
    <xf numFmtId="164" fontId="12" fillId="17" borderId="1" xfId="0" applyNumberFormat="1" applyFont="1" applyFill="1" applyBorder="1" applyAlignment="1" applyProtection="1">
      <alignment vertical="center" wrapText="1"/>
      <protection locked="0"/>
    </xf>
    <xf numFmtId="0" fontId="12" fillId="17" borderId="2" xfId="0" applyFont="1" applyFill="1" applyBorder="1" applyAlignment="1" applyProtection="1">
      <alignment vertical="center"/>
      <protection locked="0"/>
    </xf>
    <xf numFmtId="0" fontId="0" fillId="0" borderId="15" xfId="0" pivotButton="1" applyBorder="1"/>
    <xf numFmtId="0" fontId="0" fillId="0" borderId="15" xfId="0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NumberFormat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0" fontId="0" fillId="0" borderId="29" xfId="0" applyBorder="1" applyAlignment="1" applyProtection="1">
      <alignment horizontal="center"/>
    </xf>
    <xf numFmtId="0" fontId="0" fillId="0" borderId="29" xfId="0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19" borderId="29" xfId="0" applyFill="1" applyBorder="1" applyAlignment="1" applyProtection="1">
      <alignment horizontal="center" vertical="center" wrapText="1"/>
    </xf>
    <xf numFmtId="0" fontId="0" fillId="3" borderId="29" xfId="0" applyFill="1" applyBorder="1" applyAlignment="1" applyProtection="1">
      <alignment horizontal="center"/>
    </xf>
    <xf numFmtId="0" fontId="0" fillId="3" borderId="29" xfId="0" applyFill="1" applyBorder="1" applyAlignment="1" applyProtection="1">
      <alignment horizontal="center" vertical="center" wrapText="1"/>
    </xf>
    <xf numFmtId="0" fontId="0" fillId="2" borderId="29" xfId="0" applyFill="1" applyBorder="1" applyAlignment="1" applyProtection="1">
      <alignment horizontal="center" vertical="center" wrapText="1"/>
    </xf>
    <xf numFmtId="0" fontId="0" fillId="3" borderId="0" xfId="0" applyFill="1" applyProtection="1"/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8" borderId="29" xfId="0" applyFill="1" applyBorder="1" applyProtection="1">
      <protection locked="0"/>
    </xf>
    <xf numFmtId="0" fontId="0" fillId="8" borderId="29" xfId="0" applyFill="1" applyBorder="1" applyAlignment="1" applyProtection="1">
      <alignment wrapText="1"/>
      <protection locked="0"/>
    </xf>
    <xf numFmtId="0" fontId="10" fillId="8" borderId="29" xfId="0" applyFont="1" applyFill="1" applyBorder="1" applyAlignment="1" applyProtection="1">
      <alignment wrapText="1"/>
      <protection locked="0"/>
    </xf>
    <xf numFmtId="164" fontId="0" fillId="8" borderId="29" xfId="0" applyNumberFormat="1" applyFill="1" applyBorder="1" applyProtection="1">
      <protection locked="0"/>
    </xf>
    <xf numFmtId="0" fontId="0" fillId="8" borderId="29" xfId="0" applyFill="1" applyBorder="1" applyAlignment="1" applyProtection="1">
      <alignment horizontal="center" vertical="center"/>
      <protection locked="0"/>
    </xf>
    <xf numFmtId="0" fontId="0" fillId="8" borderId="29" xfId="0" applyFill="1" applyBorder="1" applyAlignment="1" applyProtection="1">
      <alignment horizontal="center"/>
    </xf>
    <xf numFmtId="0" fontId="0" fillId="8" borderId="31" xfId="0" applyFill="1" applyBorder="1" applyAlignment="1" applyProtection="1">
      <alignment horizontal="center" vertical="center"/>
      <protection locked="0"/>
    </xf>
    <xf numFmtId="164" fontId="0" fillId="8" borderId="15" xfId="0" applyNumberFormat="1" applyFill="1" applyBorder="1" applyProtection="1">
      <protection locked="0"/>
    </xf>
    <xf numFmtId="0" fontId="0" fillId="8" borderId="31" xfId="0" applyFill="1" applyBorder="1" applyProtection="1">
      <protection locked="0"/>
    </xf>
    <xf numFmtId="0" fontId="10" fillId="8" borderId="29" xfId="0" applyFont="1" applyFill="1" applyBorder="1" applyAlignment="1" applyProtection="1">
      <alignment horizontal="center" wrapText="1"/>
      <protection locked="0"/>
    </xf>
    <xf numFmtId="0" fontId="0" fillId="8" borderId="15" xfId="0" applyFill="1" applyBorder="1" applyAlignment="1" applyProtection="1">
      <alignment horizontal="center"/>
      <protection locked="0"/>
    </xf>
    <xf numFmtId="0" fontId="10" fillId="8" borderId="15" xfId="0" applyFont="1" applyFill="1" applyBorder="1" applyAlignment="1" applyProtection="1">
      <alignment horizontal="center" wrapText="1"/>
      <protection locked="0"/>
    </xf>
    <xf numFmtId="0" fontId="0" fillId="8" borderId="29" xfId="0" applyFill="1" applyBorder="1" applyAlignment="1" applyProtection="1">
      <alignment horizontal="left"/>
      <protection locked="0"/>
    </xf>
    <xf numFmtId="0" fontId="10" fillId="8" borderId="15" xfId="0" applyFont="1" applyFill="1" applyBorder="1" applyAlignment="1" applyProtection="1">
      <alignment wrapText="1"/>
      <protection locked="0"/>
    </xf>
    <xf numFmtId="0" fontId="0" fillId="8" borderId="31" xfId="0" applyFill="1" applyBorder="1" applyAlignment="1" applyProtection="1">
      <alignment horizontal="left" wrapText="1"/>
      <protection locked="0"/>
    </xf>
    <xf numFmtId="0" fontId="0" fillId="8" borderId="30" xfId="0" applyFill="1" applyBorder="1" applyProtection="1">
      <protection locked="0"/>
    </xf>
    <xf numFmtId="0" fontId="0" fillId="8" borderId="30" xfId="0" applyFill="1" applyBorder="1" applyAlignment="1" applyProtection="1">
      <alignment horizontal="center" vertical="center"/>
      <protection locked="0"/>
    </xf>
    <xf numFmtId="0" fontId="0" fillId="8" borderId="15" xfId="0" applyFill="1" applyBorder="1" applyAlignment="1" applyProtection="1">
      <alignment horizontal="center" vertical="center"/>
      <protection locked="0"/>
    </xf>
    <xf numFmtId="0" fontId="0" fillId="8" borderId="15" xfId="0" applyFill="1" applyBorder="1" applyAlignment="1" applyProtection="1">
      <alignment wrapText="1"/>
      <protection locked="0"/>
    </xf>
    <xf numFmtId="0" fontId="0" fillId="0" borderId="0" xfId="0" applyAlignment="1">
      <alignment horizontal="center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11" fillId="18" borderId="14" xfId="0" applyFont="1" applyFill="1" applyBorder="1" applyAlignment="1">
      <alignment horizontal="center" vertical="center"/>
    </xf>
    <xf numFmtId="0" fontId="11" fillId="18" borderId="13" xfId="0" applyFont="1" applyFill="1" applyBorder="1" applyAlignment="1">
      <alignment horizontal="center" vertical="center"/>
    </xf>
    <xf numFmtId="0" fontId="12" fillId="14" borderId="7" xfId="0" applyFont="1" applyFill="1" applyBorder="1" applyAlignment="1" applyProtection="1">
      <alignment horizontal="center" vertical="center" wrapText="1"/>
      <protection locked="0"/>
    </xf>
    <xf numFmtId="0" fontId="12" fillId="14" borderId="8" xfId="0" applyFont="1" applyFill="1" applyBorder="1" applyAlignment="1" applyProtection="1">
      <alignment horizontal="center" vertical="center" wrapText="1"/>
      <protection locked="0"/>
    </xf>
    <xf numFmtId="0" fontId="12" fillId="14" borderId="9" xfId="0" applyFont="1" applyFill="1" applyBorder="1" applyAlignment="1" applyProtection="1">
      <alignment horizontal="center" vertical="center" wrapText="1"/>
      <protection locked="0"/>
    </xf>
    <xf numFmtId="0" fontId="12" fillId="15" borderId="7" xfId="0" applyFont="1" applyFill="1" applyBorder="1" applyAlignment="1" applyProtection="1">
      <alignment horizontal="center" vertical="center"/>
      <protection locked="0"/>
    </xf>
    <xf numFmtId="0" fontId="12" fillId="15" borderId="8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12" fillId="16" borderId="4" xfId="0" applyFont="1" applyFill="1" applyBorder="1" applyAlignment="1" applyProtection="1">
      <alignment horizontal="center" vertical="center"/>
      <protection locked="0"/>
    </xf>
    <xf numFmtId="0" fontId="12" fillId="13" borderId="3" xfId="0" applyFont="1" applyFill="1" applyBorder="1" applyAlignment="1" applyProtection="1">
      <alignment horizontal="center" vertical="center"/>
      <protection locked="0"/>
    </xf>
    <xf numFmtId="0" fontId="12" fillId="13" borderId="6" xfId="0" applyFont="1" applyFill="1" applyBorder="1" applyAlignment="1" applyProtection="1">
      <alignment horizontal="center" vertical="center"/>
      <protection locked="0"/>
    </xf>
    <xf numFmtId="0" fontId="12" fillId="13" borderId="4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 applyProtection="1">
      <alignment horizontal="center" vertical="center"/>
    </xf>
    <xf numFmtId="0" fontId="1" fillId="3" borderId="19" xfId="0" applyFont="1" applyFill="1" applyBorder="1" applyAlignment="1" applyProtection="1">
      <alignment horizontal="center" vertical="center"/>
    </xf>
    <xf numFmtId="0" fontId="1" fillId="9" borderId="16" xfId="0" applyFont="1" applyFill="1" applyBorder="1" applyAlignment="1" applyProtection="1">
      <alignment horizontal="center" wrapText="1"/>
    </xf>
    <xf numFmtId="0" fontId="1" fillId="9" borderId="17" xfId="0" applyFont="1" applyFill="1" applyBorder="1" applyAlignment="1" applyProtection="1">
      <alignment horizontal="center" wrapText="1"/>
    </xf>
    <xf numFmtId="0" fontId="1" fillId="9" borderId="18" xfId="0" applyFont="1" applyFill="1" applyBorder="1" applyAlignment="1" applyProtection="1">
      <alignment horizontal="center" wrapText="1"/>
    </xf>
    <xf numFmtId="0" fontId="2" fillId="18" borderId="14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0" fontId="3" fillId="14" borderId="7" xfId="0" applyFont="1" applyFill="1" applyBorder="1" applyAlignment="1" applyProtection="1">
      <alignment horizontal="center" vertical="center" wrapText="1"/>
      <protection locked="0"/>
    </xf>
    <xf numFmtId="0" fontId="3" fillId="14" borderId="8" xfId="0" applyFont="1" applyFill="1" applyBorder="1" applyAlignment="1" applyProtection="1">
      <alignment horizontal="center" vertical="center" wrapText="1"/>
      <protection locked="0"/>
    </xf>
    <xf numFmtId="0" fontId="3" fillId="14" borderId="9" xfId="0" applyFont="1" applyFill="1" applyBorder="1" applyAlignment="1" applyProtection="1">
      <alignment horizontal="center" vertical="center" wrapText="1"/>
      <protection locked="0"/>
    </xf>
    <xf numFmtId="0" fontId="3" fillId="15" borderId="7" xfId="0" applyFont="1" applyFill="1" applyBorder="1" applyAlignment="1" applyProtection="1">
      <alignment horizontal="center" vertical="center"/>
      <protection locked="0"/>
    </xf>
    <xf numFmtId="0" fontId="3" fillId="15" borderId="9" xfId="0" applyFont="1" applyFill="1" applyBorder="1" applyAlignment="1" applyProtection="1">
      <alignment horizontal="center" vertical="center"/>
      <protection locked="0"/>
    </xf>
    <xf numFmtId="0" fontId="3" fillId="16" borderId="3" xfId="0" applyFont="1" applyFill="1" applyBorder="1" applyAlignment="1" applyProtection="1">
      <alignment horizontal="center" vertical="center"/>
      <protection locked="0"/>
    </xf>
    <xf numFmtId="0" fontId="3" fillId="16" borderId="4" xfId="0" applyFont="1" applyFill="1" applyBorder="1" applyAlignment="1" applyProtection="1">
      <alignment horizontal="center" vertical="center"/>
      <protection locked="0"/>
    </xf>
    <xf numFmtId="0" fontId="3" fillId="13" borderId="3" xfId="0" applyFont="1" applyFill="1" applyBorder="1" applyAlignment="1" applyProtection="1">
      <alignment horizontal="center" vertical="center"/>
      <protection locked="0"/>
    </xf>
    <xf numFmtId="0" fontId="3" fillId="13" borderId="6" xfId="0" applyFont="1" applyFill="1" applyBorder="1" applyAlignment="1" applyProtection="1">
      <alignment horizontal="center" vertical="center"/>
      <protection locked="0"/>
    </xf>
    <xf numFmtId="0" fontId="3" fillId="13" borderId="4" xfId="0" applyFont="1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/>
  </cellStyles>
  <dxfs count="54">
    <dxf>
      <numFmt numFmtId="1" formatCode="0"/>
    </dxf>
    <dxf>
      <numFmt numFmtId="1" formatCode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2</xdr:col>
          <xdr:colOff>238125</xdr:colOff>
          <xdr:row>0</xdr:row>
          <xdr:rowOff>381000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%20Tracker%20v4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%20Tracker%20v4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%20Tracker%20v4.xlsx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%20Tracker%20v4.xlsx" TargetMode="External"/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657.390786458331" createdVersion="5" refreshedVersion="5" minRefreshableVersion="3" recordCount="494">
  <cacheSource type="worksheet">
    <worksheetSource ref="B2:AL496" sheet="Tracker Data (2)" r:id="rId2"/>
  </cacheSource>
  <cacheFields count="37">
    <cacheField name="CLUSTER" numFmtId="0">
      <sharedItems containsNonDate="0" containsBlank="1" count="22">
        <m/>
        <s v="cluster14" u="1"/>
        <s v="TARLAC" u="1"/>
        <s v="cluster1" u="1"/>
        <s v="cluster6" u="1"/>
        <s v="N. PAMPANGA" u="1"/>
        <s v="cluster10" u="1"/>
        <s v="S. PAMPANGA" u="1"/>
        <s v="cluster5" u="1"/>
        <s v="cluster13" u="1"/>
        <s v="N. BULACAN" u="1"/>
        <s v="cluster4" u="1"/>
        <s v="BATZAM" u="1"/>
        <s v="cluster9" u="1"/>
        <s v="S. BULACAN" u="1"/>
        <s v="cluster12" u="1"/>
        <s v="cluster15" u="1"/>
        <s v="cluster3" u="1"/>
        <s v="cluster8" u="1"/>
        <s v="cluster2" u="1"/>
        <s v="cluster7" u="1"/>
        <s v="cluster11" u="1"/>
      </sharedItems>
    </cacheField>
    <cacheField name="SITE ID/NAME" numFmtId="0">
      <sharedItems containsNonDate="0" containsBlank="1" count="159">
        <m/>
        <s v="O59 Macabebe" u="1"/>
        <s v="site1-4" u="1"/>
        <s v="N3576 Baliuag Tangas" u="1"/>
        <s v="513 Paniqui" u="1"/>
        <s v="site8-6" u="1"/>
        <s v="519 SFP3" u="1"/>
        <s v="5296 Lawy" u="1"/>
        <s v="N3776 Sun SFP Magliman" u="1"/>
        <s v="N3780 SUN - San Fernando-Sindalan" u="1"/>
        <s v="526 Saguin" u="1"/>
        <s v="site1-5" u="1"/>
        <s v="site6-1" u="1"/>
        <s v="537 Angeles5 " u="1"/>
        <s v="J55_Kalaklan Ridge" u="1"/>
        <s v="site8-7" u="1"/>
        <s v="N55 Balanga TP" u="1"/>
        <s v="N3720 SUN - Apalit-Tambuyok" u="1"/>
        <s v="M77 Dampe" u="1"/>
        <s v="505 Maguinao" u="1"/>
        <s v="3935 Limay TP" u="1"/>
        <s v="site1-6" u="1"/>
        <s v="site6-2" u="1"/>
        <s v="552 SFP2" u="1"/>
        <s v="519 SFP3 " u="1"/>
        <s v="W69 San Isidro2" u="1"/>
        <s v="Y59 Central Luisita" u="1"/>
        <s v="N5368 / SUN Candaba Talang" u="1"/>
        <s v="site8-8" u="1"/>
        <s v="N1596 Baliuag - San Roque" u="1"/>
        <s v="N73 Padapada" u="1"/>
        <s v="3894 Gerona Amacalan" u="1"/>
        <s v="N4905 Norzagaray Poblacion" u="1"/>
        <s v="site6-3" u="1"/>
        <s v="N3749 / SUN Mabalacat Dau" u="1"/>
        <s v="N58 Malolos 4 - Longos" u="1"/>
        <s v="N2285 Sun Tarlac Sta Cruz" u="1"/>
        <s v="Y06 Panipuan (suclaban)" u="1"/>
        <s v="site5-1" u="1"/>
        <s v="510 Mt Cabalan" u="1"/>
        <s v="site6-4" u="1"/>
        <s v="N2398_SUN - Limay - Lamao" u="1"/>
        <s v="5608 SM City Tarlac" u="1"/>
        <s v="site5-2" u="1"/>
        <s v="site6-5" u="1"/>
        <s v="5280 Tilapayong" u="1"/>
        <s v="O00 Lucanin" u="1"/>
        <s v="5192 Sta Inez" u="1"/>
        <s v="3923 Marialo TP" u="1"/>
        <s v="N3579 Sun Bocaue Tambubong" u="1"/>
        <s v="site5-3" u="1"/>
        <s v="site6-6" u="1"/>
        <s v="4914 Brgy Dila-dila" u="1"/>
        <s v="N3578 Baliuag Sabang" u="1"/>
        <s v="N1898 San Manuel Legaspi" u="1"/>
        <s v="site4-1" u="1"/>
        <s v="5633 Banlic" u="1"/>
        <s v="site5-4" u="1"/>
        <s v="Y46 Candelaria" u="1"/>
        <s v="4907 Sampaloc" u="1"/>
        <s v="3983 Marilao - Pandayan" u="1"/>
        <s v="N3791 Sun Sta Rita Pias" u="1"/>
        <s v="site4-2" u="1"/>
        <s v="V29_Mambog" u="1"/>
        <s v="Y17_Sta Cruz Zambales " u="1"/>
        <s v="site5-5" u="1"/>
        <s v="3848_Palauig" u="1"/>
        <s v="N3608 Malolos Mabolo" u="1"/>
        <s v="N0217 Sta. Maria - Balasing" u="1"/>
        <s v="3961 Batasan" u="1"/>
        <s v="3933 Parang Hiway" u="1"/>
        <s v="575_Mariveles RBS" u="1"/>
        <s v="site4-3" u="1"/>
        <s v="O45 Moncada" u="1"/>
        <s v="N3661 Sun - Sta Maria - Baka-Bakahan" u="1"/>
        <s v="site5-6" u="1"/>
        <s v="529 Apalit" u="1"/>
        <s v="3932 Limay Batangas2" u="1"/>
        <s v="site3-1" u="1"/>
        <s v="N45 Mabatang" u="1"/>
        <s v="site4-4" u="1"/>
        <s v="N3861 Paniqui Balaoang" u="1"/>
        <s v="V99 Lomboy" u="1"/>
        <s v="5361 / Planas" u="1"/>
        <s v="N3789 Guagua Ascomo" u="1"/>
        <s v="588 / Angeles1" u="1"/>
        <s v="N0237_San Pablo" u="1"/>
        <s v="N1857 Sun tarlac San Nicolas" u="1"/>
        <s v="site3-2" u="1"/>
        <s v="573 Dinalupihan PLDT" u="1"/>
        <s v="N71 Tarlac City San Rafael" u="1"/>
        <s v="site4-5" u="1"/>
        <s v="Y15 Calulut" u="1"/>
        <s v="N96_Abucay" u="1"/>
        <s v="3959 Dampol B" u="1"/>
        <s v="N3669 SUN - Santa Maria-Parada" u="1"/>
        <s v="site3-3" u="1"/>
        <s v="N1877 Lawy" u="1"/>
        <s v="N94 Orani TP" u="1"/>
        <s v="5641 Sindalan" u="1"/>
        <s v="site4-6" u="1"/>
        <s v="Y95 Fatima" u="1"/>
        <s v="U41_Masinloc - Mt. Patoktok" u="1"/>
        <s v="site2-1" u="1"/>
        <s v="V83_Oracle" u="1"/>
        <s v="N61 Sta. Maria TP" u="1"/>
        <s v="3872 San Roque Dau" u="1"/>
        <s v="N1897 San Manuel Poblacion" u="1"/>
        <s v="site3-4" u="1"/>
        <s v="O44 San Clemente" u="1"/>
        <s v="5374 Bagong Silang" u="1"/>
        <s v="O82 San Juan Hagonoy" u="1"/>
        <s v="N3635 Pulilan Cutcot" u="1"/>
        <s v="4906 Plaridel-Sto. Niño" u="1"/>
        <s v="N0281 Concepcion Santiago" u="1"/>
        <s v="N1501_Sun Pilar Sta. Rosa" u="1"/>
        <s v="site2-2" u="1"/>
        <s v="N3779 Sun SFP Maliwalu1" u="1"/>
        <s v="N62 Calumpit 2 - Sto. Nino" u="1"/>
        <s v="site3-5" u="1"/>
        <s v="site8-1" u="1"/>
        <s v="Y86 Cansinala" u="1"/>
        <s v="5297 Sta Monica" u="1"/>
        <s v="site2-3" u="1"/>
        <s v="Y88 Ascomo" u="1"/>
        <s v="N50 Lubao TP" u="1"/>
        <s v="5338 Colgante" u="1"/>
        <s v="520 Moncada RBS" u="1"/>
        <s v="site3-6" u="1"/>
        <s v="site8-2" u="1"/>
        <s v="Y83_Sta. Monica" u="1"/>
        <s v="N1864 Camiling Poblacion" u="1"/>
        <s v="N3887 San Manuel Salcedo" u="1"/>
        <s v="5316 Camiling Bilad" u="1"/>
        <s v="site1-1" u="1"/>
        <s v="N5662 SUN Sta Cruz Biay" u="1"/>
        <s v="N1550_Sun - Olongapo City - New Cabalan" u="1"/>
        <s v="site2-4" u="1"/>
        <s v="3920 Solocan" u="1"/>
        <s v="5384 Kaypian" u="1"/>
        <s v="N3781 Sun San Fernando Maliwalu 2" u="1"/>
        <s v="site8-3" u="1"/>
        <s v="511 Baliuag" u="1"/>
        <s v="Y97 Siling Matanda" u="1"/>
        <s v="N1517 SUN Orani Mulawin" u="1"/>
        <s v="M72 San Juan Apalit" u="1"/>
        <s v="site1-2" u="1"/>
        <s v="3958 Cutcut, Pulilan" u="1"/>
        <s v="N0393 San Jose Burgos" u="1"/>
        <s v="5391 Sta Maria-Tabingbakod" u="1"/>
        <s v="site2-5" u="1"/>
        <s v="site7-1" u="1"/>
        <s v="site8-4" u="1"/>
        <s v="N0100_SUN-Bagac Banawang" u="1"/>
        <s v="site1-3" u="1"/>
        <s v="site2-6" u="1"/>
        <s v="site7-2" u="1"/>
        <s v="site8-5" u="1"/>
        <s v="O92 Pulong Buhangin" u="1"/>
      </sharedItems>
    </cacheField>
    <cacheField name="SITE CATEGORY" numFmtId="0">
      <sharedItems containsNonDate="0" containsString="0" containsBlank="1"/>
    </cacheField>
    <cacheField name="CMR SOURCE" numFmtId="0">
      <sharedItems containsNonDate="0" containsString="0" containsBlank="1"/>
    </cacheField>
    <cacheField name="ECALL TICKET NUMBER" numFmtId="0">
      <sharedItems containsNonDate="0" containsString="0" containsBlank="1"/>
    </cacheField>
    <cacheField name="ISSUE" numFmtId="0">
      <sharedItems containsNonDate="0" containsString="0" containsBlank="1"/>
    </cacheField>
    <cacheField name="INVOLVED GROUP/S" numFmtId="0">
      <sharedItems containsNonDate="0" containsString="0" containsBlank="1"/>
    </cacheField>
    <cacheField name="DATE ENDORSED" numFmtId="0">
      <sharedItems containsNonDate="0" containsString="0" containsBlank="1"/>
    </cacheField>
    <cacheField name="WATO REMARKS" numFmtId="0">
      <sharedItems containsNonDate="0" containsString="0" containsBlank="1"/>
    </cacheField>
    <cacheField name="STATUS" numFmtId="0">
      <sharedItems containsNonDate="0" containsString="0" containsBlank="1"/>
    </cacheField>
    <cacheField name="STATUS2" numFmtId="0">
      <sharedItems containsNonDate="0" containsString="0" containsBlank="1"/>
    </cacheField>
    <cacheField name="DATE ENDORSED2" numFmtId="164">
      <sharedItems containsNonDate="0" containsString="0" containsBlank="1"/>
    </cacheField>
    <cacheField name="STATUS3" numFmtId="0">
      <sharedItems containsNonDate="0" containsString="0" containsBlank="1"/>
    </cacheField>
    <cacheField name="DATE ENDORSED3" numFmtId="164">
      <sharedItems containsNonDate="0" containsString="0" containsBlank="1"/>
    </cacheField>
    <cacheField name="CONSUMABLE CATEGORY" numFmtId="0">
      <sharedItems containsNonDate="0" containsString="0" containsBlank="1"/>
    </cacheField>
    <cacheField name="REPAIR WORKS / CONSUMABLES" numFmtId="0">
      <sharedItems containsNonDate="0" containsString="0" containsBlank="1"/>
    </cacheField>
    <cacheField name="SLA FOR REPAIR WORKS / CONSUMABLE" numFmtId="0">
      <sharedItems/>
    </cacheField>
    <cacheField name="WO DEPENDENCY" numFmtId="0">
      <sharedItems/>
    </cacheField>
    <cacheField name="WO NUMBER" numFmtId="0">
      <sharedItems containsNonDate="0" containsString="0" containsBlank="1"/>
    </cacheField>
    <cacheField name="DATE FILED" numFmtId="164">
      <sharedItems containsNonDate="0" containsString="0" containsBlank="1"/>
    </cacheField>
    <cacheField name="STATUS4" numFmtId="0">
      <sharedItems containsNonDate="0" containsString="0" containsBlank="1"/>
    </cacheField>
    <cacheField name="&quot;FOR IMPLEMENTATION&quot; DATE" numFmtId="164">
      <sharedItems containsNonDate="0" containsString="0" containsBlank="1"/>
    </cacheField>
    <cacheField name="REMARKS" numFmtId="0">
      <sharedItems containsNonDate="0" containsString="0" containsBlank="1"/>
    </cacheField>
    <cacheField name="DATE RECTIFIED" numFmtId="164">
      <sharedItems containsNonDate="0" containsString="0" containsBlank="1"/>
    </cacheField>
    <cacheField name="TRACKER REMARKS" numFmtId="0">
      <sharedItems count="8">
        <s v=""/>
        <s v="INCORRECT DATA INPUT" u="1"/>
        <s v="AWAITING FSR" u="1"/>
        <s v="WATO WO FILING" u="1"/>
        <s v="DONE WITH DELAY" u="1"/>
        <s v="PENDING WFM WO" u="1"/>
        <s v="CSMP IMPLEMENTATION" u="1"/>
        <s v="DONE WITHIN SLA" u="1"/>
      </sharedItems>
    </cacheField>
    <cacheField name="FRBASE" numFmtId="0">
      <sharedItems/>
    </cacheField>
    <cacheField name="FSR RELEASING" numFmtId="0">
      <sharedItems/>
    </cacheField>
    <cacheField name="REMARKS2" numFmtId="0">
      <sharedItems/>
    </cacheField>
    <cacheField name="WOBASE" numFmtId="0">
      <sharedItems/>
    </cacheField>
    <cacheField name="WOCTAA" numFmtId="0">
      <sharedItems/>
    </cacheField>
    <cacheField name="WO CREATION TO APPROVAL" numFmtId="0">
      <sharedItems/>
    </cacheField>
    <cacheField name="REMARKS3" numFmtId="0">
      <sharedItems/>
    </cacheField>
    <cacheField name="CIB" numFmtId="0">
      <sharedItems containsSemiMixedTypes="0" containsString="0" containsNumber="1" containsInteger="1" minValue="0" maxValue="0"/>
    </cacheField>
    <cacheField name="CSMP IMPLEMENTATION ACTUAL" numFmtId="0">
      <sharedItems/>
    </cacheField>
    <cacheField name="CSMP IMPLEMENTATION" numFmtId="0">
      <sharedItems/>
    </cacheField>
    <cacheField name="REMARKS4" numFmtId="0">
      <sharedItems/>
    </cacheField>
    <cacheField name="TOTAL DAYS UPON ENDORSEMEN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2657.390788425924" createdVersion="5" refreshedVersion="5" minRefreshableVersion="3" recordCount="494">
  <cacheSource type="worksheet">
    <worksheetSource ref="A2:AP496" sheet="Tracker Data" r:id="rId2"/>
  </cacheSource>
  <cacheFields count="40">
    <cacheField name="Area" numFmtId="0">
      <sharedItems containsNonDate="0" containsString="0" containsBlank="1"/>
    </cacheField>
    <cacheField name="CLUSTER" numFmtId="0">
      <sharedItems containsNonDate="0" containsString="0" containsBlank="1" count="1">
        <m/>
      </sharedItems>
    </cacheField>
    <cacheField name="SITE ID/NAME" numFmtId="0">
      <sharedItems containsNonDate="0" containsString="0" containsBlank="1" count="1">
        <m/>
      </sharedItems>
    </cacheField>
    <cacheField name="SITE CATEGORY" numFmtId="0">
      <sharedItems containsNonDate="0" containsString="0" containsBlank="1"/>
    </cacheField>
    <cacheField name="CMR SOURCE" numFmtId="0">
      <sharedItems containsNonDate="0" containsString="0" containsBlank="1"/>
    </cacheField>
    <cacheField name="ECALL TICKET NUMBER" numFmtId="0">
      <sharedItems containsNonDate="0" containsString="0" containsBlank="1"/>
    </cacheField>
    <cacheField name="ISSUE" numFmtId="0">
      <sharedItems containsNonDate="0" containsString="0" containsBlank="1"/>
    </cacheField>
    <cacheField name="INVOLVED GROUP/S" numFmtId="0">
      <sharedItems containsNonDate="0" containsString="0" containsBlank="1"/>
    </cacheField>
    <cacheField name="DATE ENDORSED" numFmtId="0">
      <sharedItems containsNonDate="0" containsString="0" containsBlank="1"/>
    </cacheField>
    <cacheField name="WATO REMARKS" numFmtId="0">
      <sharedItems containsNonDate="0" containsString="0" containsBlank="1"/>
    </cacheField>
    <cacheField name="STATUS" numFmtId="0">
      <sharedItems containsNonDate="0" containsString="0" containsBlank="1" count="1">
        <m/>
      </sharedItems>
    </cacheField>
    <cacheField name="STATUS2" numFmtId="0">
      <sharedItems containsNonDate="0" containsString="0" containsBlank="1"/>
    </cacheField>
    <cacheField name="DATE ENDORSED2" numFmtId="164">
      <sharedItems containsNonDate="0" containsString="0" containsBlank="1"/>
    </cacheField>
    <cacheField name="STATUS3" numFmtId="0">
      <sharedItems containsNonDate="0" containsString="0" containsBlank="1"/>
    </cacheField>
    <cacheField name="DATE ENDORSED3" numFmtId="164">
      <sharedItems containsNonDate="0" containsString="0" containsBlank="1"/>
    </cacheField>
    <cacheField name="CONSUMABLE CATEGORY" numFmtId="0">
      <sharedItems containsNonDate="0" containsString="0" containsBlank="1"/>
    </cacheField>
    <cacheField name="REPAIR WORKS / CONSUMABLES" numFmtId="0">
      <sharedItems containsNonDate="0" containsString="0" containsBlank="1"/>
    </cacheField>
    <cacheField name="SLA FOR REPAIR WORKS / CONSUMABLE" numFmtId="0">
      <sharedItems/>
    </cacheField>
    <cacheField name="WO DEPENDENCY" numFmtId="0">
      <sharedItems/>
    </cacheField>
    <cacheField name="WO NUMBER" numFmtId="0">
      <sharedItems containsNonDate="0" containsString="0" containsBlank="1"/>
    </cacheField>
    <cacheField name="DATE FILED" numFmtId="164">
      <sharedItems containsNonDate="0" containsString="0" containsBlank="1"/>
    </cacheField>
    <cacheField name="STATUS4" numFmtId="0">
      <sharedItems containsNonDate="0" containsString="0" containsBlank="1"/>
    </cacheField>
    <cacheField name="&quot;FOR IMPLEMENTATION&quot; DATE" numFmtId="164">
      <sharedItems containsNonDate="0" containsString="0" containsBlank="1"/>
    </cacheField>
    <cacheField name="REMARKS" numFmtId="0">
      <sharedItems containsNonDate="0" containsString="0" containsBlank="1"/>
    </cacheField>
    <cacheField name="DATE RECTIFIED" numFmtId="164">
      <sharedItems containsNonDate="0" containsString="0" containsBlank="1"/>
    </cacheField>
    <cacheField name="TRACKER REMARKS" numFmtId="0">
      <sharedItems count="1">
        <s v=""/>
      </sharedItems>
    </cacheField>
    <cacheField name="FSRREF" numFmtId="0">
      <sharedItems/>
    </cacheField>
    <cacheField name="FRBASE" numFmtId="0">
      <sharedItems/>
    </cacheField>
    <cacheField name="FSRRBASE" numFmtId="0">
      <sharedItems/>
    </cacheField>
    <cacheField name="FSR RELEASING" numFmtId="0">
      <sharedItems/>
    </cacheField>
    <cacheField name="REMARKS2" numFmtId="0">
      <sharedItems/>
    </cacheField>
    <cacheField name="WOBASE" numFmtId="0">
      <sharedItems/>
    </cacheField>
    <cacheField name="WOCTAA" numFmtId="0">
      <sharedItems/>
    </cacheField>
    <cacheField name="WO CREATION TO APPROVAL" numFmtId="0">
      <sharedItems/>
    </cacheField>
    <cacheField name="REMARKS3" numFmtId="0">
      <sharedItems/>
    </cacheField>
    <cacheField name="CIB" numFmtId="0">
      <sharedItems containsSemiMixedTypes="0" containsString="0" containsNumber="1" containsInteger="1" minValue="0" maxValue="0"/>
    </cacheField>
    <cacheField name="CSMP IMPLEMENTATION ACTUAL" numFmtId="0">
      <sharedItems/>
    </cacheField>
    <cacheField name="CSMP IMPLEMENTATION" numFmtId="0">
      <sharedItems/>
    </cacheField>
    <cacheField name="REMARKS4" numFmtId="0">
      <sharedItems/>
    </cacheField>
    <cacheField name="TOTAL DAYS UPON ENDORSEMEN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2657.390789351855" createdVersion="5" refreshedVersion="5" minRefreshableVersion="3" recordCount="494">
  <cacheSource type="worksheet">
    <worksheetSource ref="B2:AL496" sheet="Tracker Data (2)" r:id="rId2"/>
  </cacheSource>
  <cacheFields count="37">
    <cacheField name="CLUSTER" numFmtId="0">
      <sharedItems containsNonDate="0" containsBlank="1" count="7">
        <m/>
        <s v="TARLAC" u="1"/>
        <s v="N. PAMPANGA" u="1"/>
        <s v="S. PAMPANGA" u="1"/>
        <s v="N. BULACAN" u="1"/>
        <s v="BATZAM" u="1"/>
        <s v="S. BULACAN" u="1"/>
      </sharedItems>
    </cacheField>
    <cacheField name="SITE ID/NAME" numFmtId="0">
      <sharedItems containsNonDate="0" containsBlank="1" count="111">
        <m/>
        <s v="O59 Macabebe" u="1"/>
        <s v="N3576 Baliuag Tangas" u="1"/>
        <s v="513 Paniqui" u="1"/>
        <s v="519 SFP3" u="1"/>
        <s v="5296 Lawy" u="1"/>
        <s v="N3776 Sun SFP Magliman" u="1"/>
        <s v="N3780 SUN - San Fernando-Sindalan" u="1"/>
        <s v="526 Saguin" u="1"/>
        <s v="537 Angeles5 " u="1"/>
        <s v="J55_Kalaklan Ridge" u="1"/>
        <s v="N55 Balanga TP" u="1"/>
        <s v="N3720 SUN - Apalit-Tambuyok" u="1"/>
        <s v="M77 Dampe" u="1"/>
        <s v="505 Maguinao" u="1"/>
        <s v="3935 Limay TP" u="1"/>
        <s v="552 SFP2" u="1"/>
        <s v="519 SFP3 " u="1"/>
        <s v="W69 San Isidro2" u="1"/>
        <s v="Y59 Central Luisita" u="1"/>
        <s v="N5368 / SUN Candaba Talang" u="1"/>
        <s v="N1596 Baliuag - San Roque" u="1"/>
        <s v="N73 Padapada" u="1"/>
        <s v="3894 Gerona Amacalan" u="1"/>
        <s v="N4905 Norzagaray Poblacion" u="1"/>
        <s v="N3749 / SUN Mabalacat Dau" u="1"/>
        <s v="N58 Malolos 4 - Longos" u="1"/>
        <s v="N2285 Sun Tarlac Sta Cruz" u="1"/>
        <s v="Y06 Panipuan (suclaban)" u="1"/>
        <s v="510 Mt Cabalan" u="1"/>
        <s v="N2398_SUN - Limay - Lamao" u="1"/>
        <s v="5280 Tilapayong" u="1"/>
        <s v="O00 Lucanin" u="1"/>
        <s v="5192 Sta Inez" u="1"/>
        <s v="3923 Marialo TP" u="1"/>
        <s v="N3579 Sun Bocaue Tambubong" u="1"/>
        <s v="4914 Brgy Dila-dila" u="1"/>
        <s v="N3578 Baliuag Sabang" u="1"/>
        <s v="N1898 San Manuel Legaspi" u="1"/>
        <s v="5633 Banlic" u="1"/>
        <s v="Y46 Candelaria" u="1"/>
        <s v="4907 Sampaloc" u="1"/>
        <s v="3983 Marilao - Pandayan" u="1"/>
        <s v="N3791 Sun Sta Rita Pias" u="1"/>
        <s v="V29_Mambog" u="1"/>
        <s v="Y17_Sta Cruz Zambales " u="1"/>
        <s v="3848_Palauig" u="1"/>
        <s v="N3608 Malolos Mabolo" u="1"/>
        <s v="N0217 Sta. Maria - Balasing" u="1"/>
        <s v="3961 Batasan" u="1"/>
        <s v="3933 Parang Hiway" u="1"/>
        <s v="575_Mariveles RBS" u="1"/>
        <s v="O45 Moncada" u="1"/>
        <s v="N3661 Sun - Sta Maria - Baka-Bakahan" u="1"/>
        <s v="529 Apalit" u="1"/>
        <s v="3932 Limay Batangas2" u="1"/>
        <s v="N45 Mabatang" u="1"/>
        <s v="N3861 Paniqui Balaoang" u="1"/>
        <s v="V99 Lomboy" u="1"/>
        <s v="5361 / Planas" u="1"/>
        <s v="N3789 Guagua Ascomo" u="1"/>
        <s v="588 / Angeles1" u="1"/>
        <s v="N0237_San Pablo" u="1"/>
        <s v="N1857 Sun tarlac San Nicolas" u="1"/>
        <s v="573 Dinalupihan PLDT" u="1"/>
        <s v="N71 Tarlac City San Rafael" u="1"/>
        <s v="Y15 Calulut" u="1"/>
        <s v="N96_Abucay" u="1"/>
        <s v="3959 Dampol B" u="1"/>
        <s v="N3669 SUN - Santa Maria-Parada" u="1"/>
        <s v="N1877 Lawy" u="1"/>
        <s v="N94 Orani TP" u="1"/>
        <s v="5641 Sindalan" u="1"/>
        <s v="Y95 Fatima" u="1"/>
        <s v="U41_Masinloc - Mt. Patoktok" u="1"/>
        <s v="V83_Oracle" u="1"/>
        <s v="N61 Sta. Maria TP" u="1"/>
        <s v="3872 San Roque Dau" u="1"/>
        <s v="N1897 San Manuel Poblacion" u="1"/>
        <s v="O44 San Clemente" u="1"/>
        <s v="5374 Bagong Silang" u="1"/>
        <s v="O82 San Juan Hagonoy" u="1"/>
        <s v="N3635 Pulilan Cutcot" u="1"/>
        <s v="4906 Plaridel-Sto. Niño" u="1"/>
        <s v="N0281 Concepcion Santiago" u="1"/>
        <s v="N1501_Sun Pilar Sta. Rosa" u="1"/>
        <s v="N3779 Sun SFP Maliwalu1" u="1"/>
        <s v="N62 Calumpit 2 - Sto. Nino" u="1"/>
        <s v="Y86 Cansinala" u="1"/>
        <s v="5297 Sta Monica" u="1"/>
        <s v="Y88 Ascomo" u="1"/>
        <s v="N50 Lubao TP" u="1"/>
        <s v="5338 Colgante" u="1"/>
        <s v="Y83_Sta. Monica" u="1"/>
        <s v="N1864 Camiling Poblacion" u="1"/>
        <s v="N3887 San Manuel Salcedo" u="1"/>
        <s v="5316 Camiling Bilad" u="1"/>
        <s v="N5662 SUN Sta Cruz Biay" u="1"/>
        <s v="N1550_Sun - Olongapo City - New Cabalan" u="1"/>
        <s v="3920 Solocan" u="1"/>
        <s v="5384 Kaypian" u="1"/>
        <s v="N3781 Sun San Fernando Maliwalu 2" u="1"/>
        <s v="511 Baliuag" u="1"/>
        <s v="Y97 Siling Matanda" u="1"/>
        <s v="N1517 SUN Orani Mulawin" u="1"/>
        <s v="M72 San Juan Apalit" u="1"/>
        <s v="3958 Cutcut, Pulilan" u="1"/>
        <s v="N0393 San Jose Burgos" u="1"/>
        <s v="5391 Sta Maria-Tabingbakod" u="1"/>
        <s v="N0100_SUN-Bagac Banawang" u="1"/>
        <s v="O92 Pulong Buhangin" u="1"/>
      </sharedItems>
    </cacheField>
    <cacheField name="SITE CATEGORY" numFmtId="0">
      <sharedItems containsNonDate="0" containsString="0" containsBlank="1"/>
    </cacheField>
    <cacheField name="CMR SOURCE" numFmtId="0">
      <sharedItems containsNonDate="0" containsString="0" containsBlank="1"/>
    </cacheField>
    <cacheField name="ECALL TICKET NUMBER" numFmtId="0">
      <sharedItems containsNonDate="0" containsString="0" containsBlank="1"/>
    </cacheField>
    <cacheField name="ISSUE" numFmtId="0">
      <sharedItems containsNonDate="0" containsString="0" containsBlank="1"/>
    </cacheField>
    <cacheField name="INVOLVED GROUP/S" numFmtId="0">
      <sharedItems containsNonDate="0" containsString="0" containsBlank="1"/>
    </cacheField>
    <cacheField name="DATE ENDORSED" numFmtId="0">
      <sharedItems containsNonDate="0" containsString="0" containsBlank="1"/>
    </cacheField>
    <cacheField name="WATO REMARKS" numFmtId="0">
      <sharedItems containsNonDate="0" containsString="0" containsBlank="1"/>
    </cacheField>
    <cacheField name="STATUS" numFmtId="0">
      <sharedItems containsNonDate="0" containsBlank="1" count="3">
        <m/>
        <s v="PENDING" u="1"/>
        <s v="DONE" u="1"/>
      </sharedItems>
    </cacheField>
    <cacheField name="STATUS2" numFmtId="0">
      <sharedItems containsNonDate="0" containsString="0" containsBlank="1"/>
    </cacheField>
    <cacheField name="DATE ENDORSED2" numFmtId="164">
      <sharedItems containsNonDate="0" containsString="0" containsBlank="1"/>
    </cacheField>
    <cacheField name="STATUS3" numFmtId="0">
      <sharedItems containsNonDate="0" containsString="0" containsBlank="1"/>
    </cacheField>
    <cacheField name="DATE ENDORSED3" numFmtId="164">
      <sharedItems containsNonDate="0" containsString="0" containsBlank="1"/>
    </cacheField>
    <cacheField name="CONSUMABLE CATEGORY" numFmtId="0">
      <sharedItems containsNonDate="0" containsString="0" containsBlank="1"/>
    </cacheField>
    <cacheField name="REPAIR WORKS / CONSUMABLES" numFmtId="0">
      <sharedItems containsNonDate="0" containsString="0" containsBlank="1"/>
    </cacheField>
    <cacheField name="SLA FOR REPAIR WORKS / CONSUMABLE" numFmtId="0">
      <sharedItems/>
    </cacheField>
    <cacheField name="WO DEPENDENCY" numFmtId="0">
      <sharedItems/>
    </cacheField>
    <cacheField name="WO NUMBER" numFmtId="0">
      <sharedItems containsNonDate="0" containsString="0" containsBlank="1"/>
    </cacheField>
    <cacheField name="DATE FILED" numFmtId="164">
      <sharedItems containsNonDate="0" containsString="0" containsBlank="1"/>
    </cacheField>
    <cacheField name="STATUS4" numFmtId="0">
      <sharedItems containsNonDate="0" containsString="0" containsBlank="1"/>
    </cacheField>
    <cacheField name="&quot;FOR IMPLEMENTATION&quot; DATE" numFmtId="164">
      <sharedItems containsNonDate="0" containsString="0" containsBlank="1"/>
    </cacheField>
    <cacheField name="REMARKS" numFmtId="0">
      <sharedItems containsNonDate="0" containsString="0" containsBlank="1"/>
    </cacheField>
    <cacheField name="DATE RECTIFIED" numFmtId="164">
      <sharedItems containsNonDate="0" containsString="0" containsBlank="1"/>
    </cacheField>
    <cacheField name="TRACKER REMARKS" numFmtId="0">
      <sharedItems count="6">
        <s v=""/>
        <s v="AWAITING FSR" u="1"/>
        <s v="DONE WITH DELAY" u="1"/>
        <s v="PENDING WFM WO" u="1"/>
        <s v="CSMP IMPLEMENTATION" u="1"/>
        <s v="DONE WITHIN SLA" u="1"/>
      </sharedItems>
    </cacheField>
    <cacheField name="FRBASE" numFmtId="0">
      <sharedItems/>
    </cacheField>
    <cacheField name="FSR RELEASING" numFmtId="0">
      <sharedItems/>
    </cacheField>
    <cacheField name="REMARKS2" numFmtId="0">
      <sharedItems/>
    </cacheField>
    <cacheField name="WOBASE" numFmtId="0">
      <sharedItems/>
    </cacheField>
    <cacheField name="WOCTAA" numFmtId="0">
      <sharedItems/>
    </cacheField>
    <cacheField name="WO CREATION TO APPROVAL" numFmtId="0">
      <sharedItems/>
    </cacheField>
    <cacheField name="REMARKS3" numFmtId="0">
      <sharedItems/>
    </cacheField>
    <cacheField name="CIB" numFmtId="0">
      <sharedItems containsSemiMixedTypes="0" containsString="0" containsNumber="1" containsInteger="1" minValue="0" maxValue="0"/>
    </cacheField>
    <cacheField name="CSMP IMPLEMENTATION ACTUAL" numFmtId="0">
      <sharedItems/>
    </cacheField>
    <cacheField name="CSMP IMPLEMENTATION" numFmtId="0">
      <sharedItems/>
    </cacheField>
    <cacheField name="REMARKS4" numFmtId="0">
      <sharedItems/>
    </cacheField>
    <cacheField name="TOTAL DAYS UPON ENDORSEMEN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hor" refreshedDate="42657.390789930556" createdVersion="5" refreshedVersion="5" minRefreshableVersion="3" recordCount="495">
  <cacheSource type="worksheet">
    <worksheetSource ref="B2:AL497" sheet="Tracker Data (2)" r:id="rId2"/>
  </cacheSource>
  <cacheFields count="37">
    <cacheField name="CLUSTER" numFmtId="0">
      <sharedItems containsNonDate="0" containsBlank="1" count="7">
        <m/>
        <s v="TARLAC" u="1"/>
        <s v="N. PAMPANGA" u="1"/>
        <s v="S. PAMPANGA" u="1"/>
        <s v="N. BULACAN" u="1"/>
        <s v="BATZAM" u="1"/>
        <s v="S. BULACAN" u="1"/>
      </sharedItems>
    </cacheField>
    <cacheField name="SITE ID/NAME" numFmtId="0">
      <sharedItems containsNonDate="0" containsBlank="1" count="111">
        <m/>
        <s v="O59 Macabebe" u="1"/>
        <s v="N3576 Baliuag Tangas" u="1"/>
        <s v="513 Paniqui" u="1"/>
        <s v="519 SFP3" u="1"/>
        <s v="5296 Lawy" u="1"/>
        <s v="N3776 Sun SFP Magliman" u="1"/>
        <s v="N3780 SUN - San Fernando-Sindalan" u="1"/>
        <s v="526 Saguin" u="1"/>
        <s v="537 Angeles5 " u="1"/>
        <s v="J55_Kalaklan Ridge" u="1"/>
        <s v="N55 Balanga TP" u="1"/>
        <s v="N3720 SUN - Apalit-Tambuyok" u="1"/>
        <s v="M77 Dampe" u="1"/>
        <s v="505 Maguinao" u="1"/>
        <s v="3935 Limay TP" u="1"/>
        <s v="552 SFP2" u="1"/>
        <s v="519 SFP3 " u="1"/>
        <s v="W69 San Isidro2" u="1"/>
        <s v="Y59 Central Luisita" u="1"/>
        <s v="N5368 / SUN Candaba Talang" u="1"/>
        <s v="N1596 Baliuag - San Roque" u="1"/>
        <s v="N73 Padapada" u="1"/>
        <s v="3894 Gerona Amacalan" u="1"/>
        <s v="N4905 Norzagaray Poblacion" u="1"/>
        <s v="N3749 / SUN Mabalacat Dau" u="1"/>
        <s v="N58 Malolos 4 - Longos" u="1"/>
        <s v="N2285 Sun Tarlac Sta Cruz" u="1"/>
        <s v="Y06 Panipuan (suclaban)" u="1"/>
        <s v="510 Mt Cabalan" u="1"/>
        <s v="N2398_SUN - Limay - Lamao" u="1"/>
        <s v="5280 Tilapayong" u="1"/>
        <s v="O00 Lucanin" u="1"/>
        <s v="5192 Sta Inez" u="1"/>
        <s v="3923 Marialo TP" u="1"/>
        <s v="N3579 Sun Bocaue Tambubong" u="1"/>
        <s v="4914 Brgy Dila-dila" u="1"/>
        <s v="N3578 Baliuag Sabang" u="1"/>
        <s v="N1898 San Manuel Legaspi" u="1"/>
        <s v="5633 Banlic" u="1"/>
        <s v="Y46 Candelaria" u="1"/>
        <s v="4907 Sampaloc" u="1"/>
        <s v="3983 Marilao - Pandayan" u="1"/>
        <s v="N3791 Sun Sta Rita Pias" u="1"/>
        <s v="V29_Mambog" u="1"/>
        <s v="Y17_Sta Cruz Zambales " u="1"/>
        <s v="3848_Palauig" u="1"/>
        <s v="N3608 Malolos Mabolo" u="1"/>
        <s v="N0217 Sta. Maria - Balasing" u="1"/>
        <s v="3961 Batasan" u="1"/>
        <s v="3933 Parang Hiway" u="1"/>
        <s v="575_Mariveles RBS" u="1"/>
        <s v="O45 Moncada" u="1"/>
        <s v="N3661 Sun - Sta Maria - Baka-Bakahan" u="1"/>
        <s v="529 Apalit" u="1"/>
        <s v="3932 Limay Batangas2" u="1"/>
        <s v="N45 Mabatang" u="1"/>
        <s v="N3861 Paniqui Balaoang" u="1"/>
        <s v="V99 Lomboy" u="1"/>
        <s v="5361 / Planas" u="1"/>
        <s v="N3789 Guagua Ascomo" u="1"/>
        <s v="588 / Angeles1" u="1"/>
        <s v="N0237_San Pablo" u="1"/>
        <s v="N1857 Sun tarlac San Nicolas" u="1"/>
        <s v="573 Dinalupihan PLDT" u="1"/>
        <s v="N71 Tarlac City San Rafael" u="1"/>
        <s v="Y15 Calulut" u="1"/>
        <s v="N96_Abucay" u="1"/>
        <s v="3959 Dampol B" u="1"/>
        <s v="N3669 SUN - Santa Maria-Parada" u="1"/>
        <s v="N1877 Lawy" u="1"/>
        <s v="N94 Orani TP" u="1"/>
        <s v="5641 Sindalan" u="1"/>
        <s v="Y95 Fatima" u="1"/>
        <s v="U41_Masinloc - Mt. Patoktok" u="1"/>
        <s v="V83_Oracle" u="1"/>
        <s v="N61 Sta. Maria TP" u="1"/>
        <s v="3872 San Roque Dau" u="1"/>
        <s v="N1897 San Manuel Poblacion" u="1"/>
        <s v="O44 San Clemente" u="1"/>
        <s v="5374 Bagong Silang" u="1"/>
        <s v="O82 San Juan Hagonoy" u="1"/>
        <s v="N3635 Pulilan Cutcot" u="1"/>
        <s v="4906 Plaridel-Sto. Niño" u="1"/>
        <s v="N0281 Concepcion Santiago" u="1"/>
        <s v="N1501_Sun Pilar Sta. Rosa" u="1"/>
        <s v="N3779 Sun SFP Maliwalu1" u="1"/>
        <s v="N62 Calumpit 2 - Sto. Nino" u="1"/>
        <s v="Y86 Cansinala" u="1"/>
        <s v="5297 Sta Monica" u="1"/>
        <s v="Y88 Ascomo" u="1"/>
        <s v="N50 Lubao TP" u="1"/>
        <s v="5338 Colgante" u="1"/>
        <s v="Y83_Sta. Monica" u="1"/>
        <s v="N1864 Camiling Poblacion" u="1"/>
        <s v="N3887 San Manuel Salcedo" u="1"/>
        <s v="5316 Camiling Bilad" u="1"/>
        <s v="N5662 SUN Sta Cruz Biay" u="1"/>
        <s v="N1550_Sun - Olongapo City - New Cabalan" u="1"/>
        <s v="3920 Solocan" u="1"/>
        <s v="5384 Kaypian" u="1"/>
        <s v="N3781 Sun San Fernando Maliwalu 2" u="1"/>
        <s v="511 Baliuag" u="1"/>
        <s v="Y97 Siling Matanda" u="1"/>
        <s v="N1517 SUN Orani Mulawin" u="1"/>
        <s v="M72 San Juan Apalit" u="1"/>
        <s v="3958 Cutcut, Pulilan" u="1"/>
        <s v="N0393 San Jose Burgos" u="1"/>
        <s v="5391 Sta Maria-Tabingbakod" u="1"/>
        <s v="N0100_SUN-Bagac Banawang" u="1"/>
        <s v="O92 Pulong Buhangin" u="1"/>
      </sharedItems>
    </cacheField>
    <cacheField name="SITE CATEGORY" numFmtId="0">
      <sharedItems containsNonDate="0" containsString="0" containsBlank="1"/>
    </cacheField>
    <cacheField name="CMR SOURCE" numFmtId="0">
      <sharedItems containsNonDate="0" containsString="0" containsBlank="1"/>
    </cacheField>
    <cacheField name="ECALL TICKET NUMBER" numFmtId="0">
      <sharedItems containsNonDate="0" containsString="0" containsBlank="1"/>
    </cacheField>
    <cacheField name="ISSUE" numFmtId="0">
      <sharedItems containsNonDate="0" containsString="0" containsBlank="1"/>
    </cacheField>
    <cacheField name="INVOLVED GROUP/S" numFmtId="0">
      <sharedItems containsNonDate="0" containsString="0" containsBlank="1"/>
    </cacheField>
    <cacheField name="DATE ENDORSED" numFmtId="0">
      <sharedItems containsNonDate="0" containsString="0" containsBlank="1"/>
    </cacheField>
    <cacheField name="WATO REMARKS" numFmtId="0">
      <sharedItems containsNonDate="0" containsString="0" containsBlank="1"/>
    </cacheField>
    <cacheField name="STATUS" numFmtId="0">
      <sharedItems containsNonDate="0" containsString="0" containsBlank="1"/>
    </cacheField>
    <cacheField name="STATUS2" numFmtId="0">
      <sharedItems containsNonDate="0" containsString="0" containsBlank="1"/>
    </cacheField>
    <cacheField name="DATE ENDORSED2" numFmtId="0">
      <sharedItems containsNonDate="0" containsString="0" containsBlank="1"/>
    </cacheField>
    <cacheField name="STATUS3" numFmtId="0">
      <sharedItems containsNonDate="0" containsString="0" containsBlank="1"/>
    </cacheField>
    <cacheField name="DATE ENDORSED3" numFmtId="0">
      <sharedItems containsNonDate="0" containsString="0" containsBlank="1"/>
    </cacheField>
    <cacheField name="CONSUMABLE CATEGORY" numFmtId="0">
      <sharedItems containsNonDate="0" containsString="0" containsBlank="1"/>
    </cacheField>
    <cacheField name="REPAIR WORKS / CONSUMABLES" numFmtId="0">
      <sharedItems containsNonDate="0" containsString="0" containsBlank="1"/>
    </cacheField>
    <cacheField name="SLA FOR REPAIR WORKS / CONSUMABLE" numFmtId="0">
      <sharedItems containsBlank="1"/>
    </cacheField>
    <cacheField name="WO DEPENDENCY" numFmtId="0">
      <sharedItems containsBlank="1"/>
    </cacheField>
    <cacheField name="WO NUMBER" numFmtId="0">
      <sharedItems containsNonDate="0" containsString="0" containsBlank="1"/>
    </cacheField>
    <cacheField name="DATE FILED" numFmtId="0">
      <sharedItems containsNonDate="0" containsString="0" containsBlank="1"/>
    </cacheField>
    <cacheField name="STATUS4" numFmtId="0">
      <sharedItems containsNonDate="0" containsString="0" containsBlank="1"/>
    </cacheField>
    <cacheField name="&quot;FOR IMPLEMENTATION&quot; DATE" numFmtId="0">
      <sharedItems containsNonDate="0" containsString="0" containsBlank="1"/>
    </cacheField>
    <cacheField name="REMARKS" numFmtId="0">
      <sharedItems containsNonDate="0" containsString="0" containsBlank="1"/>
    </cacheField>
    <cacheField name="DATE RECTIFIED" numFmtId="0">
      <sharedItems containsNonDate="0" containsString="0" containsBlank="1"/>
    </cacheField>
    <cacheField name="TRACKER REMARKS" numFmtId="0">
      <sharedItems containsBlank="1" count="7">
        <s v=""/>
        <m/>
        <s v="AWAITING FSR" u="1"/>
        <s v="DONE WITH DELAY" u="1"/>
        <s v="PENDING WFM WO" u="1"/>
        <s v="CSMP IMPLEMENTATION" u="1"/>
        <s v="DONE WITHIN SLA" u="1"/>
      </sharedItems>
    </cacheField>
    <cacheField name="FRBASE" numFmtId="0">
      <sharedItems containsBlank="1"/>
    </cacheField>
    <cacheField name="FSR RELEASING" numFmtId="0">
      <sharedItems containsBlank="1"/>
    </cacheField>
    <cacheField name="REMARKS2" numFmtId="0">
      <sharedItems containsBlank="1"/>
    </cacheField>
    <cacheField name="WOBASE" numFmtId="0">
      <sharedItems containsBlank="1"/>
    </cacheField>
    <cacheField name="WOCTAA" numFmtId="0">
      <sharedItems containsBlank="1"/>
    </cacheField>
    <cacheField name="WO CREATION TO APPROVAL" numFmtId="0">
      <sharedItems containsBlank="1"/>
    </cacheField>
    <cacheField name="REMARKS3" numFmtId="0">
      <sharedItems containsBlank="1"/>
    </cacheField>
    <cacheField name="CIB" numFmtId="0">
      <sharedItems containsString="0" containsBlank="1" containsNumber="1" containsInteger="1" minValue="0" maxValue="0"/>
    </cacheField>
    <cacheField name="CSMP IMPLEMENTATION ACTUAL" numFmtId="0">
      <sharedItems containsBlank="1"/>
    </cacheField>
    <cacheField name="CSMP IMPLEMENTATION" numFmtId="0">
      <sharedItems containsBlank="1"/>
    </cacheField>
    <cacheField name="REMARKS4" numFmtId="0">
      <sharedItems containsBlank="1"/>
    </cacheField>
    <cacheField name="TOTAL DAYS UPON ENDORSEMEN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MALACAD, Sonny C." refreshedDate="42809.517569097225" createdVersion="5" refreshedVersion="5" minRefreshableVersion="3" recordCount="494">
  <cacheSource type="worksheet">
    <worksheetSource ref="A2:AD496" sheet="Tracker Data"/>
  </cacheSource>
  <cacheFields count="30">
    <cacheField name="Area" numFmtId="0">
      <sharedItems containsBlank="1"/>
    </cacheField>
    <cacheField name="CLUSTER" numFmtId="0">
      <sharedItems containsString="0" containsBlank="1" containsNumber="1" containsInteger="1" minValue="8" maxValue="8"/>
    </cacheField>
    <cacheField name="SITE ID" numFmtId="0">
      <sharedItems containsBlank="1" containsMixedTypes="1" containsNumber="1" containsInteger="1" minValue="817" maxValue="5882"/>
    </cacheField>
    <cacheField name="SITE Name" numFmtId="0">
      <sharedItems containsBlank="1"/>
    </cacheField>
    <cacheField name="SITE CATEGORY" numFmtId="0">
      <sharedItems containsBlank="1"/>
    </cacheField>
    <cacheField name="CMR SOURCE" numFmtId="0">
      <sharedItems containsBlank="1"/>
    </cacheField>
    <cacheField name="ECALL TICKET NUMBER" numFmtId="0">
      <sharedItems containsBlank="1"/>
    </cacheField>
    <cacheField name="ISSUE" numFmtId="0">
      <sharedItems containsBlank="1"/>
    </cacheField>
    <cacheField name="INVOLVED GROUP/S" numFmtId="0">
      <sharedItems containsBlank="1"/>
    </cacheField>
    <cacheField name="DATE ENDORSED" numFmtId="0">
      <sharedItems containsNonDate="0" containsDate="1" containsString="0" containsBlank="1" minDate="2017-01-17T00:00:00" maxDate="2107-01-24T00:00:00"/>
    </cacheField>
    <cacheField name="WATO REMARKS" numFmtId="0">
      <sharedItems containsBlank="1"/>
    </cacheField>
    <cacheField name=" STATUS" numFmtId="0">
      <sharedItems containsBlank="1" count="3">
        <s v="PENDING"/>
        <s v="DONE"/>
        <m/>
      </sharedItems>
    </cacheField>
    <cacheField name=" FSR STATUS" numFmtId="0">
      <sharedItems containsBlank="1" count="4">
        <s v="WATO ON-HAND"/>
        <s v="SUBMITTED TO WFM"/>
        <s v="AWAITING FROM CSMP"/>
        <m/>
      </sharedItems>
    </cacheField>
    <cacheField name="FSR Number" numFmtId="0">
      <sharedItems containsNonDate="0" containsString="0" containsBlank="1"/>
    </cacheField>
    <cacheField name="DATE ENDORSED2" numFmtId="164">
      <sharedItems containsNonDate="0" containsDate="1" containsString="0" containsBlank="1" minDate="2017-01-23T00:00:00" maxDate="2017-03-14T00:00:00"/>
    </cacheField>
    <cacheField name="Q STATUS" numFmtId="0">
      <sharedItems containsBlank="1"/>
    </cacheField>
    <cacheField name="DATE ENDORSED3" numFmtId="164">
      <sharedItems containsNonDate="0" containsDate="1" containsString="0" containsBlank="1" minDate="2017-02-02T00:00:00" maxDate="2017-02-09T00:00:00"/>
    </cacheField>
    <cacheField name="CONSUMABLE CATEGORY" numFmtId="0">
      <sharedItems containsBlank="1" count="4">
        <s v="GENSET"/>
        <s v="ATS"/>
        <m/>
        <s v="ACU"/>
      </sharedItems>
    </cacheField>
    <cacheField name="Brand/ Model" numFmtId="0">
      <sharedItems containsBlank="1"/>
    </cacheField>
    <cacheField name="SN" numFmtId="0">
      <sharedItems containsBlank="1" containsMixedTypes="1" containsNumber="1" containsInteger="1" minValue="9537" maxValue="10746120190"/>
    </cacheField>
    <cacheField name="REPAIR WORKS / CONSUMABLES" numFmtId="0">
      <sharedItems containsBlank="1"/>
    </cacheField>
    <cacheField name="SLA FOR REPAIR WORKS / CONSUMABLE" numFmtId="0">
      <sharedItems containsBlank="1" containsMixedTypes="1" containsNumber="1" containsInteger="1" minValue="1" maxValue="20"/>
    </cacheField>
    <cacheField name="WO DEPENDENCY" numFmtId="0">
      <sharedItems containsBlank="1" count="4">
        <s v="WATO"/>
        <s v="WFM"/>
        <m/>
        <s v=""/>
      </sharedItems>
    </cacheField>
    <cacheField name="WO NUMBER" numFmtId="0">
      <sharedItems containsBlank="1"/>
    </cacheField>
    <cacheField name="DATE FILED" numFmtId="164">
      <sharedItems containsNonDate="0" containsDate="1" containsString="0" containsBlank="1" minDate="2017-01-23T00:00:00" maxDate="2017-03-14T00:00:00"/>
    </cacheField>
    <cacheField name="W.O. STATUS" numFmtId="0">
      <sharedItems containsBlank="1"/>
    </cacheField>
    <cacheField name="&quot;FOR IMPLEMENTATION&quot; DATE" numFmtId="164">
      <sharedItems containsNonDate="0" containsDate="1" containsString="0" containsBlank="1" minDate="2017-02-02T00:00:00" maxDate="2017-03-27T00:00:00"/>
    </cacheField>
    <cacheField name="REMARKS" numFmtId="0">
      <sharedItems containsBlank="1"/>
    </cacheField>
    <cacheField name="DATE RECTIFIED" numFmtId="164">
      <sharedItems containsNonDate="0" containsDate="1" containsString="0" containsBlank="1" minDate="2017-01-23T00:00:00" maxDate="2017-02-27T00:00:00"/>
    </cacheField>
    <cacheField name="TRACKER REMARK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4"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4"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  <r>
    <m/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s v=""/>
    <s v=""/>
    <n v="0"/>
    <s v=""/>
    <s v=""/>
    <s v="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94"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x v="0"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95"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s v=""/>
    <s v=""/>
    <m/>
    <m/>
    <m/>
    <m/>
    <m/>
    <m/>
    <x v="0"/>
    <s v=""/>
    <s v=""/>
    <s v=""/>
    <s v=""/>
    <s v=""/>
    <s v=""/>
    <s v=""/>
    <n v="0"/>
    <s v=""/>
    <s v=""/>
    <s v=""/>
    <s v=""/>
  </r>
  <r>
    <x v="0"/>
    <x v="0"/>
    <m/>
    <m/>
    <m/>
    <m/>
    <m/>
    <m/>
    <m/>
    <m/>
    <m/>
    <m/>
    <m/>
    <m/>
    <m/>
    <m/>
    <m/>
    <m/>
    <m/>
    <m/>
    <m/>
    <m/>
    <m/>
    <m/>
    <x v="1"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494">
  <r>
    <s v="Area 3"/>
    <n v="8"/>
    <n v="3371"/>
    <s v="Libagon"/>
    <s v="Last Mile"/>
    <s v="E-CALL"/>
    <s v="VISMSN-20170119-0010"/>
    <s v="defective battery switch"/>
    <s v="CSMP, WATO"/>
    <d v="2017-01-19T00:00:00"/>
    <s v="FUD: Replacement of Battery Switch"/>
    <x v="0"/>
    <x v="0"/>
    <m/>
    <d v="2017-02-02T00:00:00"/>
    <s v="WATO ON-HAND"/>
    <d v="2017-02-02T00:00:00"/>
    <x v="0"/>
    <s v="Powercity"/>
    <s v="G14070562"/>
    <s v="Battery Switch/terminal"/>
    <n v="1"/>
    <x v="0"/>
    <s v="MSN-012017-001"/>
    <d v="2017-02-02T00:00:00"/>
    <s v="FOR IMPLEMENTATION"/>
    <m/>
    <m/>
    <m/>
    <s v="INCORRECT DATA INPUT"/>
  </r>
  <r>
    <s v="Area 3"/>
    <n v="8"/>
    <n v="817"/>
    <s v="Maasin1"/>
    <s v="Major Hub"/>
    <s v="E-CALL"/>
    <s v="VISMSN-20170122-0017"/>
    <s v="burnt module, no automatic transfer"/>
    <s v="CSMP, WATO, WFM"/>
    <d v="2017-01-22T00:00:00"/>
    <s v="FUD: Replacement of ATS module"/>
    <x v="0"/>
    <x v="1"/>
    <m/>
    <d v="2017-02-02T00:00:00"/>
    <s v="SUBMITTED TO WFM"/>
    <d v="2017-02-02T00:00:00"/>
    <x v="1"/>
    <s v="Kutai"/>
    <n v="9537"/>
    <s v="ATS &amp; MTS repair"/>
    <n v="3"/>
    <x v="1"/>
    <m/>
    <m/>
    <m/>
    <m/>
    <s v="for replacement of ATS"/>
    <m/>
    <s v="AWAITING FSR"/>
  </r>
  <r>
    <s v="Area 3"/>
    <n v="8"/>
    <s v="V0058"/>
    <s v="Pintuyan RS"/>
    <s v="Major Hub"/>
    <s v="E-CALL"/>
    <s v="VISMSN-20170123-0018"/>
    <s v="Genset suddenly shut down. Low voltage alarm"/>
    <s v="CSMP, WATO, WFM"/>
    <d v="2017-01-23T00:00:00"/>
    <s v="DCB: For replacement of feed pump at injection jump. "/>
    <x v="0"/>
    <x v="1"/>
    <m/>
    <d v="2017-02-02T00:00:00"/>
    <s v="SUBMITTED TO WFM"/>
    <d v="2017-02-02T00:00:00"/>
    <x v="0"/>
    <s v="Powercity"/>
    <s v="G12120903"/>
    <s v="Injection pump (repair &amp; calibration)"/>
    <n v="3"/>
    <x v="1"/>
    <s v="MAA-02162017-005"/>
    <d v="2017-02-16T00:00:00"/>
    <s v="FOR IMPLEMENTATION"/>
    <d v="2017-02-16T00:00:00"/>
    <m/>
    <m/>
    <s v="INCORRECT DATA INPUT"/>
  </r>
  <r>
    <s v="Area 3"/>
    <n v="8"/>
    <s v="V5255 "/>
    <s v="Lower Villa"/>
    <s v="Last Mile"/>
    <s v="E-CALL"/>
    <s v="VISMSN-20170123-0019"/>
    <s v="Genset suddenly shut down."/>
    <s v="CSMP, WATO"/>
    <d v="2017-01-23T00:00:00"/>
    <s v="DCB: Resolved but no FSR"/>
    <x v="1"/>
    <x v="0"/>
    <m/>
    <d v="2017-02-02T00:00:00"/>
    <m/>
    <m/>
    <x v="2"/>
    <m/>
    <m/>
    <m/>
    <m/>
    <x v="2"/>
    <m/>
    <m/>
    <m/>
    <m/>
    <s v="DONE"/>
    <d v="2017-01-23T00:00:00"/>
    <s v="INCORRECT DATA INPUT"/>
  </r>
  <r>
    <s v="Area 3"/>
    <n v="8"/>
    <s v="F36"/>
    <s v="Malitbog"/>
    <s v="Intermidiate Link"/>
    <s v="E-CALL"/>
    <s v="VISMSN-20170123-0020"/>
    <s v="Genset no output"/>
    <s v="CSMP, WATO, WFM"/>
    <d v="2017-01-23T00:00:00"/>
    <s v="DCB: For replacement of AVR"/>
    <x v="0"/>
    <x v="1"/>
    <m/>
    <d v="2017-02-02T00:00:00"/>
    <s v="SUBMITTED TO WFM"/>
    <d v="2017-02-02T00:00:00"/>
    <x v="0"/>
    <s v="Denyo"/>
    <n v="3741917"/>
    <s v="Automatoc Voltage Regulator"/>
    <m/>
    <x v="1"/>
    <s v="MAA-02162017-004"/>
    <d v="2017-02-16T00:00:00"/>
    <s v="FOR IMPLEMENTATION"/>
    <d v="2017-02-16T00:00:00"/>
    <m/>
    <m/>
    <s v="INCORRECT DATA INPUT"/>
  </r>
  <r>
    <s v="Area 3"/>
    <n v="8"/>
    <s v="V3674 "/>
    <s v="Sun Malitbog"/>
    <s v="Last Mile"/>
    <s v="E-CALL"/>
    <s v="VISMSN-20170123-0021"/>
    <s v="Genset no output"/>
    <s v="CSMP, WATO, WFM"/>
    <d v="2017-01-23T00:00:00"/>
    <s v="DCB: For replacement of AVR"/>
    <x v="0"/>
    <x v="1"/>
    <m/>
    <d v="2017-02-02T00:00:00"/>
    <s v="SUBMITTED TO WFM"/>
    <d v="2017-02-02T00:00:00"/>
    <x v="0"/>
    <s v="Powercity"/>
    <s v="G14070569"/>
    <s v="Automatoc Voltage Regulator"/>
    <n v="1"/>
    <x v="1"/>
    <s v="MAA-02162017-003"/>
    <d v="2017-02-16T00:00:00"/>
    <s v="FOR IMPLEMENTATION"/>
    <d v="2017-02-16T00:00:00"/>
    <m/>
    <m/>
    <s v="AWAITING FSR"/>
  </r>
  <r>
    <s v="Area 3"/>
    <n v="8"/>
    <s v="V5255 "/>
    <s v="Lower Villa"/>
    <s v="Last Mile"/>
    <s v="E-CALL"/>
    <s v="VISMSN-20170123-0023"/>
    <s v="Busted Fuselink"/>
    <s v="CSMP, WATO"/>
    <d v="2107-01-23T00:00:00"/>
    <s v="FUD: Replacement of Busted Fuselink"/>
    <x v="1"/>
    <x v="0"/>
    <m/>
    <d v="2017-02-02T00:00:00"/>
    <s v="WATO ON-HAND"/>
    <d v="2017-02-02T00:00:00"/>
    <x v="2"/>
    <m/>
    <m/>
    <m/>
    <m/>
    <x v="0"/>
    <s v="MSN-012517-001"/>
    <d v="2017-02-02T00:00:00"/>
    <s v="FOR IMPLEMENTATION"/>
    <d v="2017-02-02T00:00:00"/>
    <s v="DONE"/>
    <d v="2017-02-02T00:00:00"/>
    <s v="AWAITING FSR"/>
  </r>
  <r>
    <s v="Area 3"/>
    <n v="8"/>
    <s v="J36 "/>
    <s v="Cabulihan"/>
    <s v="Major Hub"/>
    <s v="E-CALL"/>
    <s v="VIS2017-16"/>
    <s v="Damaged power meter and dropped wires"/>
    <s v="CSMP, WATO, WFM"/>
    <d v="2017-01-26T00:00:00"/>
    <s v="DCB: For line clearing and power meter base rehab"/>
    <x v="0"/>
    <x v="1"/>
    <m/>
    <d v="2017-02-02T00:00:00"/>
    <s v="SUBMITTED TO WFM"/>
    <d v="2017-02-02T00:00:00"/>
    <x v="2"/>
    <m/>
    <m/>
    <m/>
    <s v=""/>
    <x v="3"/>
    <m/>
    <m/>
    <m/>
    <m/>
    <s v="for quotation by local coop for post replacement"/>
    <m/>
    <s v="INCORRECT DATA INPUT"/>
  </r>
  <r>
    <s v="Area 3"/>
    <n v="8"/>
    <n v="3369"/>
    <s v="Macrohon"/>
    <s v="Last Mile"/>
    <s v="E-CALL"/>
    <s v="VIS2017-17"/>
    <s v="Genset wont start"/>
    <s v="CSMP, WATO, WFM"/>
    <d v="2017-01-26T00:00:00"/>
    <s v="DCB: On-going"/>
    <x v="0"/>
    <x v="1"/>
    <m/>
    <d v="2017-02-02T00:00:00"/>
    <s v="SUBMITTED TO WFM"/>
    <d v="2017-02-02T00:00:00"/>
    <x v="0"/>
    <s v="Olympian"/>
    <n v="2025514"/>
    <s v="Charging Alternator repair"/>
    <n v="2"/>
    <x v="1"/>
    <m/>
    <m/>
    <m/>
    <m/>
    <m/>
    <m/>
    <s v="AWAITING FSR"/>
  </r>
  <r>
    <s v="Area 3"/>
    <n v="8"/>
    <n v="3372"/>
    <s v=" Hinundayan"/>
    <s v="Last Mile"/>
    <s v="E-CALL"/>
    <s v="VIS2017-18"/>
    <s v="Genset won't start"/>
    <s v="CSMP, WATO, WFM"/>
    <d v="2017-01-27T00:00:00"/>
    <m/>
    <x v="0"/>
    <x v="1"/>
    <m/>
    <d v="2017-02-02T00:00:00"/>
    <s v="SUBMITTED TO WFM"/>
    <d v="2017-02-02T00:00:00"/>
    <x v="0"/>
    <s v="Kipor"/>
    <m/>
    <m/>
    <s v=""/>
    <x v="3"/>
    <m/>
    <m/>
    <m/>
    <m/>
    <s v="for ARDA, for replacement of genset"/>
    <m/>
    <s v="AWAITING FSR"/>
  </r>
  <r>
    <s v="Area 3"/>
    <n v="8"/>
    <s v="V3670 "/>
    <s v="Sun Libagon"/>
    <s v="Last Mile"/>
    <s v="E-CALL"/>
    <s v="VIS2017-19"/>
    <s v="Genset won't start"/>
    <s v="CSMP, WATO, WFM"/>
    <d v="2017-01-27T00:00:00"/>
    <m/>
    <x v="0"/>
    <x v="1"/>
    <m/>
    <d v="2017-02-02T00:00:00"/>
    <s v="SUBMITTED TO WFM"/>
    <d v="2017-02-02T00:00:00"/>
    <x v="0"/>
    <s v="Powercity"/>
    <s v="G14070679"/>
    <s v="Overhauling"/>
    <n v="20"/>
    <x v="1"/>
    <s v="MAA-02162017-006"/>
    <d v="2017-02-16T00:00:00"/>
    <s v="FOR IMPLEMENTATION"/>
    <d v="2017-02-16T00:00:00"/>
    <m/>
    <m/>
    <s v="INCORRECT DATA INPUT"/>
  </r>
  <r>
    <s v="Area 3"/>
    <n v="8"/>
    <s v="V0033 "/>
    <s v="Pintuyan BTS"/>
    <s v="Last Mile"/>
    <s v="E-CALL"/>
    <s v="VIS2017-21"/>
    <s v="Genset won't start"/>
    <s v="CSMP, WATO"/>
    <d v="2017-01-28T00:00:00"/>
    <s v="FUD: for replacement of genset"/>
    <x v="0"/>
    <x v="2"/>
    <m/>
    <m/>
    <m/>
    <m/>
    <x v="0"/>
    <s v="Kipor"/>
    <n v="10746120190"/>
    <m/>
    <s v=""/>
    <x v="3"/>
    <m/>
    <m/>
    <m/>
    <m/>
    <m/>
    <m/>
    <s v="AWAITING FSR"/>
  </r>
  <r>
    <s v="Area 3"/>
    <n v="8"/>
    <s v="V0058 "/>
    <s v="Pintuyan RS"/>
    <s v="Major Hub"/>
    <s v="E-CALL"/>
    <s v="VIS2017-25"/>
    <s v="Genset suddenly shutdown"/>
    <s v="CSMP, WATO, WFM"/>
    <d v="2017-01-28T00:00:00"/>
    <s v="FUD: refill engine oil"/>
    <x v="1"/>
    <x v="0"/>
    <m/>
    <d v="2017-02-02T00:00:00"/>
    <m/>
    <m/>
    <x v="0"/>
    <m/>
    <m/>
    <m/>
    <s v=""/>
    <x v="3"/>
    <m/>
    <m/>
    <m/>
    <m/>
    <s v="DONE"/>
    <d v="2017-02-05T00:00:00"/>
    <s v="INCORRECT DATA INPUT"/>
  </r>
  <r>
    <s v="Area 3"/>
    <n v="8"/>
    <s v="V5257 "/>
    <s v="Cahagnaan"/>
    <s v="Last Mile"/>
    <s v="E-CALL"/>
    <s v="VIS2017-29"/>
    <s v="Busted Fuselink"/>
    <s v="CSMP, WATO"/>
    <d v="2017-01-29T00:00:00"/>
    <s v="FUD: Replacement of Busted Fuselink and Powerlince Clearing"/>
    <x v="1"/>
    <x v="0"/>
    <m/>
    <d v="2017-02-02T00:00:00"/>
    <s v="WATO ON-HAND"/>
    <d v="2017-02-02T00:00:00"/>
    <x v="2"/>
    <m/>
    <m/>
    <m/>
    <s v=""/>
    <x v="0"/>
    <s v="MSN-013017-001"/>
    <d v="2017-02-02T00:00:00"/>
    <s v="FOR IMPLEMENTATION"/>
    <d v="2017-02-02T00:00:00"/>
    <s v="DONE"/>
    <d v="2017-02-02T00:00:00"/>
    <s v="INCORRECT DATA INPUT"/>
  </r>
  <r>
    <s v="Area 3"/>
    <n v="8"/>
    <s v="V5257 "/>
    <s v="Cahagnaan"/>
    <s v="Last Mile"/>
    <s v="E-CALL"/>
    <s v="VIS2017-32"/>
    <s v="Genset suddenly shutdown"/>
    <s v="CSMP, WATO"/>
    <d v="2017-01-30T00:00:00"/>
    <s v="FUD: for refilling of engine oil"/>
    <x v="1"/>
    <x v="0"/>
    <m/>
    <d v="2017-02-02T00:00:00"/>
    <m/>
    <m/>
    <x v="0"/>
    <m/>
    <m/>
    <m/>
    <s v=""/>
    <x v="3"/>
    <m/>
    <m/>
    <m/>
    <m/>
    <s v="DONE"/>
    <d v="2017-02-05T00:00:00"/>
    <s v="AWAITING FSR"/>
  </r>
  <r>
    <s v="Area 3"/>
    <n v="8"/>
    <s v="V5257 "/>
    <s v="Cahagnaan"/>
    <s v="Last Mile"/>
    <s v="E-CALL"/>
    <s v="VIS2017-37-8"/>
    <s v="Genset suddenly shutdown"/>
    <s v="CSMP, WATO"/>
    <d v="2017-01-31T00:00:00"/>
    <s v="FUD for refilling of fuel"/>
    <x v="1"/>
    <x v="2"/>
    <m/>
    <m/>
    <m/>
    <m/>
    <x v="0"/>
    <m/>
    <m/>
    <m/>
    <s v=""/>
    <x v="3"/>
    <m/>
    <m/>
    <m/>
    <m/>
    <s v="DONE"/>
    <d v="2017-02-05T00:00:00"/>
    <s v="INCORRECT DATA INPUT"/>
  </r>
  <r>
    <s v="Area 3"/>
    <n v="8"/>
    <s v="V3673 "/>
    <s v="Sun Liloan"/>
    <s v="Intermidiate Link"/>
    <s v="E-CALL"/>
    <s v="VIS2017-91-8"/>
    <s v="Genset wont start"/>
    <s v="CSMP, WATO"/>
    <d v="2017-02-15T00:00:00"/>
    <s v="DCB: On-going"/>
    <x v="0"/>
    <x v="2"/>
    <m/>
    <m/>
    <m/>
    <m/>
    <x v="0"/>
    <m/>
    <m/>
    <m/>
    <s v=""/>
    <x v="3"/>
    <m/>
    <m/>
    <m/>
    <m/>
    <m/>
    <m/>
    <s v="AWAITING FSR"/>
  </r>
  <r>
    <s v="Area 3"/>
    <n v="8"/>
    <s v="V3601"/>
    <s v="Sun Hilongos"/>
    <s v="Last Mile"/>
    <s v="PMR"/>
    <m/>
    <s v="ACU no cooling/defective compressor"/>
    <s v="CSMP, WATO, WFM"/>
    <d v="2017-02-10T00:00:00"/>
    <s v="DCB: Defective compressor. ACU for replacement"/>
    <x v="0"/>
    <x v="1"/>
    <m/>
    <d v="2017-02-15T00:00:00"/>
    <m/>
    <m/>
    <x v="3"/>
    <s v="Carrier"/>
    <s v="51PMXRACCAR19KEDE08PC-0309849"/>
    <m/>
    <s v=""/>
    <x v="3"/>
    <m/>
    <m/>
    <m/>
    <m/>
    <s v="for replacement of WACU; already applied ATMF for transfer from Maasin 2"/>
    <m/>
    <s v="AWAITING FSR"/>
  </r>
  <r>
    <s v="Area 3"/>
    <n v="8"/>
    <s v="V3601 "/>
    <s v="Sun Hilongos"/>
    <s v="Last Mile"/>
    <s v="PMR"/>
    <m/>
    <s v="ACU no cooling/defective compressor"/>
    <s v="CSMP, WATO, WFM"/>
    <d v="2017-02-10T00:00:00"/>
    <s v="DCB: Defective compressor. ACU for replacement"/>
    <x v="0"/>
    <x v="1"/>
    <m/>
    <d v="2017-02-15T00:00:00"/>
    <m/>
    <m/>
    <x v="3"/>
    <s v="Carrier"/>
    <s v="51PMXRACCAR19KEDE08PC-0309853"/>
    <m/>
    <s v=""/>
    <x v="3"/>
    <m/>
    <m/>
    <m/>
    <m/>
    <s v="for replacement of WACU; already applied ATMF for transfer from Maasin 2"/>
    <m/>
    <s v="INCORRECT DATA INPUT"/>
  </r>
  <r>
    <s v="Area 3"/>
    <n v="8"/>
    <s v="F79 "/>
    <s v="Inopacan"/>
    <s v="Major Hub"/>
    <s v="PMR"/>
    <m/>
    <s v="Genset overheating. Leaking radiator"/>
    <s v="CSMP, WATO, WFM"/>
    <d v="2017-02-07T00:00:00"/>
    <s v="DCB: Leaking radiator for replacement"/>
    <x v="0"/>
    <x v="1"/>
    <m/>
    <d v="2017-02-07T00:00:00"/>
    <m/>
    <m/>
    <x v="0"/>
    <s v="Denyo"/>
    <n v="3756981"/>
    <s v="Radiator repair"/>
    <n v="2"/>
    <x v="1"/>
    <s v="MAA-02162017-001"/>
    <d v="2017-02-16T00:00:00"/>
    <s v="FOR IMPLEMENTATION"/>
    <d v="2017-02-16T00:00:00"/>
    <m/>
    <m/>
    <s v="INCORRECT DATA INPUT"/>
  </r>
  <r>
    <s v="Area 3"/>
    <n v="8"/>
    <s v="F79 "/>
    <s v="Inopacan"/>
    <s v="Major Hub"/>
    <s v="PMR"/>
    <m/>
    <s v="Busted perimeter lights"/>
    <s v="CSMP, WATO"/>
    <d v="2017-02-07T00:00:00"/>
    <s v="DCB: For replacement of bulb, socket and wires"/>
    <x v="0"/>
    <x v="0"/>
    <m/>
    <d v="2017-02-07T00:00:00"/>
    <m/>
    <m/>
    <x v="2"/>
    <m/>
    <m/>
    <m/>
    <s v=""/>
    <x v="3"/>
    <m/>
    <m/>
    <m/>
    <m/>
    <m/>
    <m/>
    <s v="INCORRECT DATA INPUT"/>
  </r>
  <r>
    <s v="Area 3"/>
    <n v="8"/>
    <n v="3371"/>
    <s v="Libagon"/>
    <s v="Last Mile"/>
    <s v="E-CALL"/>
    <s v="VIS2017-111-8"/>
    <s v="Genset wont start"/>
    <s v="CSMP, WATO"/>
    <d v="2017-02-20T00:00:00"/>
    <s v="DCB: Genset wont start"/>
    <x v="0"/>
    <x v="2"/>
    <m/>
    <m/>
    <m/>
    <m/>
    <x v="0"/>
    <m/>
    <m/>
    <m/>
    <s v=""/>
    <x v="3"/>
    <m/>
    <m/>
    <m/>
    <m/>
    <m/>
    <m/>
    <s v="INCORRECT DATA INPUT"/>
  </r>
  <r>
    <s v="Area 3"/>
    <n v="8"/>
    <n v="4361"/>
    <s v="Hindang"/>
    <s v="Intermidiate Link"/>
    <s v="PMR"/>
    <m/>
    <s v="ACU defective compressor"/>
    <s v="CSMP, WATO, WFM"/>
    <d v="2017-02-08T00:00:00"/>
    <s v="FUD: for replacement of new ACU"/>
    <x v="0"/>
    <x v="1"/>
    <m/>
    <d v="2017-02-22T00:00:00"/>
    <m/>
    <m/>
    <x v="3"/>
    <m/>
    <m/>
    <m/>
    <s v=""/>
    <x v="3"/>
    <m/>
    <m/>
    <m/>
    <m/>
    <m/>
    <m/>
    <s v="INCORRECT DATA INPUT"/>
  </r>
  <r>
    <s v="Area 3"/>
    <n v="8"/>
    <s v="V5231 "/>
    <s v="Hindang Doos"/>
    <s v="Last Mile"/>
    <s v="PMR"/>
    <m/>
    <s v="for replacement of new padlock"/>
    <s v="CSMP, WATO"/>
    <d v="2017-02-07T00:00:00"/>
    <s v="FUD: for replacement of new padlock"/>
    <x v="0"/>
    <x v="0"/>
    <m/>
    <d v="2017-02-08T00:00:00"/>
    <s v="WATO ON-HAND"/>
    <d v="2017-02-08T00:00:00"/>
    <x v="2"/>
    <m/>
    <m/>
    <m/>
    <s v=""/>
    <x v="0"/>
    <s v="MSN-020917-001"/>
    <d v="2017-02-09T00:00:00"/>
    <s v="FOR IMPLEMENTATION"/>
    <d v="2017-02-09T00:00:00"/>
    <m/>
    <m/>
    <s v="PENDING WFM WO"/>
  </r>
  <r>
    <s v="Area 3"/>
    <n v="8"/>
    <n v="3368"/>
    <s v="Bontoc"/>
    <s v="Last Mile"/>
    <s v="E-CALL"/>
    <s v="VIS2017-129-8"/>
    <s v="Portal ticket #: VIS-2017-02-23-003"/>
    <s v="CSMP, WATO"/>
    <d v="2017-02-23T00:00:00"/>
    <s v="FUD: Replacement of Busted Fuselink"/>
    <x v="0"/>
    <x v="3"/>
    <m/>
    <m/>
    <m/>
    <m/>
    <x v="2"/>
    <m/>
    <m/>
    <m/>
    <s v=""/>
    <x v="3"/>
    <m/>
    <m/>
    <m/>
    <m/>
    <m/>
    <m/>
    <s v="INCORRECT DATA INPUT"/>
  </r>
  <r>
    <s v="Area 3"/>
    <n v="8"/>
    <s v="V5258 "/>
    <s v="Consolacion"/>
    <s v="Last Mile"/>
    <s v="E-CALL"/>
    <s v="VIS2017-128-8"/>
    <s v="Portal ticket #: VIS-2017-02-23-006"/>
    <s v="CSMP, WATO"/>
    <d v="2017-02-23T00:00:00"/>
    <m/>
    <x v="0"/>
    <x v="3"/>
    <m/>
    <m/>
    <m/>
    <m/>
    <x v="2"/>
    <m/>
    <m/>
    <m/>
    <s v=""/>
    <x v="3"/>
    <m/>
    <m/>
    <m/>
    <m/>
    <m/>
    <m/>
    <s v="PENDING WFM WO"/>
  </r>
  <r>
    <s v="Area 3"/>
    <n v="8"/>
    <s v="F17 "/>
    <s v="San Juan"/>
    <s v="Intermidiate Link"/>
    <s v="E-CALL"/>
    <s v="VIS2017-153-8"/>
    <s v="Portal ticket #: VIS-2017-02-26-011"/>
    <s v="CSMP, WATO, WFM"/>
    <d v="2017-02-26T00:00:00"/>
    <s v="FUD: genset won't start"/>
    <x v="0"/>
    <x v="3"/>
    <m/>
    <m/>
    <m/>
    <m/>
    <x v="0"/>
    <m/>
    <m/>
    <m/>
    <s v=""/>
    <x v="3"/>
    <m/>
    <m/>
    <m/>
    <m/>
    <m/>
    <m/>
    <s v="INCORRECT DATA INPUT"/>
  </r>
  <r>
    <s v="Area 3"/>
    <n v="8"/>
    <s v="F17 "/>
    <s v=" San Juan"/>
    <s v="Intermidiate Link"/>
    <s v="E-CALL"/>
    <s v="VIS2017-178-8"/>
    <s v="Portal ticket #: VIS-2017-03-03-010"/>
    <s v="CSMP, WATO"/>
    <d v="2017-03-03T00:00:00"/>
    <s v="FUD: no commercial power inside the radio room"/>
    <x v="1"/>
    <x v="3"/>
    <m/>
    <m/>
    <m/>
    <m/>
    <x v="2"/>
    <m/>
    <m/>
    <m/>
    <s v=""/>
    <x v="3"/>
    <m/>
    <m/>
    <m/>
    <m/>
    <m/>
    <m/>
    <s v="INCORRECT DATA INPUT"/>
  </r>
  <r>
    <s v="Area 3"/>
    <n v="8"/>
    <n v="4274"/>
    <s v="Liloan"/>
    <s v="Last Mile"/>
    <s v="E-CALL"/>
    <s v="VIS2017-182-8"/>
    <s v="Portal ticket #: VIS-2017-03-03-011"/>
    <s v="CSMP, WATO, WFM"/>
    <d v="2017-03-03T00:00:00"/>
    <s v="FUD: genset won't start"/>
    <x v="0"/>
    <x v="3"/>
    <m/>
    <m/>
    <m/>
    <m/>
    <x v="0"/>
    <m/>
    <m/>
    <m/>
    <s v=""/>
    <x v="3"/>
    <m/>
    <m/>
    <m/>
    <m/>
    <m/>
    <m/>
    <s v="INCORRECT DATA INPUT"/>
  </r>
  <r>
    <s v="Area 3"/>
    <n v="8"/>
    <n v="3369"/>
    <s v="Macrohon"/>
    <s v="Last Mile"/>
    <s v="E-CALL"/>
    <s v="VIS2017-186-8"/>
    <s v="Portal ticket #: VIS-2017-03-06-015"/>
    <s v="CSMP, WATO"/>
    <d v="2017-03-04T00:00:00"/>
    <s v="FUD: loose contact on ignition switch"/>
    <x v="1"/>
    <x v="3"/>
    <m/>
    <m/>
    <m/>
    <m/>
    <x v="0"/>
    <m/>
    <m/>
    <m/>
    <s v=""/>
    <x v="3"/>
    <m/>
    <m/>
    <m/>
    <m/>
    <m/>
    <m/>
    <s v="PENDING WFM WO"/>
  </r>
  <r>
    <s v="Area 3"/>
    <n v="8"/>
    <s v="F57"/>
    <s v="Maasin2"/>
    <s v="Last Mile"/>
    <s v="E-CALL"/>
    <s v="VIS2017-194-8"/>
    <s v="Portal ticket #: VIS-2017-03-06-016"/>
    <s v="CSMP, WATO"/>
    <d v="2017-03-04T00:00:00"/>
    <s v="FUD: loose fan belt, less engine oil"/>
    <x v="1"/>
    <x v="0"/>
    <m/>
    <d v="2017-03-06T00:00:00"/>
    <m/>
    <m/>
    <x v="0"/>
    <m/>
    <m/>
    <m/>
    <s v=""/>
    <x v="3"/>
    <m/>
    <m/>
    <m/>
    <m/>
    <m/>
    <m/>
    <s v="INCORRECT DATA INPUT"/>
  </r>
  <r>
    <s v="Area 3"/>
    <n v="8"/>
    <s v="V3370"/>
    <s v="Sun Tomas Oppus"/>
    <s v="Intermidiate Link"/>
    <s v="E-CALL"/>
    <m/>
    <m/>
    <s v="CSMP, WATO"/>
    <m/>
    <s v="DCB: Rewire ATS controller to genset battery and genset load going to ATS output"/>
    <x v="1"/>
    <x v="3"/>
    <m/>
    <m/>
    <m/>
    <m/>
    <x v="0"/>
    <m/>
    <m/>
    <m/>
    <s v=""/>
    <x v="3"/>
    <m/>
    <m/>
    <m/>
    <m/>
    <m/>
    <m/>
    <s v="INCORRECT DATA INPUT"/>
  </r>
  <r>
    <s v="Area 3"/>
    <n v="8"/>
    <s v="V0058"/>
    <s v="Pintuyan RS"/>
    <s v="Major Hub"/>
    <s v="E-CALL"/>
    <s v="VIS-2017-03-11-015"/>
    <s v="Genset wont start. Under frequency alarm"/>
    <s v="CSMP, WATO"/>
    <d v="2017-03-11T00:00:00"/>
    <s v="DCB: Adjust idling circuit settings"/>
    <x v="1"/>
    <x v="3"/>
    <m/>
    <m/>
    <m/>
    <m/>
    <x v="0"/>
    <m/>
    <m/>
    <m/>
    <s v=""/>
    <x v="3"/>
    <m/>
    <m/>
    <m/>
    <m/>
    <m/>
    <m/>
    <s v="WATO WO FILING"/>
  </r>
  <r>
    <s v="Area 3"/>
    <n v="8"/>
    <s v="V3607"/>
    <s v="Sun Ormoc San Pablo"/>
    <s v="Last Mile"/>
    <s v="E-CALL"/>
    <s v="20170117-0004"/>
    <s v="Busted ECB"/>
    <s v="CSMP, WATO"/>
    <d v="2017-01-17T00:00:00"/>
    <s v="Completed "/>
    <x v="1"/>
    <x v="3"/>
    <m/>
    <m/>
    <m/>
    <m/>
    <x v="0"/>
    <m/>
    <m/>
    <m/>
    <m/>
    <x v="2"/>
    <m/>
    <m/>
    <m/>
    <m/>
    <m/>
    <m/>
    <m/>
  </r>
  <r>
    <s v="Area 3"/>
    <n v="8"/>
    <s v="V0070"/>
    <s v="Maripipi"/>
    <s v="Last Mile"/>
    <s v="E-CALL"/>
    <s v="2017119-0008"/>
    <s v="Genset wont start "/>
    <s v="CSMP, WATO"/>
    <d v="2017-01-19T00:00:00"/>
    <s v="Completed "/>
    <x v="1"/>
    <x v="3"/>
    <m/>
    <m/>
    <m/>
    <m/>
    <x v="0"/>
    <m/>
    <m/>
    <m/>
    <m/>
    <x v="2"/>
    <m/>
    <m/>
    <m/>
    <m/>
    <m/>
    <m/>
    <s v="INCORRECT DATA INPUT"/>
  </r>
  <r>
    <s v="Area 3"/>
    <n v="8"/>
    <n v="5870"/>
    <s v="Baybay 2 - Lito Quirong"/>
    <s v="Intermidiate Link"/>
    <s v="E-CALL"/>
    <m/>
    <s v="Water Dripping "/>
    <s v="CSMP, WATO"/>
    <d v="2017-01-23T00:00:00"/>
    <s v="No response "/>
    <x v="0"/>
    <x v="2"/>
    <m/>
    <d v="2017-01-23T00:00:00"/>
    <m/>
    <m/>
    <x v="0"/>
    <m/>
    <m/>
    <m/>
    <m/>
    <x v="2"/>
    <s v="Ormoc12317_001"/>
    <d v="2017-01-23T00:00:00"/>
    <s v="FOR IMPLEMENTATION"/>
    <m/>
    <m/>
    <m/>
    <s v="WATO WO FILING"/>
  </r>
  <r>
    <s v="Area 3"/>
    <n v="8"/>
    <s v="Z81"/>
    <s v="Ormoc - Linao"/>
    <s v="Intermidiate Link"/>
    <s v="E-CALL"/>
    <m/>
    <s v="Hauling "/>
    <s v="CSMP, WATO"/>
    <d v="2017-01-23T00:00:00"/>
    <s v="No response "/>
    <x v="0"/>
    <x v="2"/>
    <m/>
    <d v="2017-01-23T00:00:00"/>
    <m/>
    <m/>
    <x v="0"/>
    <m/>
    <m/>
    <m/>
    <m/>
    <x v="2"/>
    <s v="Ormoc12317_002"/>
    <d v="2017-01-23T00:00:00"/>
    <s v="FOR IMPLEMENTATION"/>
    <m/>
    <m/>
    <m/>
    <s v="INCORRECT DATA INPUT"/>
  </r>
  <r>
    <s v="Area 3"/>
    <n v="8"/>
    <n v="4271"/>
    <s v="San Isidro "/>
    <s v="Last Mile"/>
    <s v="PMR"/>
    <m/>
    <s v="Power Clearing "/>
    <s v="CSMP, WATO"/>
    <d v="2017-03-09T00:00:00"/>
    <s v="For WO "/>
    <x v="0"/>
    <x v="0"/>
    <m/>
    <d v="2017-03-13T00:00:00"/>
    <m/>
    <m/>
    <x v="2"/>
    <m/>
    <m/>
    <m/>
    <s v=""/>
    <x v="3"/>
    <s v="17-013596"/>
    <d v="2017-03-13T00:00:00"/>
    <s v="FOR LEVEL1 APPROVAL"/>
    <m/>
    <m/>
    <m/>
    <s v="WATO WO FILING"/>
  </r>
  <r>
    <s v="Area 3"/>
    <n v="8"/>
    <s v="V5221"/>
    <s v="Sun Matlang "/>
    <s v="Last Mile"/>
    <s v="PMR"/>
    <m/>
    <s v="Padlock "/>
    <s v="CSMP, WATO"/>
    <d v="2017-03-03T00:00:00"/>
    <s v="No response "/>
    <x v="0"/>
    <x v="0"/>
    <m/>
    <d v="2017-03-03T00:00:00"/>
    <m/>
    <m/>
    <x v="2"/>
    <m/>
    <m/>
    <m/>
    <s v=""/>
    <x v="3"/>
    <s v="17-013277 "/>
    <d v="2017-03-03T00:00:00"/>
    <s v="FOR IMPLEMENTATION"/>
    <m/>
    <m/>
    <m/>
    <s v="INCORRECT DATA INPUT"/>
  </r>
  <r>
    <s v="Area 3"/>
    <n v="8"/>
    <s v="F42 "/>
    <s v="Villaba"/>
    <s v="Last Mile"/>
    <s v="PMR"/>
    <m/>
    <s v="Genset AVR "/>
    <s v="CSMP, WATO"/>
    <d v="2017-03-01T00:00:00"/>
    <s v="For Replacement "/>
    <x v="0"/>
    <x v="0"/>
    <m/>
    <d v="2017-03-01T00:00:00"/>
    <m/>
    <m/>
    <x v="0"/>
    <s v="Airman 25 KVA "/>
    <s v="1233A50341"/>
    <m/>
    <s v=""/>
    <x v="3"/>
    <s v="17-011583 "/>
    <d v="2017-03-03T00:00:00"/>
    <s v="FOR IMPLEMENTATION"/>
    <m/>
    <m/>
    <m/>
    <s v="WATO WO FILING"/>
  </r>
  <r>
    <s v="Area 3"/>
    <n v="8"/>
    <n v="4266"/>
    <s v="Dulag"/>
    <s v="Intermidiate Link"/>
    <s v="E-CALL"/>
    <s v="VIS2017-99-8"/>
    <s v="Genset Wont Start"/>
    <s v="CSMP, WATO"/>
    <d v="2017-02-17T00:00:00"/>
    <s v="REC: Genset won't start"/>
    <x v="0"/>
    <x v="2"/>
    <m/>
    <m/>
    <m/>
    <m/>
    <x v="0"/>
    <m/>
    <m/>
    <m/>
    <s v=""/>
    <x v="2"/>
    <m/>
    <m/>
    <m/>
    <m/>
    <m/>
    <m/>
    <s v="INCORRECT DATA INPUT"/>
  </r>
  <r>
    <s v="Area 3"/>
    <n v="8"/>
    <n v="5882"/>
    <s v="Marabut RS"/>
    <s v="Major Hub"/>
    <s v="E-CALL"/>
    <s v="VIS2017-119-8"/>
    <s v="Genset cant start"/>
    <s v="CSMP, WATO, WFM"/>
    <d v="2017-02-21T00:00:00"/>
    <s v="REC: Genset won't start"/>
    <x v="0"/>
    <x v="2"/>
    <m/>
    <m/>
    <m/>
    <m/>
    <x v="0"/>
    <m/>
    <m/>
    <m/>
    <s v=""/>
    <x v="2"/>
    <m/>
    <m/>
    <m/>
    <m/>
    <m/>
    <m/>
    <s v="INCORRECT DATA INPUT"/>
  </r>
  <r>
    <s v="Area 3"/>
    <n v="8"/>
    <n v="4362"/>
    <s v="Javier"/>
    <s v="Intermidiate Link"/>
    <s v="E-CALL"/>
    <s v="VIS2017-113-8"/>
    <s v="Genset wont Start"/>
    <s v="CSMP, WATO, WFM"/>
    <d v="2017-02-21T00:00:00"/>
    <s v="REC: Defective DC Charging Alternator"/>
    <x v="0"/>
    <x v="1"/>
    <m/>
    <d v="2017-02-21T00:00:00"/>
    <m/>
    <m/>
    <x v="0"/>
    <s v="DENYO/25KVA"/>
    <n v="3743506"/>
    <s v="Charging Alternator repair"/>
    <n v="2"/>
    <x v="1"/>
    <m/>
    <m/>
    <m/>
    <m/>
    <m/>
    <m/>
    <s v="INCORRECT DATA INPUT"/>
  </r>
  <r>
    <s v="Area 3"/>
    <n v="8"/>
    <n v="3395"/>
    <s v="Silago"/>
    <s v="Last Mile"/>
    <s v="E-CALL"/>
    <s v="VIS2017-124-8"/>
    <s v="Genset cant start"/>
    <m/>
    <d v="2017-02-22T00:00:00"/>
    <s v="ILO:Request E-Call"/>
    <x v="0"/>
    <x v="2"/>
    <m/>
    <m/>
    <m/>
    <m/>
    <x v="0"/>
    <m/>
    <m/>
    <m/>
    <s v=""/>
    <x v="2"/>
    <m/>
    <m/>
    <m/>
    <m/>
    <m/>
    <m/>
    <s v="INCORRECT DATA INPUT"/>
  </r>
  <r>
    <s v="Area 3"/>
    <n v="8"/>
    <n v="4201"/>
    <s v="Mt. Naga-Naga"/>
    <s v="Major Hub"/>
    <s v="E-CALL"/>
    <s v="VIS2017-133-8"/>
    <s v="Genset cant start Denyo"/>
    <s v="CSMP, WATO"/>
    <d v="2017-02-24T00:00:00"/>
    <s v="ILO: Defective FanBelt"/>
    <x v="0"/>
    <x v="2"/>
    <m/>
    <m/>
    <m/>
    <m/>
    <x v="0"/>
    <m/>
    <m/>
    <m/>
    <s v=""/>
    <x v="2"/>
    <m/>
    <m/>
    <m/>
    <m/>
    <m/>
    <m/>
    <s v="INCORRECT DATA INPUT"/>
  </r>
  <r>
    <s v="Area 3"/>
    <n v="8"/>
    <s v="U60 "/>
    <s v="Babatngon Rizal"/>
    <s v="Intermidiate Link"/>
    <s v="E-CALL"/>
    <s v="VIS2017-134-8"/>
    <s v="Genset cant Start"/>
    <s v="CSMP, WATO"/>
    <d v="2017-02-24T00:00:00"/>
    <s v="ILO: Defective FanBelt"/>
    <x v="0"/>
    <x v="2"/>
    <m/>
    <m/>
    <m/>
    <m/>
    <x v="0"/>
    <m/>
    <m/>
    <m/>
    <s v=""/>
    <x v="2"/>
    <m/>
    <m/>
    <m/>
    <m/>
    <m/>
    <m/>
    <s v="No Response from CSMP "/>
  </r>
  <r>
    <s v="Area 3"/>
    <n v="8"/>
    <n v="832"/>
    <s v=" Palo 1"/>
    <s v="Major Hub"/>
    <s v="E-CALL"/>
    <s v="VIS2017-135-9"/>
    <s v="genset cant start Denyo"/>
    <s v="CSMP, WATO"/>
    <d v="2017-02-24T00:00:00"/>
    <s v="ILO:Request E-Call"/>
    <x v="0"/>
    <x v="2"/>
    <m/>
    <m/>
    <m/>
    <m/>
    <x v="0"/>
    <m/>
    <m/>
    <m/>
    <s v=""/>
    <x v="2"/>
    <m/>
    <m/>
    <m/>
    <m/>
    <m/>
    <m/>
    <s v="AWAITING FSR"/>
  </r>
  <r>
    <s v="Area 3"/>
    <n v="8"/>
    <n v="3345"/>
    <s v="Tac8"/>
    <s v="Intermidiate Link"/>
    <s v="E-CALL"/>
    <s v="VIS2017-147-8"/>
    <s v="Genset cant Start"/>
    <s v="CSMP, WATO"/>
    <d v="2017-02-26T00:00:00"/>
    <s v="REC: Request E-Call"/>
    <x v="0"/>
    <x v="2"/>
    <m/>
    <m/>
    <m/>
    <m/>
    <x v="0"/>
    <m/>
    <m/>
    <m/>
    <s v=""/>
    <x v="2"/>
    <m/>
    <m/>
    <m/>
    <m/>
    <m/>
    <m/>
    <s v="INCORRECT DATA INPUT"/>
  </r>
  <r>
    <s v="Area 3"/>
    <n v="8"/>
    <n v="3344"/>
    <s v="Tacloban 7"/>
    <s v="Last Mile"/>
    <s v="E-CALL"/>
    <s v="VIS2017-148-8"/>
    <s v="Genset cant Start"/>
    <s v="CSMP, WATO"/>
    <d v="2017-02-26T00:00:00"/>
    <s v="REC: Request E-Call"/>
    <x v="0"/>
    <x v="2"/>
    <m/>
    <m/>
    <m/>
    <m/>
    <x v="0"/>
    <m/>
    <m/>
    <m/>
    <s v=""/>
    <x v="2"/>
    <m/>
    <m/>
    <m/>
    <m/>
    <m/>
    <m/>
    <m/>
  </r>
  <r>
    <s v="Area 3"/>
    <n v="8"/>
    <s v="J58"/>
    <s v="Sta Rita Tominamos"/>
    <s v="Last Mile"/>
    <s v="E-CALL"/>
    <s v="VIS2017-151-8"/>
    <s v="Portable genset shutdown during operation"/>
    <s v="CSMP, WATO"/>
    <d v="2017-02-26T00:00:00"/>
    <s v="REC: Diesel mixed with water."/>
    <x v="0"/>
    <x v="2"/>
    <m/>
    <m/>
    <m/>
    <m/>
    <x v="0"/>
    <m/>
    <m/>
    <m/>
    <s v=""/>
    <x v="3"/>
    <m/>
    <m/>
    <m/>
    <m/>
    <m/>
    <m/>
    <s v="INCORRECT DATA INPUT"/>
  </r>
  <r>
    <s v="Area 3"/>
    <n v="8"/>
    <n v="4266"/>
    <s v="Dulag"/>
    <s v="Major Hub"/>
    <s v="E-CALL"/>
    <s v="VIS2017-152-8"/>
    <s v="Genset cant Start"/>
    <s v="CSMP, WATO"/>
    <d v="2017-02-26T00:00:00"/>
    <s v="REC: Loose contact ingnation switch"/>
    <x v="0"/>
    <x v="2"/>
    <m/>
    <m/>
    <m/>
    <m/>
    <x v="0"/>
    <m/>
    <m/>
    <m/>
    <s v=""/>
    <x v="3"/>
    <m/>
    <m/>
    <m/>
    <m/>
    <m/>
    <m/>
    <s v="INCORRECT DATA INPUT"/>
  </r>
  <r>
    <s v="Area 3"/>
    <n v="8"/>
    <n v="860"/>
    <s v="Tacloban 2"/>
    <s v="Intermidiate Link"/>
    <s v="E-CALL"/>
    <s v="VIS2017-149-8"/>
    <s v="genset shutdown during operation"/>
    <s v="CSMP, WATO"/>
    <d v="2017-02-26T00:00:00"/>
    <s v="REC: refill 4 Liters engine Oill"/>
    <x v="1"/>
    <x v="0"/>
    <m/>
    <d v="2017-02-26T00:00:00"/>
    <m/>
    <m/>
    <x v="0"/>
    <s v="Powercity 25KVA"/>
    <s v="G13121808"/>
    <s v="Change Oil"/>
    <s v=""/>
    <x v="3"/>
    <s v="17-013649"/>
    <d v="2017-03-13T00:00:00"/>
    <s v="FOR LEVEL1 APPROVAL"/>
    <d v="2017-03-26T00:00:00"/>
    <s v="for refill 4L"/>
    <d v="2017-02-26T00:00:00"/>
    <s v="INCORRECT DATA INPUT"/>
  </r>
  <r>
    <s v="Area 3"/>
    <n v="8"/>
    <n v="5882"/>
    <s v="Marabut RS"/>
    <s v="Major Hub"/>
    <s v="E-CALL"/>
    <s v="VIS2017-205-8"/>
    <s v="Genset with low engine oil Marabut 5882 (Endorsed 03072017 0910H) with VIS2017-205-8 portal E-call Number: VIS-2017-03-11-003"/>
    <s v="CSMP, WATO"/>
    <d v="2017-03-07T00:00:00"/>
    <m/>
    <x v="0"/>
    <x v="2"/>
    <m/>
    <m/>
    <m/>
    <m/>
    <x v="0"/>
    <s v="Powercity 45KVA"/>
    <m/>
    <m/>
    <s v=""/>
    <x v="3"/>
    <m/>
    <m/>
    <m/>
    <m/>
    <m/>
    <m/>
    <s v="INCORRECT DATA INPUT"/>
  </r>
  <r>
    <s v="Area 3"/>
    <n v="8"/>
    <n v="4371"/>
    <s v="Tunga"/>
    <s v="Last Mile"/>
    <s v="E-CALL"/>
    <s v="VIS2017-206-8"/>
    <s v="Genset with low engine oil 4371 Tunga (Endorsed 03072017 0910H) with VIS2017-206-8; PORTAL ECALL number: VIS-2017-03-11-004"/>
    <s v="CSMP, WATO"/>
    <d v="2017-03-07T00:00:00"/>
    <m/>
    <x v="0"/>
    <x v="2"/>
    <m/>
    <m/>
    <m/>
    <m/>
    <x v="0"/>
    <s v="Powercity 25KVA"/>
    <s v="G13121816"/>
    <m/>
    <s v=""/>
    <x v="3"/>
    <m/>
    <m/>
    <m/>
    <m/>
    <m/>
    <m/>
    <e v="#VALUE!"/>
  </r>
  <r>
    <s v="Area 3"/>
    <n v="8"/>
    <s v="F84"/>
    <s v="Tacloban 5"/>
    <s v="Intermidiate Link"/>
    <s v="E-CALL"/>
    <s v="VIS2017-207-8"/>
    <s v="Genset cant start F84 Tacloban 5 Perkins (Endorsed 03072017 0910H) with VIS2017-207-8; PORTAL ECALL number: VIS-2017-03-11-005"/>
    <s v="CSMP, WATO"/>
    <d v="2017-03-07T00:00:00"/>
    <m/>
    <x v="0"/>
    <x v="2"/>
    <m/>
    <m/>
    <m/>
    <m/>
    <x v="0"/>
    <s v="Perkins 15KVA"/>
    <m/>
    <m/>
    <s v=""/>
    <x v="3"/>
    <m/>
    <m/>
    <m/>
    <m/>
    <m/>
    <m/>
    <s v="INCORRECT DATA INPUT"/>
  </r>
  <r>
    <s v="Area 3"/>
    <n v="8"/>
    <n v="842"/>
    <s v="Tacloban 1"/>
    <s v="Major Hub"/>
    <s v="E-CALL"/>
    <s v="VIS2017-212-8"/>
    <s v="Genset Cant Start Denyo (Endorsed 03072017 1549H) with VIS2017-212-8; PORTAL ECALL number: VIS-2017-03-11-006"/>
    <s v="CSMP, WATO"/>
    <d v="2017-03-07T00:00:00"/>
    <m/>
    <x v="0"/>
    <x v="2"/>
    <m/>
    <m/>
    <m/>
    <m/>
    <x v="0"/>
    <m/>
    <m/>
    <m/>
    <s v=""/>
    <x v="3"/>
    <m/>
    <m/>
    <m/>
    <m/>
    <m/>
    <m/>
    <m/>
  </r>
  <r>
    <s v="Area 3"/>
    <n v="8"/>
    <n v="4371"/>
    <s v="Tunga"/>
    <s v="Last Mile"/>
    <s v="E-CALL"/>
    <s v="VIS2017-228-8"/>
    <s v="Defective Fuselink 4371 Tunga (Endorsed 03102017 2101H) with VIS2017-228-8; PORTAL ECALL number: VIS-2017-03-11-007"/>
    <s v="CSMP, WATO"/>
    <d v="2017-03-10T00:00:00"/>
    <m/>
    <x v="0"/>
    <x v="2"/>
    <m/>
    <m/>
    <m/>
    <m/>
    <x v="2"/>
    <m/>
    <m/>
    <m/>
    <s v=""/>
    <x v="3"/>
    <m/>
    <m/>
    <m/>
    <m/>
    <s v="Busted fuselink"/>
    <m/>
    <m/>
  </r>
  <r>
    <s v="Area 3"/>
    <n v="8"/>
    <n v="4371"/>
    <s v="Tunga"/>
    <s v="Last Mile"/>
    <s v="E-CALL"/>
    <s v="VIS2017-229-8"/>
    <s v="Genset with low engine oil 4371 Tunga (Endorsed 03102017 2101H) with VIS2017-229-8; PORTAL ECALL number: VIS-2017-03-11-008"/>
    <s v="CSMP, WATO"/>
    <d v="2017-03-10T00:00:00"/>
    <m/>
    <x v="0"/>
    <x v="2"/>
    <m/>
    <m/>
    <m/>
    <m/>
    <x v="0"/>
    <s v="Powercity 25KVA"/>
    <s v="G13121816"/>
    <m/>
    <s v=""/>
    <x v="3"/>
    <m/>
    <m/>
    <m/>
    <m/>
    <m/>
    <m/>
    <m/>
  </r>
  <r>
    <s v="Area 3"/>
    <n v="8"/>
    <n v="832"/>
    <s v="Palo 1"/>
    <s v="Major Hub"/>
    <s v="E-CALL"/>
    <s v="VIS2017-230-8"/>
    <s v="Genset Wont start; defective fanbelt (endorsed 03112017 0545H) with ecall number VIS2017-230-8; PORTAL ECALL number: VIS-2017-03-11-009"/>
    <s v="CSMP, WATO"/>
    <d v="2017-03-11T00:00:00"/>
    <m/>
    <x v="0"/>
    <x v="2"/>
    <m/>
    <m/>
    <m/>
    <m/>
    <x v="0"/>
    <s v="Denyo 25KVA"/>
    <n v="5394549"/>
    <m/>
    <s v=""/>
    <x v="3"/>
    <m/>
    <m/>
    <m/>
    <m/>
    <m/>
    <m/>
    <m/>
  </r>
  <r>
    <s v="Area 3"/>
    <n v="8"/>
    <n v="3377"/>
    <s v="Sta Rita"/>
    <s v="Last Mile"/>
    <s v="E-CALL"/>
    <s v="VIS2017-236-8"/>
    <s v="Genset Wont Start (endorsed 03122017 1428H) with ecall number VIS2017-236-8; PORTAL ECALL number: VIS-2017-03-13-011"/>
    <s v="CSMP, WATO"/>
    <m/>
    <m/>
    <x v="0"/>
    <x v="2"/>
    <m/>
    <m/>
    <m/>
    <m/>
    <x v="0"/>
    <s v="Denyo 25KVA"/>
    <n v="3755252"/>
    <m/>
    <s v=""/>
    <x v="3"/>
    <m/>
    <m/>
    <m/>
    <m/>
    <m/>
    <m/>
    <m/>
  </r>
  <r>
    <s v="Area 3"/>
    <n v="8"/>
    <s v="V3615"/>
    <s v="SUN Tacloban Marasbaras"/>
    <s v="Last Mile"/>
    <s v="E-CALL"/>
    <s v="VIS2017-237-8"/>
    <s v="Genset automatic shutdown powercigty 25KVA (endorsed 03132017 0454H) with ecall number VIS2017-237-8; PORTAL ECALL number: VIS-2017-03-13-012"/>
    <s v="CSMP, WATO, WFM"/>
    <m/>
    <m/>
    <x v="0"/>
    <x v="2"/>
    <m/>
    <m/>
    <m/>
    <m/>
    <x v="0"/>
    <s v="Powercity 25KVA"/>
    <s v="G14070572"/>
    <m/>
    <s v=""/>
    <x v="3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m/>
    <x v="2"/>
    <m/>
    <m/>
    <m/>
    <m/>
    <m/>
    <m/>
    <m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  <r>
    <m/>
    <m/>
    <m/>
    <m/>
    <m/>
    <m/>
    <m/>
    <m/>
    <m/>
    <m/>
    <m/>
    <x v="2"/>
    <x v="3"/>
    <m/>
    <m/>
    <m/>
    <m/>
    <x v="2"/>
    <m/>
    <m/>
    <m/>
    <s v=""/>
    <x v="3"/>
    <m/>
    <m/>
    <m/>
    <m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4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H7:I10" firstHeaderRow="1" firstDataRow="1" firstDataCol="1" rowPageCount="1" colPageCount="1"/>
  <pivotFields count="37">
    <pivotField axis="axisRow" showAll="0">
      <items count="23">
        <item sd="0" m="1" x="3"/>
        <item sd="0" m="1" x="19"/>
        <item sd="0" m="1" x="17"/>
        <item sd="0" m="1" x="11"/>
        <item sd="0" m="1" x="8"/>
        <item sd="0" m="1" x="4"/>
        <item x="0"/>
        <item m="1" x="20"/>
        <item m="1" x="18"/>
        <item m="1" x="13"/>
        <item m="1" x="6"/>
        <item m="1" x="21"/>
        <item m="1" x="15"/>
        <item m="1" x="9"/>
        <item m="1" x="1"/>
        <item m="1" x="16"/>
        <item m="1" x="7"/>
        <item m="1" x="5"/>
        <item m="1" x="2"/>
        <item m="1" x="10"/>
        <item m="1" x="14"/>
        <item m="1" x="12"/>
        <item t="default"/>
      </items>
    </pivotField>
    <pivotField axis="axisRow" showAll="0">
      <items count="160">
        <item m="1" x="134"/>
        <item m="1" x="146"/>
        <item m="1" x="154"/>
        <item m="1" x="2"/>
        <item m="1" x="11"/>
        <item m="1" x="21"/>
        <item m="1" x="103"/>
        <item m="1" x="116"/>
        <item m="1" x="123"/>
        <item m="1" x="137"/>
        <item m="1" x="150"/>
        <item m="1" x="155"/>
        <item m="1" x="78"/>
        <item m="1" x="88"/>
        <item m="1" x="96"/>
        <item m="1" x="108"/>
        <item m="1" x="119"/>
        <item m="1" x="128"/>
        <item m="1" x="55"/>
        <item m="1" x="62"/>
        <item m="1" x="72"/>
        <item m="1" x="80"/>
        <item m="1" x="91"/>
        <item m="1" x="100"/>
        <item m="1" x="38"/>
        <item m="1" x="43"/>
        <item m="1" x="50"/>
        <item m="1" x="57"/>
        <item m="1" x="65"/>
        <item m="1" x="75"/>
        <item m="1" x="12"/>
        <item m="1" x="22"/>
        <item m="1" x="33"/>
        <item m="1" x="40"/>
        <item m="1" x="44"/>
        <item m="1" x="51"/>
        <item x="0"/>
        <item m="1" x="151"/>
        <item m="1" x="156"/>
        <item m="1" x="120"/>
        <item m="1" x="129"/>
        <item m="1" x="141"/>
        <item m="1" x="152"/>
        <item m="1" x="157"/>
        <item m="1" x="5"/>
        <item m="1" x="15"/>
        <item m="1" x="28"/>
        <item m="1" x="24"/>
        <item m="1" x="61"/>
        <item m="1" x="121"/>
        <item m="1" x="17"/>
        <item m="1" x="126"/>
        <item m="1" x="99"/>
        <item m="1" x="10"/>
        <item m="1" x="140"/>
        <item m="1" x="9"/>
        <item m="1" x="52"/>
        <item m="1" x="18"/>
        <item m="1" x="23"/>
        <item m="1" x="6"/>
        <item m="1" x="13"/>
        <item m="1" x="37"/>
        <item m="1" x="8"/>
        <item m="1" x="117"/>
        <item m="1" x="125"/>
        <item m="1" x="145"/>
        <item m="1" x="76"/>
        <item m="1" x="92"/>
        <item m="1" x="124"/>
        <item m="1" x="56"/>
        <item m="1" x="106"/>
        <item m="1" x="1"/>
        <item m="1" x="84"/>
        <item m="1" x="83"/>
        <item m="1" x="85"/>
        <item m="1" x="34"/>
        <item m="1" x="27"/>
        <item m="1" x="54"/>
        <item m="1" x="122"/>
        <item m="1" x="73"/>
        <item m="1" x="114"/>
        <item m="1" x="107"/>
        <item m="1" x="127"/>
        <item m="1" x="132"/>
        <item m="1" x="4"/>
        <item m="1" x="30"/>
        <item m="1" x="47"/>
        <item m="1" x="7"/>
        <item m="1" x="97"/>
        <item m="1" x="82"/>
        <item m="1" x="42"/>
        <item m="1" x="26"/>
        <item m="1" x="148"/>
        <item m="1" x="131"/>
        <item m="1" x="81"/>
        <item m="1" x="90"/>
        <item m="1" x="36"/>
        <item m="1" x="87"/>
        <item m="1" x="133"/>
        <item m="1" x="109"/>
        <item m="1" x="31"/>
        <item m="1" x="142"/>
        <item m="1" x="147"/>
        <item m="1" x="113"/>
        <item m="1" x="118"/>
        <item m="1" x="29"/>
        <item m="1" x="35"/>
        <item m="1" x="69"/>
        <item m="1" x="53"/>
        <item m="1" x="3"/>
        <item m="1" x="45"/>
        <item m="1" x="111"/>
        <item m="1" x="25"/>
        <item m="1" x="59"/>
        <item m="1" x="94"/>
        <item m="1" x="19"/>
        <item m="1" x="112"/>
        <item m="1" x="67"/>
        <item m="1" x="60"/>
        <item m="1" x="68"/>
        <item m="1" x="149"/>
        <item m="1" x="143"/>
        <item m="1" x="138"/>
        <item m="1" x="74"/>
        <item m="1" x="101"/>
        <item m="1" x="32"/>
        <item m="1" x="105"/>
        <item m="1" x="158"/>
        <item m="1" x="49"/>
        <item m="1" x="48"/>
        <item m="1" x="139"/>
        <item m="1" x="95"/>
        <item m="1" x="153"/>
        <item m="1" x="104"/>
        <item m="1" x="71"/>
        <item m="1" x="64"/>
        <item m="1" x="102"/>
        <item m="1" x="41"/>
        <item m="1" x="115"/>
        <item m="1" x="136"/>
        <item m="1" x="130"/>
        <item m="1" x="14"/>
        <item m="1" x="86"/>
        <item m="1" x="93"/>
        <item m="1" x="66"/>
        <item m="1" x="63"/>
        <item m="1" x="46"/>
        <item m="1" x="89"/>
        <item m="1" x="79"/>
        <item m="1" x="98"/>
        <item m="1" x="144"/>
        <item m="1" x="16"/>
        <item m="1" x="20"/>
        <item m="1" x="110"/>
        <item m="1" x="77"/>
        <item m="1" x="39"/>
        <item m="1" x="135"/>
        <item m="1" x="58"/>
        <item m="1" x="70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9">
        <item x="0"/>
        <item m="1" x="2"/>
        <item m="1" x="6"/>
        <item m="1" x="4"/>
        <item m="1" x="7"/>
        <item m="1" x="5"/>
        <item m="1" x="3"/>
        <item m="1"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6"/>
    </i>
    <i r="1">
      <x v="36"/>
    </i>
    <i t="grand">
      <x/>
    </i>
  </rowItems>
  <colItems count="1">
    <i/>
  </colItems>
  <pageFields count="1">
    <pageField fld="24" item="0" hier="-1"/>
  </pageFields>
  <dataFields count="1">
    <dataField name="Average of WO CREATION TO APPROVAL" fld="30" subtotal="average" baseField="0" baseItem="0" numFmtId="1"/>
  </dataFields>
  <formats count="1">
    <format dxfId="50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7:F10" firstHeaderRow="1" firstDataRow="1" firstDataCol="1" rowPageCount="1" colPageCount="1"/>
  <pivotFields count="37">
    <pivotField axis="axisRow" showAll="0">
      <items count="23">
        <item sd="0" m="1" x="3"/>
        <item sd="0" m="1" x="19"/>
        <item sd="0" m="1" x="17"/>
        <item sd="0" m="1" x="11"/>
        <item sd="0" m="1" x="8"/>
        <item sd="0" m="1" x="4"/>
        <item x="0"/>
        <item m="1" x="20"/>
        <item m="1" x="18"/>
        <item m="1" x="13"/>
        <item m="1" x="6"/>
        <item m="1" x="21"/>
        <item m="1" x="15"/>
        <item m="1" x="9"/>
        <item m="1" x="1"/>
        <item m="1" x="16"/>
        <item sd="0" m="1" x="7"/>
        <item sd="0" m="1" x="5"/>
        <item sd="0" m="1" x="2"/>
        <item m="1" x="10"/>
        <item sd="0" m="1" x="14"/>
        <item sd="0" m="1" x="12"/>
        <item t="default"/>
      </items>
    </pivotField>
    <pivotField axis="axisRow" showAll="0">
      <items count="160">
        <item m="1" x="134"/>
        <item m="1" x="146"/>
        <item m="1" x="154"/>
        <item m="1" x="2"/>
        <item m="1" x="11"/>
        <item m="1" x="21"/>
        <item m="1" x="103"/>
        <item m="1" x="116"/>
        <item m="1" x="123"/>
        <item m="1" x="137"/>
        <item m="1" x="150"/>
        <item m="1" x="155"/>
        <item m="1" x="78"/>
        <item m="1" x="88"/>
        <item m="1" x="96"/>
        <item m="1" x="108"/>
        <item m="1" x="119"/>
        <item m="1" x="128"/>
        <item m="1" x="55"/>
        <item m="1" x="62"/>
        <item m="1" x="72"/>
        <item m="1" x="80"/>
        <item m="1" x="91"/>
        <item m="1" x="100"/>
        <item m="1" x="38"/>
        <item m="1" x="43"/>
        <item m="1" x="50"/>
        <item m="1" x="57"/>
        <item m="1" x="65"/>
        <item m="1" x="75"/>
        <item m="1" x="12"/>
        <item m="1" x="22"/>
        <item m="1" x="33"/>
        <item m="1" x="40"/>
        <item m="1" x="44"/>
        <item m="1" x="51"/>
        <item x="0"/>
        <item m="1" x="151"/>
        <item m="1" x="156"/>
        <item m="1" x="120"/>
        <item m="1" x="129"/>
        <item m="1" x="141"/>
        <item m="1" x="152"/>
        <item m="1" x="157"/>
        <item m="1" x="5"/>
        <item m="1" x="15"/>
        <item m="1" x="28"/>
        <item m="1" x="24"/>
        <item m="1" x="61"/>
        <item m="1" x="121"/>
        <item m="1" x="17"/>
        <item m="1" x="126"/>
        <item m="1" x="99"/>
        <item m="1" x="10"/>
        <item m="1" x="140"/>
        <item m="1" x="9"/>
        <item m="1" x="52"/>
        <item m="1" x="18"/>
        <item m="1" x="23"/>
        <item m="1" x="6"/>
        <item m="1" x="13"/>
        <item m="1" x="37"/>
        <item m="1" x="8"/>
        <item m="1" x="117"/>
        <item m="1" x="125"/>
        <item m="1" x="145"/>
        <item m="1" x="76"/>
        <item m="1" x="92"/>
        <item m="1" x="124"/>
        <item m="1" x="56"/>
        <item m="1" x="106"/>
        <item m="1" x="1"/>
        <item m="1" x="84"/>
        <item m="1" x="83"/>
        <item m="1" x="85"/>
        <item m="1" x="34"/>
        <item m="1" x="27"/>
        <item m="1" x="54"/>
        <item m="1" x="122"/>
        <item m="1" x="73"/>
        <item m="1" x="114"/>
        <item m="1" x="107"/>
        <item m="1" x="127"/>
        <item m="1" x="132"/>
        <item m="1" x="4"/>
        <item m="1" x="30"/>
        <item m="1" x="47"/>
        <item m="1" x="7"/>
        <item m="1" x="97"/>
        <item m="1" x="82"/>
        <item m="1" x="42"/>
        <item m="1" x="26"/>
        <item m="1" x="148"/>
        <item m="1" x="131"/>
        <item m="1" x="81"/>
        <item m="1" x="90"/>
        <item m="1" x="36"/>
        <item m="1" x="87"/>
        <item m="1" x="133"/>
        <item m="1" x="109"/>
        <item m="1" x="31"/>
        <item m="1" x="142"/>
        <item m="1" x="147"/>
        <item m="1" x="113"/>
        <item m="1" x="118"/>
        <item m="1" x="29"/>
        <item m="1" x="35"/>
        <item m="1" x="69"/>
        <item m="1" x="53"/>
        <item m="1" x="3"/>
        <item m="1" x="45"/>
        <item m="1" x="111"/>
        <item m="1" x="25"/>
        <item m="1" x="59"/>
        <item m="1" x="94"/>
        <item m="1" x="19"/>
        <item m="1" x="112"/>
        <item m="1" x="67"/>
        <item m="1" x="60"/>
        <item m="1" x="68"/>
        <item m="1" x="149"/>
        <item m="1" x="143"/>
        <item m="1" x="138"/>
        <item m="1" x="74"/>
        <item m="1" x="101"/>
        <item m="1" x="32"/>
        <item m="1" x="105"/>
        <item m="1" x="158"/>
        <item m="1" x="49"/>
        <item m="1" x="48"/>
        <item m="1" x="139"/>
        <item m="1" x="95"/>
        <item m="1" x="153"/>
        <item m="1" x="104"/>
        <item m="1" x="71"/>
        <item m="1" x="64"/>
        <item m="1" x="102"/>
        <item m="1" x="41"/>
        <item m="1" x="115"/>
        <item m="1" x="136"/>
        <item m="1" x="130"/>
        <item m="1" x="14"/>
        <item m="1" x="86"/>
        <item m="1" x="93"/>
        <item m="1" x="66"/>
        <item m="1" x="63"/>
        <item m="1" x="46"/>
        <item m="1" x="89"/>
        <item m="1" x="79"/>
        <item m="1" x="98"/>
        <item m="1" x="144"/>
        <item m="1" x="16"/>
        <item m="1" x="20"/>
        <item m="1" x="110"/>
        <item m="1" x="77"/>
        <item m="1" x="39"/>
        <item m="1" x="135"/>
        <item m="1" x="58"/>
        <item m="1" x="70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9">
        <item x="0"/>
        <item m="1" x="2"/>
        <item m="1" x="6"/>
        <item m="1" x="4"/>
        <item m="1" x="7"/>
        <item m="1" x="5"/>
        <item m="1" x="3"/>
        <item m="1" x="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6"/>
    </i>
    <i r="1">
      <x v="36"/>
    </i>
    <i t="grand">
      <x/>
    </i>
  </rowItems>
  <colItems count="1">
    <i/>
  </colItems>
  <pageFields count="1">
    <pageField fld="24" item="0" hier="-1"/>
  </pageFields>
  <dataFields count="1">
    <dataField name="Average of WO CREATION TO APPROVAL" fld="30" subtotal="average" baseField="0" baseItem="0" numFmtId="1"/>
  </dataFields>
  <formats count="1">
    <format dxfId="51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B7:C10" firstHeaderRow="1" firstDataRow="1" firstDataCol="1" rowPageCount="1" colPageCount="1"/>
  <pivotFields count="37">
    <pivotField axis="axisRow" showAll="0">
      <items count="23">
        <item sd="0" m="1" x="3"/>
        <item sd="0" m="1" x="19"/>
        <item sd="0" m="1" x="17"/>
        <item sd="0" m="1" x="11"/>
        <item sd="0" m="1" x="8"/>
        <item sd="0" m="1" x="4"/>
        <item x="0"/>
        <item sd="0" m="1" x="20"/>
        <item sd="0" m="1" x="18"/>
        <item sd="0" m="1" x="13"/>
        <item sd="0" m="1" x="6"/>
        <item sd="0" m="1" x="21"/>
        <item sd="0" m="1" x="15"/>
        <item sd="0" m="1" x="9"/>
        <item sd="0" m="1" x="1"/>
        <item sd="0" m="1" x="16"/>
        <item m="1" x="7"/>
        <item m="1" x="5"/>
        <item sd="0" m="1" x="2"/>
        <item sd="0" m="1" x="10"/>
        <item sd="0" m="1" x="14"/>
        <item m="1" x="12"/>
        <item t="default"/>
      </items>
    </pivotField>
    <pivotField axis="axisRow" showAll="0">
      <items count="160">
        <item m="1" x="134"/>
        <item m="1" x="146"/>
        <item m="1" x="154"/>
        <item m="1" x="2"/>
        <item m="1" x="11"/>
        <item m="1" x="21"/>
        <item m="1" x="103"/>
        <item m="1" x="116"/>
        <item m="1" x="123"/>
        <item m="1" x="137"/>
        <item m="1" x="150"/>
        <item m="1" x="155"/>
        <item m="1" x="78"/>
        <item m="1" x="88"/>
        <item m="1" x="96"/>
        <item m="1" x="108"/>
        <item m="1" x="119"/>
        <item m="1" x="128"/>
        <item m="1" x="55"/>
        <item m="1" x="62"/>
        <item m="1" x="72"/>
        <item m="1" x="80"/>
        <item m="1" x="91"/>
        <item m="1" x="100"/>
        <item m="1" x="38"/>
        <item m="1" x="43"/>
        <item m="1" x="50"/>
        <item m="1" x="57"/>
        <item m="1" x="65"/>
        <item m="1" x="75"/>
        <item m="1" x="12"/>
        <item m="1" x="22"/>
        <item m="1" x="33"/>
        <item m="1" x="40"/>
        <item m="1" x="44"/>
        <item m="1" x="51"/>
        <item x="0"/>
        <item m="1" x="151"/>
        <item m="1" x="156"/>
        <item m="1" x="120"/>
        <item m="1" x="129"/>
        <item m="1" x="141"/>
        <item m="1" x="152"/>
        <item m="1" x="157"/>
        <item m="1" x="5"/>
        <item m="1" x="15"/>
        <item m="1" x="28"/>
        <item m="1" x="24"/>
        <item m="1" x="61"/>
        <item m="1" x="121"/>
        <item m="1" x="17"/>
        <item m="1" x="126"/>
        <item m="1" x="99"/>
        <item m="1" x="10"/>
        <item m="1" x="140"/>
        <item m="1" x="9"/>
        <item m="1" x="52"/>
        <item m="1" x="18"/>
        <item m="1" x="23"/>
        <item m="1" x="6"/>
        <item m="1" x="13"/>
        <item m="1" x="37"/>
        <item m="1" x="8"/>
        <item m="1" x="117"/>
        <item m="1" x="125"/>
        <item m="1" x="145"/>
        <item m="1" x="76"/>
        <item m="1" x="92"/>
        <item m="1" x="124"/>
        <item m="1" x="56"/>
        <item m="1" x="106"/>
        <item m="1" x="1"/>
        <item m="1" x="84"/>
        <item m="1" x="83"/>
        <item m="1" x="85"/>
        <item m="1" x="34"/>
        <item m="1" x="27"/>
        <item m="1" x="54"/>
        <item m="1" x="122"/>
        <item m="1" x="73"/>
        <item m="1" x="114"/>
        <item m="1" x="107"/>
        <item m="1" x="127"/>
        <item m="1" x="132"/>
        <item m="1" x="4"/>
        <item m="1" x="30"/>
        <item m="1" x="47"/>
        <item m="1" x="7"/>
        <item m="1" x="97"/>
        <item m="1" x="82"/>
        <item m="1" x="42"/>
        <item m="1" x="26"/>
        <item m="1" x="148"/>
        <item m="1" x="131"/>
        <item m="1" x="81"/>
        <item m="1" x="90"/>
        <item m="1" x="36"/>
        <item m="1" x="87"/>
        <item m="1" x="133"/>
        <item m="1" x="109"/>
        <item m="1" x="31"/>
        <item m="1" x="142"/>
        <item m="1" x="147"/>
        <item m="1" x="113"/>
        <item m="1" x="118"/>
        <item m="1" x="29"/>
        <item m="1" x="35"/>
        <item m="1" x="69"/>
        <item m="1" x="53"/>
        <item m="1" x="3"/>
        <item m="1" x="45"/>
        <item m="1" x="111"/>
        <item m="1" x="25"/>
        <item m="1" x="59"/>
        <item m="1" x="94"/>
        <item m="1" x="19"/>
        <item m="1" x="112"/>
        <item m="1" x="67"/>
        <item m="1" x="60"/>
        <item m="1" x="68"/>
        <item m="1" x="149"/>
        <item m="1" x="143"/>
        <item m="1" x="138"/>
        <item m="1" x="74"/>
        <item m="1" x="101"/>
        <item m="1" x="32"/>
        <item m="1" x="105"/>
        <item m="1" x="158"/>
        <item m="1" x="49"/>
        <item m="1" x="48"/>
        <item m="1" x="139"/>
        <item m="1" x="95"/>
        <item m="1" x="153"/>
        <item m="1" x="104"/>
        <item m="1" x="71"/>
        <item m="1" x="64"/>
        <item m="1" x="102"/>
        <item m="1" x="41"/>
        <item m="1" x="115"/>
        <item m="1" x="136"/>
        <item m="1" x="130"/>
        <item m="1" x="14"/>
        <item m="1" x="86"/>
        <item m="1" x="93"/>
        <item m="1" x="66"/>
        <item m="1" x="63"/>
        <item m="1" x="46"/>
        <item m="1" x="89"/>
        <item m="1" x="79"/>
        <item m="1" x="98"/>
        <item m="1" x="144"/>
        <item m="1" x="16"/>
        <item m="1" x="20"/>
        <item m="1" x="110"/>
        <item m="1" x="77"/>
        <item m="1" x="39"/>
        <item m="1" x="135"/>
        <item m="1" x="58"/>
        <item m="1" x="70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9">
        <item x="0"/>
        <item m="1" x="2"/>
        <item m="1" x="6"/>
        <item m="1" x="4"/>
        <item m="1" x="7"/>
        <item m="1" x="5"/>
        <item m="1" x="3"/>
        <item m="1"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3">
    <i>
      <x v="6"/>
    </i>
    <i r="1">
      <x v="36"/>
    </i>
    <i t="grand">
      <x/>
    </i>
  </rowItems>
  <colItems count="1">
    <i/>
  </colItems>
  <pageFields count="1">
    <pageField fld="24" item="0" hier="-1"/>
  </pageFields>
  <dataFields count="1">
    <dataField name="Average of FSR RELEASING" fld="26" subtotal="average" baseField="0" baseItem="0" numFmtId="1"/>
  </dataFields>
  <formats count="1">
    <format dxfId="52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K7:L10" firstHeaderRow="1" firstDataRow="1" firstDataCol="1" rowPageCount="1" colPageCount="1"/>
  <pivotFields count="37">
    <pivotField axis="axisRow" showAll="0">
      <items count="23">
        <item sd="0" m="1" x="3"/>
        <item sd="0" m="1" x="19"/>
        <item sd="0" m="1" x="17"/>
        <item sd="0" m="1" x="11"/>
        <item sd="0" m="1" x="8"/>
        <item sd="0" m="1" x="4"/>
        <item x="0"/>
        <item sd="0" m="1" x="20"/>
        <item m="1" x="18"/>
        <item m="1" x="13"/>
        <item m="1" x="6"/>
        <item m="1" x="21"/>
        <item m="1" x="15"/>
        <item m="1" x="9"/>
        <item m="1" x="1"/>
        <item m="1" x="16"/>
        <item sd="0" m="1" x="7"/>
        <item m="1" x="5"/>
        <item sd="0" m="1" x="2"/>
        <item sd="0" m="1" x="10"/>
        <item sd="0" m="1" x="14"/>
        <item sd="0" m="1" x="12"/>
        <item t="default"/>
      </items>
    </pivotField>
    <pivotField axis="axisRow" showAll="0">
      <items count="160">
        <item m="1" x="134"/>
        <item m="1" x="146"/>
        <item m="1" x="154"/>
        <item m="1" x="2"/>
        <item m="1" x="11"/>
        <item m="1" x="21"/>
        <item m="1" x="103"/>
        <item m="1" x="116"/>
        <item m="1" x="123"/>
        <item m="1" x="137"/>
        <item m="1" x="150"/>
        <item m="1" x="155"/>
        <item m="1" x="78"/>
        <item m="1" x="88"/>
        <item m="1" x="96"/>
        <item m="1" x="108"/>
        <item m="1" x="119"/>
        <item m="1" x="128"/>
        <item m="1" x="55"/>
        <item m="1" x="62"/>
        <item m="1" x="72"/>
        <item m="1" x="80"/>
        <item m="1" x="91"/>
        <item m="1" x="100"/>
        <item m="1" x="38"/>
        <item m="1" x="43"/>
        <item m="1" x="50"/>
        <item m="1" x="57"/>
        <item m="1" x="65"/>
        <item m="1" x="75"/>
        <item m="1" x="12"/>
        <item m="1" x="22"/>
        <item m="1" x="33"/>
        <item m="1" x="40"/>
        <item m="1" x="44"/>
        <item m="1" x="51"/>
        <item x="0"/>
        <item m="1" x="151"/>
        <item m="1" x="156"/>
        <item m="1" x="120"/>
        <item m="1" x="129"/>
        <item m="1" x="141"/>
        <item m="1" x="152"/>
        <item m="1" x="157"/>
        <item m="1" x="5"/>
        <item m="1" x="15"/>
        <item m="1" x="28"/>
        <item m="1" x="24"/>
        <item m="1" x="61"/>
        <item m="1" x="121"/>
        <item m="1" x="17"/>
        <item m="1" x="126"/>
        <item m="1" x="99"/>
        <item m="1" x="10"/>
        <item m="1" x="140"/>
        <item m="1" x="9"/>
        <item m="1" x="52"/>
        <item m="1" x="18"/>
        <item m="1" x="23"/>
        <item m="1" x="6"/>
        <item m="1" x="13"/>
        <item m="1" x="37"/>
        <item m="1" x="8"/>
        <item m="1" x="117"/>
        <item m="1" x="125"/>
        <item m="1" x="145"/>
        <item m="1" x="76"/>
        <item m="1" x="92"/>
        <item m="1" x="124"/>
        <item m="1" x="56"/>
        <item m="1" x="106"/>
        <item m="1" x="1"/>
        <item m="1" x="84"/>
        <item m="1" x="83"/>
        <item m="1" x="85"/>
        <item m="1" x="34"/>
        <item m="1" x="27"/>
        <item m="1" x="54"/>
        <item m="1" x="122"/>
        <item m="1" x="73"/>
        <item m="1" x="114"/>
        <item m="1" x="107"/>
        <item m="1" x="127"/>
        <item m="1" x="132"/>
        <item m="1" x="4"/>
        <item m="1" x="30"/>
        <item m="1" x="47"/>
        <item m="1" x="7"/>
        <item m="1" x="97"/>
        <item m="1" x="82"/>
        <item m="1" x="42"/>
        <item m="1" x="26"/>
        <item m="1" x="148"/>
        <item m="1" x="131"/>
        <item m="1" x="81"/>
        <item m="1" x="90"/>
        <item m="1" x="36"/>
        <item m="1" x="87"/>
        <item m="1" x="133"/>
        <item m="1" x="109"/>
        <item m="1" x="31"/>
        <item m="1" x="142"/>
        <item m="1" x="147"/>
        <item m="1" x="113"/>
        <item m="1" x="118"/>
        <item m="1" x="29"/>
        <item m="1" x="35"/>
        <item m="1" x="69"/>
        <item m="1" x="53"/>
        <item m="1" x="3"/>
        <item m="1" x="45"/>
        <item m="1" x="111"/>
        <item m="1" x="25"/>
        <item m="1" x="59"/>
        <item m="1" x="94"/>
        <item m="1" x="19"/>
        <item m="1" x="112"/>
        <item m="1" x="67"/>
        <item m="1" x="60"/>
        <item m="1" x="68"/>
        <item m="1" x="149"/>
        <item m="1" x="143"/>
        <item m="1" x="138"/>
        <item m="1" x="74"/>
        <item m="1" x="101"/>
        <item m="1" x="32"/>
        <item m="1" x="105"/>
        <item m="1" x="158"/>
        <item m="1" x="49"/>
        <item m="1" x="48"/>
        <item m="1" x="139"/>
        <item m="1" x="95"/>
        <item m="1" x="153"/>
        <item m="1" x="104"/>
        <item m="1" x="71"/>
        <item m="1" x="64"/>
        <item m="1" x="102"/>
        <item m="1" x="41"/>
        <item m="1" x="115"/>
        <item m="1" x="136"/>
        <item m="1" x="130"/>
        <item m="1" x="14"/>
        <item m="1" x="86"/>
        <item m="1" x="93"/>
        <item m="1" x="66"/>
        <item m="1" x="63"/>
        <item m="1" x="46"/>
        <item m="1" x="89"/>
        <item m="1" x="79"/>
        <item m="1" x="98"/>
        <item m="1" x="144"/>
        <item m="1" x="16"/>
        <item m="1" x="20"/>
        <item m="1" x="110"/>
        <item m="1" x="77"/>
        <item m="1" x="39"/>
        <item m="1" x="135"/>
        <item m="1" x="58"/>
        <item m="1" x="70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9">
        <item x="0"/>
        <item m="1" x="2"/>
        <item m="1" x="6"/>
        <item m="1" x="4"/>
        <item m="1" x="7"/>
        <item m="1" x="5"/>
        <item m="1" x="3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0"/>
    <field x="1"/>
  </rowFields>
  <rowItems count="3">
    <i>
      <x v="6"/>
    </i>
    <i r="1">
      <x v="36"/>
    </i>
    <i t="grand">
      <x/>
    </i>
  </rowItems>
  <colItems count="1">
    <i/>
  </colItems>
  <pageFields count="1">
    <pageField fld="24" item="0" hier="-1"/>
  </pageFields>
  <dataFields count="1">
    <dataField name="Average of CSMP IMPLEMENTATION" fld="34" subtotal="average" baseField="0" baseItem="3" numFmtId="1"/>
  </dataFields>
  <formats count="1">
    <format dxfId="53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9" applyNumberFormats="0" applyBorderFormats="0" applyFontFormats="0" applyPatternFormats="0" applyAlignmentFormats="0" applyWidthHeightFormats="1" dataCaption="Values" updatedVersion="5" minRefreshableVersion="3" itemPrintTitles="1" createdVersion="5" indent="0" outline="1" outlineData="1" multipleFieldFilters="0">
  <location ref="A4:D8" firstHeaderRow="1" firstDataRow="2" firstDataCol="1" rowPageCount="1" colPageCount="1"/>
  <pivotFields count="30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showAll="0" defaultSubtotal="0"/>
    <pivotField showAll="0"/>
    <pivotField showAll="0" defaultSubtotal="0"/>
    <pivotField showAll="0"/>
    <pivotField axis="axisRow" dataField="1"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/>
    <pivotField showAll="0"/>
    <pivotField axis="axisCol" showAll="0">
      <items count="5">
        <item h="1" x="3"/>
        <item x="0"/>
        <item x="1"/>
        <item h="1" x="2"/>
        <item t="default"/>
      </items>
    </pivotField>
    <pivotField showAll="0" defaultSubtotal="0"/>
    <pivotField showAll="0"/>
    <pivotField showAll="0" defaultSubtotal="0"/>
    <pivotField showAll="0"/>
    <pivotField showAll="0"/>
    <pivotField showAll="0"/>
    <pivotField showAll="0"/>
  </pivotFields>
  <rowFields count="1">
    <field x="17"/>
  </rowFields>
  <rowItems count="3">
    <i>
      <x v="1"/>
    </i>
    <i>
      <x v="2"/>
    </i>
    <i t="grand">
      <x/>
    </i>
  </rowItems>
  <colFields count="1">
    <field x="22"/>
  </colFields>
  <colItems count="3">
    <i>
      <x v="1"/>
    </i>
    <i>
      <x v="2"/>
    </i>
    <i t="grand">
      <x/>
    </i>
  </colItems>
  <pageFields count="1">
    <pageField fld="11" hier="-1"/>
  </pageFields>
  <dataFields count="1">
    <dataField name="Count of CONSUMABLE CATEGORY" fld="17" subtotal="count" baseField="0" baseItem="0"/>
  </dataFields>
  <formats count="17">
    <format dxfId="21">
      <pivotArea outline="0" collapsedLevelsAreSubtotals="1" fieldPosition="0"/>
    </format>
    <format dxfId="20">
      <pivotArea field="17" type="button" dataOnly="0" labelOnly="1" outline="0" axis="axisRow" fieldPosition="0"/>
    </format>
    <format dxfId="19">
      <pivotArea dataOnly="0" labelOnly="1" fieldPosition="0">
        <references count="1">
          <reference field="17" count="0"/>
        </references>
      </pivotArea>
    </format>
    <format dxfId="18">
      <pivotArea dataOnly="0" labelOnly="1" grandRow="1" outline="0" fieldPosition="0"/>
    </format>
    <format dxfId="17">
      <pivotArea dataOnly="0" labelOnly="1" grandCol="1" outline="0" fieldPosition="0"/>
    </format>
    <format dxfId="16">
      <pivotArea outline="0" collapsedLevelsAreSubtotals="1" fieldPosition="0"/>
    </format>
    <format dxfId="15">
      <pivotArea dataOnly="0" labelOnly="1" grandCol="1" outline="0" fieldPosition="0"/>
    </format>
    <format dxfId="14">
      <pivotArea outline="0" collapsedLevelsAreSubtotals="1" fieldPosition="0"/>
    </format>
    <format dxfId="13">
      <pivotArea field="17" type="button" dataOnly="0" labelOnly="1" outline="0" axis="axisRow" fieldPosition="0"/>
    </format>
    <format dxfId="12">
      <pivotArea dataOnly="0" labelOnly="1" fieldPosition="0">
        <references count="1">
          <reference field="17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9">
      <pivotArea dataOnly="0" labelOnly="1" grandCol="1" outline="0" fieldPosition="0"/>
    </format>
    <format dxfId="8">
      <pivotArea outline="0" collapsedLevelsAreSubtotals="1" fieldPosition="0"/>
    </format>
    <format dxfId="7">
      <pivotArea dataOnly="0" labelOnly="1" outline="0" fieldPosition="0">
        <references count="1">
          <reference field="11" count="0"/>
        </references>
      </pivotArea>
    </format>
    <format dxfId="6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5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5" minRefreshableVersion="3" itemPrintTitles="1" createdVersion="5" indent="0" outline="1" outlineData="1" multipleFieldFilters="0">
  <location ref="A24:D28" firstHeaderRow="1" firstDataRow="2" firstDataCol="1" rowPageCount="1" colPageCount="1"/>
  <pivotFields count="30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 defaultSubtotal="0">
      <items count="3">
        <item h="1" x="1"/>
        <item x="0"/>
        <item h="1" x="2"/>
      </items>
    </pivotField>
    <pivotField showAll="0" defaultSubtotal="0"/>
    <pivotField showAll="0" defaultSubtotal="0"/>
    <pivotField showAll="0"/>
    <pivotField showAll="0" defaultSubtotal="0"/>
    <pivotField showAll="0"/>
    <pivotField axis="axisRow"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/>
    <pivotField showAll="0"/>
    <pivotField axis="axisCol" showAll="0">
      <items count="5">
        <item h="1" x="3"/>
        <item x="0"/>
        <item x="1"/>
        <item h="1" x="2"/>
        <item t="default"/>
      </items>
    </pivotField>
    <pivotField dataField="1" showAll="0" defaultSubtotal="0"/>
    <pivotField showAll="0"/>
    <pivotField showAll="0" defaultSubtotal="0"/>
    <pivotField showAll="0"/>
    <pivotField showAll="0"/>
    <pivotField showAll="0"/>
    <pivotField showAll="0"/>
  </pivotFields>
  <rowFields count="1">
    <field x="17"/>
  </rowFields>
  <rowItems count="3">
    <i>
      <x v="1"/>
    </i>
    <i>
      <x v="2"/>
    </i>
    <i t="grand">
      <x/>
    </i>
  </rowItems>
  <colFields count="1">
    <field x="22"/>
  </colFields>
  <colItems count="3">
    <i>
      <x v="1"/>
    </i>
    <i>
      <x v="2"/>
    </i>
    <i t="grand">
      <x/>
    </i>
  </colItems>
  <pageFields count="1">
    <pageField fld="11" hier="-1"/>
  </pageFields>
  <dataFields count="1">
    <dataField name="Count of WO NUMBER" fld="23" subtotal="count" baseField="0" baseItem="0"/>
  </dataFields>
  <formats count="17">
    <format dxfId="38">
      <pivotArea outline="0" collapsedLevelsAreSubtotals="1" fieldPosition="0"/>
    </format>
    <format dxfId="37">
      <pivotArea field="17" type="button" dataOnly="0" labelOnly="1" outline="0" axis="axisRow" fieldPosition="0"/>
    </format>
    <format dxfId="36">
      <pivotArea dataOnly="0" labelOnly="1" fieldPosition="0">
        <references count="1">
          <reference field="17" count="0"/>
        </references>
      </pivotArea>
    </format>
    <format dxfId="35">
      <pivotArea dataOnly="0" labelOnly="1" grandRow="1" outline="0" fieldPosition="0"/>
    </format>
    <format dxfId="34">
      <pivotArea dataOnly="0" labelOnly="1" grandCol="1" outline="0" fieldPosition="0"/>
    </format>
    <format dxfId="33">
      <pivotArea outline="0" collapsedLevelsAreSubtotals="1" fieldPosition="0"/>
    </format>
    <format dxfId="32">
      <pivotArea dataOnly="0" labelOnly="1" grandCol="1" outline="0" fieldPosition="0"/>
    </format>
    <format dxfId="31">
      <pivotArea outline="0" collapsedLevelsAreSubtotals="1" fieldPosition="0"/>
    </format>
    <format dxfId="30">
      <pivotArea field="17" type="button" dataOnly="0" labelOnly="1" outline="0" axis="axisRow" fieldPosition="0"/>
    </format>
    <format dxfId="29">
      <pivotArea dataOnly="0" labelOnly="1" fieldPosition="0">
        <references count="1">
          <reference field="17" count="0"/>
        </references>
      </pivotArea>
    </format>
    <format dxfId="28">
      <pivotArea dataOnly="0" labelOnly="1" grandRow="1" outline="0" fieldPosition="0"/>
    </format>
    <format dxfId="27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26">
      <pivotArea dataOnly="0" labelOnly="1" grandCol="1" outline="0" fieldPosition="0"/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11" count="0"/>
        </references>
      </pivotArea>
    </format>
    <format dxfId="23">
      <pivotArea dataOnly="0" labelOnly="1" fieldPosition="0">
        <references count="1">
          <reference field="22" count="2">
            <x v="1"/>
            <x v="2"/>
          </reference>
        </references>
      </pivotArea>
    </format>
    <format dxfId="22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5" minRefreshableVersion="3" itemPrintTitles="1" createdVersion="5" indent="0" outline="1" outlineData="1" multipleFieldFilters="0">
  <location ref="A14:E19" firstHeaderRow="1" firstDataRow="2" firstDataCol="1" rowPageCount="1" colPageCount="1"/>
  <pivotFields count="30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 defaultSubtotal="0">
      <items count="3">
        <item h="1" x="1"/>
        <item x="0"/>
        <item h="1" x="2"/>
      </items>
    </pivotField>
    <pivotField axis="axisCol" showAll="0" defaultSubtotal="0">
      <items count="4">
        <item x="1"/>
        <item x="0"/>
        <item h="1" x="3"/>
        <item x="2"/>
      </items>
    </pivotField>
    <pivotField showAll="0" defaultSubtotal="0"/>
    <pivotField showAll="0"/>
    <pivotField showAll="0" defaultSubtotal="0"/>
    <pivotField showAll="0"/>
    <pivotField axis="axisRow" dataField="1" showAll="0">
      <items count="5">
        <item x="3"/>
        <item x="1"/>
        <item x="0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</pivotFields>
  <rowFields count="1">
    <field x="17"/>
  </rowFields>
  <rowItems count="4">
    <i>
      <x/>
    </i>
    <i>
      <x v="1"/>
    </i>
    <i>
      <x v="2"/>
    </i>
    <i t="grand">
      <x/>
    </i>
  </rowItems>
  <colFields count="1">
    <field x="12"/>
  </colFields>
  <colItems count="4">
    <i>
      <x/>
    </i>
    <i>
      <x v="1"/>
    </i>
    <i>
      <x v="3"/>
    </i>
    <i t="grand">
      <x/>
    </i>
  </colItems>
  <pageFields count="1">
    <pageField fld="11" hier="-1"/>
  </pageFields>
  <dataFields count="1">
    <dataField name="Count of CONSUMABLE CATEGORY" fld="17" subtotal="count" baseField="0" baseItem="0"/>
  </dataFields>
  <formats count="11">
    <format dxfId="49">
      <pivotArea outline="0" collapsedLevelsAreSubtotals="1" fieldPosition="0"/>
    </format>
    <format dxfId="48">
      <pivotArea field="17" type="button" dataOnly="0" labelOnly="1" outline="0" axis="axisRow" fieldPosition="0"/>
    </format>
    <format dxfId="47">
      <pivotArea dataOnly="0" labelOnly="1" fieldPosition="0">
        <references count="1">
          <reference field="17" count="0"/>
        </references>
      </pivotArea>
    </format>
    <format dxfId="46">
      <pivotArea dataOnly="0" labelOnly="1" grandRow="1" outline="0" fieldPosition="0"/>
    </format>
    <format dxfId="45">
      <pivotArea dataOnly="0" labelOnly="1" fieldPosition="0">
        <references count="1">
          <reference field="12" count="2">
            <x v="0"/>
            <x v="1"/>
          </reference>
        </references>
      </pivotArea>
    </format>
    <format dxfId="44">
      <pivotArea dataOnly="0" labelOnly="1" grandCol="1" outline="0" fieldPosition="0"/>
    </format>
    <format dxfId="43">
      <pivotArea outline="0" collapsedLevelsAreSubtotals="1" fieldPosition="0"/>
    </format>
    <format dxfId="42">
      <pivotArea dataOnly="0" labelOnly="1" outline="0" fieldPosition="0">
        <references count="1">
          <reference field="11" count="0"/>
        </references>
      </pivotArea>
    </format>
    <format dxfId="41">
      <pivotArea dataOnly="0" labelOnly="1" fieldPosition="0">
        <references count="1">
          <reference field="12" count="2">
            <x v="0"/>
            <x v="1"/>
          </reference>
        </references>
      </pivotArea>
    </format>
    <format dxfId="40">
      <pivotArea dataOnly="0" labelOnly="1" grandCol="1" outline="0" fieldPosition="0"/>
    </format>
    <format dxfId="39">
      <pivotArea dataOnly="0" labelOnly="1" fieldPosition="0">
        <references count="1">
          <reference field="12" count="1">
            <x v="3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6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C5:F8" firstHeaderRow="0" firstDataRow="1" firstDataCol="1" rowPageCount="2" colPageCount="1"/>
  <pivotFields count="40"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</pivotFields>
  <rowFields count="2">
    <field x="1"/>
    <field x="2"/>
  </rowFields>
  <rowItems count="3">
    <i>
      <x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0" hier="-1"/>
    <pageField fld="25" hier="-1"/>
  </pageFields>
  <dataFields count="3">
    <dataField name="Average of FSR RELEASING" fld="29" subtotal="average" baseField="1" baseItem="0" numFmtId="1"/>
    <dataField name="Average of WO CREATION TO APPROVAL" fld="33" subtotal="average" baseField="1" baseItem="0" numFmtId="1"/>
    <dataField name="Average of CSMP IMPLEMENTATION" fld="37" subtotal="average" baseField="1" baseItem="0" numFmtId="1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3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B3:C5" firstHeaderRow="1" firstDataRow="2" firstDataCol="1"/>
  <pivotFields count="37">
    <pivotField axis="axisRow" showAll="0">
      <items count="8">
        <item sd="0" m="1" x="5"/>
        <item sd="0" m="1" x="4"/>
        <item sd="0" m="1" x="2"/>
        <item sd="0" m="1" x="6"/>
        <item sd="0" m="1" x="3"/>
        <item sd="0" m="1" x="1"/>
        <item x="0"/>
        <item t="default"/>
      </items>
    </pivotField>
    <pivotField axis="axisRow" showAll="0">
      <items count="112">
        <item m="1" x="46"/>
        <item m="1" x="77"/>
        <item m="1" x="23"/>
        <item m="1" x="99"/>
        <item m="1" x="34"/>
        <item m="1" x="55"/>
        <item m="1" x="50"/>
        <item m="1" x="15"/>
        <item m="1" x="106"/>
        <item m="1" x="68"/>
        <item m="1" x="49"/>
        <item m="1" x="42"/>
        <item m="1" x="83"/>
        <item m="1" x="41"/>
        <item m="1" x="36"/>
        <item m="1" x="14"/>
        <item m="1" x="29"/>
        <item m="1" x="102"/>
        <item m="1" x="3"/>
        <item m="1" x="4"/>
        <item m="1" x="17"/>
        <item m="1" x="33"/>
        <item m="1" x="8"/>
        <item m="1" x="31"/>
        <item m="1" x="54"/>
        <item m="1" x="5"/>
        <item m="1" x="89"/>
        <item m="1" x="96"/>
        <item m="1" x="92"/>
        <item m="1" x="59"/>
        <item m="1" x="9"/>
        <item m="1" x="80"/>
        <item m="1" x="100"/>
        <item m="1" x="108"/>
        <item m="1" x="16"/>
        <item m="1" x="39"/>
        <item m="1" x="72"/>
        <item m="1" x="64"/>
        <item m="1" x="51"/>
        <item m="1" x="61"/>
        <item m="1" x="10"/>
        <item m="1" x="105"/>
        <item m="1" x="13"/>
        <item m="1" x="109"/>
        <item m="1" x="48"/>
        <item m="1" x="62"/>
        <item m="1" x="84"/>
        <item m="1" x="107"/>
        <item m="1" x="85"/>
        <item m="1" x="104"/>
        <item m="1" x="98"/>
        <item m="1" x="21"/>
        <item m="1" x="63"/>
        <item m="1" x="94"/>
        <item m="1" x="70"/>
        <item m="1" x="78"/>
        <item m="1" x="38"/>
        <item m="1" x="27"/>
        <item m="1" x="30"/>
        <item m="1" x="2"/>
        <item m="1" x="37"/>
        <item m="1" x="35"/>
        <item m="1" x="47"/>
        <item m="1" x="82"/>
        <item m="1" x="53"/>
        <item m="1" x="69"/>
        <item m="1" x="12"/>
        <item m="1" x="25"/>
        <item m="1" x="6"/>
        <item m="1" x="86"/>
        <item m="1" x="7"/>
        <item m="1" x="101"/>
        <item m="1" x="60"/>
        <item m="1" x="43"/>
        <item m="1" x="57"/>
        <item m="1" x="95"/>
        <item m="1" x="56"/>
        <item m="1" x="24"/>
        <item m="1" x="91"/>
        <item m="1" x="20"/>
        <item m="1" x="11"/>
        <item m="1" x="97"/>
        <item m="1" x="26"/>
        <item m="1" x="76"/>
        <item m="1" x="87"/>
        <item m="1" x="65"/>
        <item m="1" x="22"/>
        <item m="1" x="71"/>
        <item m="1" x="67"/>
        <item m="1" x="32"/>
        <item m="1" x="79"/>
        <item m="1" x="52"/>
        <item m="1" x="1"/>
        <item m="1" x="81"/>
        <item m="1" x="110"/>
        <item m="1" x="74"/>
        <item m="1" x="44"/>
        <item m="1" x="75"/>
        <item m="1" x="58"/>
        <item m="1" x="18"/>
        <item m="1" x="28"/>
        <item m="1" x="66"/>
        <item m="1" x="45"/>
        <item m="1" x="40"/>
        <item m="1" x="19"/>
        <item m="1" x="93"/>
        <item m="1" x="88"/>
        <item m="1" x="90"/>
        <item m="1" x="73"/>
        <item m="1" x="103"/>
        <item x="0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8">
        <item h="1" x="0"/>
        <item m="1" x="2"/>
        <item m="1" x="5"/>
        <item m="1" x="3"/>
        <item m="1" x="6"/>
        <item m="1" x="4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">
    <i t="grand">
      <x/>
    </i>
  </rowItems>
  <colFields count="1">
    <field x="24"/>
  </colFields>
  <colItems count="1">
    <i t="grand">
      <x/>
    </i>
  </colItems>
  <dataFields count="1">
    <dataField name="Count of TRACKER REMARKS" fld="24" subtotal="count" baseField="0" baseItem="0"/>
  </dataFields>
  <formats count="3">
    <format dxfId="4">
      <pivotArea outline="0" collapsedLevelsAreSubtotals="1" fieldPosition="0"/>
    </format>
    <format dxfId="3">
      <pivotArea dataOnly="0" labelOnly="1" fieldPosition="0">
        <references count="1">
          <reference field="24" count="0"/>
        </references>
      </pivotArea>
    </format>
    <format dxfId="2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4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B7:E9" firstHeaderRow="0" firstDataRow="1" firstDataCol="1" rowPageCount="2" colPageCount="1"/>
  <pivotFields count="37">
    <pivotField axis="axisRow" showAll="0">
      <items count="8">
        <item sd="0" m="1" x="5"/>
        <item sd="0" m="1" x="4"/>
        <item sd="0" m="1" x="2"/>
        <item sd="0" m="1" x="6"/>
        <item sd="0" m="1" x="3"/>
        <item sd="0" m="1" x="1"/>
        <item sd="0" x="0"/>
        <item t="default"/>
      </items>
    </pivotField>
    <pivotField axis="axisRow" showAll="0">
      <items count="112">
        <item m="1" x="46"/>
        <item m="1" x="77"/>
        <item m="1" x="23"/>
        <item m="1" x="99"/>
        <item m="1" x="34"/>
        <item m="1" x="55"/>
        <item m="1" x="50"/>
        <item m="1" x="15"/>
        <item m="1" x="106"/>
        <item m="1" x="68"/>
        <item m="1" x="49"/>
        <item m="1" x="42"/>
        <item m="1" x="83"/>
        <item m="1" x="41"/>
        <item m="1" x="36"/>
        <item m="1" x="14"/>
        <item m="1" x="29"/>
        <item m="1" x="102"/>
        <item m="1" x="3"/>
        <item m="1" x="4"/>
        <item m="1" x="17"/>
        <item m="1" x="33"/>
        <item m="1" x="8"/>
        <item m="1" x="31"/>
        <item m="1" x="54"/>
        <item m="1" x="5"/>
        <item m="1" x="89"/>
        <item m="1" x="96"/>
        <item m="1" x="92"/>
        <item m="1" x="59"/>
        <item m="1" x="9"/>
        <item m="1" x="80"/>
        <item m="1" x="100"/>
        <item m="1" x="108"/>
        <item m="1" x="16"/>
        <item m="1" x="39"/>
        <item m="1" x="72"/>
        <item m="1" x="64"/>
        <item m="1" x="51"/>
        <item m="1" x="61"/>
        <item m="1" x="10"/>
        <item m="1" x="105"/>
        <item m="1" x="13"/>
        <item m="1" x="109"/>
        <item m="1" x="48"/>
        <item m="1" x="62"/>
        <item m="1" x="84"/>
        <item m="1" x="107"/>
        <item m="1" x="85"/>
        <item m="1" x="104"/>
        <item m="1" x="98"/>
        <item m="1" x="21"/>
        <item m="1" x="63"/>
        <item m="1" x="94"/>
        <item m="1" x="70"/>
        <item m="1" x="78"/>
        <item m="1" x="38"/>
        <item m="1" x="27"/>
        <item m="1" x="30"/>
        <item m="1" x="2"/>
        <item m="1" x="37"/>
        <item m="1" x="35"/>
        <item m="1" x="47"/>
        <item m="1" x="82"/>
        <item m="1" x="53"/>
        <item m="1" x="69"/>
        <item m="1" x="12"/>
        <item m="1" x="25"/>
        <item m="1" x="6"/>
        <item m="1" x="86"/>
        <item m="1" x="7"/>
        <item m="1" x="101"/>
        <item m="1" x="60"/>
        <item m="1" x="43"/>
        <item m="1" x="57"/>
        <item m="1" x="95"/>
        <item m="1" x="56"/>
        <item m="1" x="24"/>
        <item m="1" x="91"/>
        <item m="1" x="20"/>
        <item m="1" x="11"/>
        <item m="1" x="97"/>
        <item m="1" x="26"/>
        <item m="1" x="76"/>
        <item m="1" x="87"/>
        <item m="1" x="65"/>
        <item m="1" x="22"/>
        <item m="1" x="71"/>
        <item m="1" x="67"/>
        <item m="1" x="32"/>
        <item m="1" x="79"/>
        <item m="1" x="52"/>
        <item m="1" x="1"/>
        <item m="1" x="81"/>
        <item m="1" x="110"/>
        <item m="1" x="74"/>
        <item m="1" x="44"/>
        <item m="1" x="75"/>
        <item m="1" x="58"/>
        <item m="1" x="18"/>
        <item m="1" x="28"/>
        <item m="1" x="66"/>
        <item m="1" x="45"/>
        <item m="1" x="40"/>
        <item m="1" x="19"/>
        <item m="1" x="93"/>
        <item m="1" x="88"/>
        <item m="1" x="90"/>
        <item m="1" x="73"/>
        <item m="1" x="103"/>
        <item x="0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axis="axisPage" showAll="0">
      <items count="4"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x="0"/>
        <item m="1" x="1"/>
        <item m="1" x="4"/>
        <item m="1" x="2"/>
        <item m="1" x="5"/>
        <item m="1" x="3"/>
        <item t="default"/>
      </items>
    </pivotField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</pivotFields>
  <rowFields count="2">
    <field x="0"/>
    <field x="1"/>
  </rowFields>
  <rowItems count="2"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item="2" hier="-1"/>
    <pageField fld="24" item="0" hier="-1"/>
  </pageFields>
  <dataFields count="3">
    <dataField name="Average of FSR RELEASING" fld="26" subtotal="average" baseField="0" baseItem="0"/>
    <dataField name="Average of WO CREATION TO APPROVAL" fld="30" subtotal="average" baseField="0" baseItem="0"/>
    <dataField name="Average of CSMP IMPLEMENTATION" fld="34" subtotal="average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V11"/>
  <sheetViews>
    <sheetView topLeftCell="C1" workbookViewId="0">
      <selection activeCell="F14" sqref="F14"/>
    </sheetView>
  </sheetViews>
  <sheetFormatPr defaultRowHeight="15" x14ac:dyDescent="0.25"/>
  <cols>
    <col min="2" max="2" width="18" customWidth="1"/>
    <col min="3" max="3" width="24.7109375" bestFit="1" customWidth="1"/>
    <col min="4" max="4" width="14.28515625" customWidth="1"/>
    <col min="5" max="5" width="18" customWidth="1"/>
    <col min="6" max="6" width="37.5703125" customWidth="1"/>
    <col min="7" max="7" width="17.28515625" customWidth="1"/>
    <col min="8" max="8" width="18" customWidth="1"/>
    <col min="9" max="9" width="37.5703125" customWidth="1"/>
    <col min="10" max="10" width="12" bestFit="1" customWidth="1"/>
    <col min="11" max="11" width="18" customWidth="1"/>
    <col min="12" max="12" width="33.85546875" customWidth="1"/>
    <col min="13" max="13" width="16.28515625" bestFit="1" customWidth="1"/>
    <col min="14" max="14" width="11.28515625" bestFit="1" customWidth="1"/>
    <col min="16" max="16" width="37.5703125" bestFit="1" customWidth="1"/>
    <col min="17" max="17" width="16.28515625" bestFit="1" customWidth="1"/>
    <col min="18" max="18" width="11.28515625" bestFit="1" customWidth="1"/>
    <col min="20" max="20" width="33.85546875" customWidth="1"/>
    <col min="21" max="21" width="16.28515625" bestFit="1" customWidth="1"/>
    <col min="22" max="22" width="11.28515625" bestFit="1" customWidth="1"/>
  </cols>
  <sheetData>
    <row r="3" spans="2:22" x14ac:dyDescent="0.25">
      <c r="B3" s="134" t="s">
        <v>27</v>
      </c>
      <c r="C3" s="134"/>
      <c r="E3" s="134" t="s">
        <v>28</v>
      </c>
      <c r="F3" s="134"/>
      <c r="H3" s="134" t="s">
        <v>29</v>
      </c>
      <c r="I3" s="134"/>
      <c r="K3" s="134" t="s">
        <v>25</v>
      </c>
      <c r="L3" s="134"/>
    </row>
    <row r="5" spans="2:22" x14ac:dyDescent="0.25">
      <c r="B5" s="56" t="s">
        <v>13</v>
      </c>
      <c r="E5" s="56" t="s">
        <v>13</v>
      </c>
      <c r="H5" s="56" t="s">
        <v>13</v>
      </c>
      <c r="K5" s="56" t="s">
        <v>13</v>
      </c>
    </row>
    <row r="7" spans="2:22" x14ac:dyDescent="0.25">
      <c r="B7" s="56" t="s">
        <v>124</v>
      </c>
      <c r="C7" t="s">
        <v>126</v>
      </c>
      <c r="E7" s="56" t="s">
        <v>124</v>
      </c>
      <c r="F7" t="s">
        <v>127</v>
      </c>
      <c r="H7" s="56" t="s">
        <v>124</v>
      </c>
      <c r="I7" t="s">
        <v>127</v>
      </c>
      <c r="K7" s="56" t="s">
        <v>124</v>
      </c>
      <c r="L7" t="s">
        <v>128</v>
      </c>
    </row>
    <row r="8" spans="2:22" x14ac:dyDescent="0.25">
      <c r="B8" s="57" t="s">
        <v>131</v>
      </c>
      <c r="C8" s="63" t="e">
        <v>#DIV/0!</v>
      </c>
      <c r="E8" s="57" t="s">
        <v>131</v>
      </c>
      <c r="F8" s="63" t="e">
        <v>#DIV/0!</v>
      </c>
      <c r="H8" s="57" t="s">
        <v>131</v>
      </c>
      <c r="I8" s="63" t="e">
        <v>#DIV/0!</v>
      </c>
      <c r="K8" s="57" t="s">
        <v>131</v>
      </c>
      <c r="L8" s="63" t="e">
        <v>#DIV/0!</v>
      </c>
    </row>
    <row r="9" spans="2:22" x14ac:dyDescent="0.25">
      <c r="B9" s="58" t="s">
        <v>131</v>
      </c>
      <c r="C9" s="63" t="e">
        <v>#DIV/0!</v>
      </c>
      <c r="E9" s="58" t="s">
        <v>131</v>
      </c>
      <c r="F9" s="63" t="e">
        <v>#DIV/0!</v>
      </c>
      <c r="H9" s="58" t="s">
        <v>131</v>
      </c>
      <c r="I9" s="63" t="e">
        <v>#DIV/0!</v>
      </c>
      <c r="K9" s="58" t="s">
        <v>131</v>
      </c>
      <c r="L9" s="63" t="e">
        <v>#DIV/0!</v>
      </c>
      <c r="M9" s="59"/>
      <c r="N9" s="59"/>
      <c r="P9" s="57"/>
      <c r="Q9" s="59"/>
      <c r="R9" s="59"/>
      <c r="T9" s="57"/>
      <c r="U9" s="59"/>
      <c r="V9" s="59"/>
    </row>
    <row r="10" spans="2:22" x14ac:dyDescent="0.25">
      <c r="B10" s="57" t="s">
        <v>125</v>
      </c>
      <c r="C10" s="63" t="e">
        <v>#DIV/0!</v>
      </c>
      <c r="E10" s="57" t="s">
        <v>125</v>
      </c>
      <c r="F10" s="63" t="e">
        <v>#DIV/0!</v>
      </c>
      <c r="H10" s="57" t="s">
        <v>125</v>
      </c>
      <c r="I10" s="63" t="e">
        <v>#DIV/0!</v>
      </c>
      <c r="K10" s="57" t="s">
        <v>125</v>
      </c>
      <c r="L10" s="63" t="e">
        <v>#DIV/0!</v>
      </c>
      <c r="M10" s="59"/>
      <c r="N10" s="59"/>
      <c r="P10" s="58"/>
      <c r="Q10" s="59"/>
      <c r="R10" s="59"/>
      <c r="T10" s="58"/>
      <c r="U10" s="59"/>
      <c r="V10" s="59"/>
    </row>
    <row r="11" spans="2:22" x14ac:dyDescent="0.25">
      <c r="M11" s="59"/>
      <c r="N11" s="59"/>
      <c r="P11" s="57"/>
      <c r="Q11" s="59"/>
      <c r="R11" s="59"/>
      <c r="T11" s="57"/>
      <c r="U11" s="59"/>
      <c r="V11" s="59"/>
    </row>
  </sheetData>
  <mergeCells count="4">
    <mergeCell ref="K3:L3"/>
    <mergeCell ref="H3:I3"/>
    <mergeCell ref="E3:F3"/>
    <mergeCell ref="B3:C3"/>
  </mergeCells>
  <pageMargins left="0.7" right="0.7" top="0.75" bottom="0.75" header="0.3" footer="0.3"/>
  <pageSetup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0"/>
  <sheetViews>
    <sheetView zoomScale="90" zoomScaleNormal="90" workbookViewId="0">
      <selection activeCell="F8" sqref="F8"/>
    </sheetView>
  </sheetViews>
  <sheetFormatPr defaultRowHeight="15" x14ac:dyDescent="0.25"/>
  <cols>
    <col min="1" max="1" width="21.140625" customWidth="1"/>
    <col min="2" max="2" width="17.140625" style="93" customWidth="1"/>
    <col min="3" max="3" width="20.28515625" style="93" customWidth="1"/>
    <col min="4" max="4" width="24.140625" style="93" customWidth="1"/>
    <col min="5" max="5" width="20.42578125" customWidth="1"/>
    <col min="6" max="6" width="16.5703125" customWidth="1"/>
  </cols>
  <sheetData>
    <row r="1" spans="1:5" ht="21" x14ac:dyDescent="0.35">
      <c r="A1" s="103" t="s">
        <v>166</v>
      </c>
    </row>
    <row r="2" spans="1:5" x14ac:dyDescent="0.25">
      <c r="A2" s="56" t="s">
        <v>161</v>
      </c>
      <c r="B2" s="114" t="s">
        <v>106</v>
      </c>
    </row>
    <row r="4" spans="1:5" x14ac:dyDescent="0.25">
      <c r="A4" s="56" t="s">
        <v>162</v>
      </c>
      <c r="B4" s="56" t="s">
        <v>152</v>
      </c>
      <c r="C4"/>
      <c r="D4"/>
    </row>
    <row r="5" spans="1:5" x14ac:dyDescent="0.25">
      <c r="A5" s="96" t="s">
        <v>124</v>
      </c>
      <c r="B5" s="100" t="s">
        <v>73</v>
      </c>
      <c r="C5" s="100" t="s">
        <v>72</v>
      </c>
      <c r="D5" s="98" t="s">
        <v>125</v>
      </c>
    </row>
    <row r="6" spans="1:5" x14ac:dyDescent="0.25">
      <c r="A6" s="97" t="s">
        <v>111</v>
      </c>
      <c r="B6" s="99"/>
      <c r="C6" s="99">
        <v>1</v>
      </c>
      <c r="D6" s="99">
        <v>1</v>
      </c>
    </row>
    <row r="7" spans="1:5" x14ac:dyDescent="0.25">
      <c r="A7" s="97" t="s">
        <v>110</v>
      </c>
      <c r="B7" s="99">
        <v>1</v>
      </c>
      <c r="C7" s="99">
        <v>7</v>
      </c>
      <c r="D7" s="99">
        <v>8</v>
      </c>
    </row>
    <row r="8" spans="1:5" x14ac:dyDescent="0.25">
      <c r="A8" s="97" t="s">
        <v>125</v>
      </c>
      <c r="B8" s="99">
        <v>1</v>
      </c>
      <c r="C8" s="99">
        <v>8</v>
      </c>
      <c r="D8" s="99">
        <v>9</v>
      </c>
    </row>
    <row r="9" spans="1:5" x14ac:dyDescent="0.25">
      <c r="B9"/>
      <c r="C9"/>
      <c r="D9"/>
    </row>
    <row r="10" spans="1:5" x14ac:dyDescent="0.25">
      <c r="A10" s="101"/>
      <c r="B10" s="102"/>
      <c r="C10" s="102"/>
      <c r="D10" s="102"/>
    </row>
    <row r="11" spans="1:5" ht="21" x14ac:dyDescent="0.35">
      <c r="A11" s="103" t="s">
        <v>164</v>
      </c>
    </row>
    <row r="12" spans="1:5" x14ac:dyDescent="0.25">
      <c r="A12" s="56" t="s">
        <v>161</v>
      </c>
      <c r="B12" s="114" t="s">
        <v>106</v>
      </c>
    </row>
    <row r="14" spans="1:5" x14ac:dyDescent="0.25">
      <c r="A14" s="56" t="s">
        <v>162</v>
      </c>
      <c r="B14" s="56" t="s">
        <v>152</v>
      </c>
      <c r="C14"/>
      <c r="D14"/>
    </row>
    <row r="15" spans="1:5" x14ac:dyDescent="0.25">
      <c r="A15" s="96" t="s">
        <v>124</v>
      </c>
      <c r="B15" s="98" t="s">
        <v>108</v>
      </c>
      <c r="C15" s="98" t="s">
        <v>109</v>
      </c>
      <c r="D15" s="114" t="s">
        <v>107</v>
      </c>
      <c r="E15" s="98" t="s">
        <v>125</v>
      </c>
    </row>
    <row r="16" spans="1:5" x14ac:dyDescent="0.25">
      <c r="A16" s="97" t="s">
        <v>112</v>
      </c>
      <c r="B16" s="99">
        <v>3</v>
      </c>
      <c r="C16" s="99"/>
      <c r="D16" s="99"/>
      <c r="E16" s="99">
        <v>3</v>
      </c>
    </row>
    <row r="17" spans="1:5" x14ac:dyDescent="0.25">
      <c r="A17" s="97" t="s">
        <v>111</v>
      </c>
      <c r="B17" s="99">
        <v>1</v>
      </c>
      <c r="C17" s="99"/>
      <c r="D17" s="99"/>
      <c r="E17" s="99">
        <v>1</v>
      </c>
    </row>
    <row r="18" spans="1:5" x14ac:dyDescent="0.25">
      <c r="A18" s="97" t="s">
        <v>110</v>
      </c>
      <c r="B18" s="99">
        <v>8</v>
      </c>
      <c r="C18" s="99">
        <v>2</v>
      </c>
      <c r="D18" s="99">
        <v>23</v>
      </c>
      <c r="E18" s="99">
        <v>33</v>
      </c>
    </row>
    <row r="19" spans="1:5" x14ac:dyDescent="0.25">
      <c r="A19" s="97" t="s">
        <v>125</v>
      </c>
      <c r="B19" s="99">
        <v>12</v>
      </c>
      <c r="C19" s="99">
        <v>2</v>
      </c>
      <c r="D19" s="99">
        <v>23</v>
      </c>
      <c r="E19" s="99">
        <v>37</v>
      </c>
    </row>
    <row r="21" spans="1:5" ht="21" x14ac:dyDescent="0.35">
      <c r="A21" s="103" t="s">
        <v>165</v>
      </c>
    </row>
    <row r="22" spans="1:5" x14ac:dyDescent="0.25">
      <c r="A22" s="56" t="s">
        <v>161</v>
      </c>
      <c r="B22" s="114" t="s">
        <v>106</v>
      </c>
    </row>
    <row r="24" spans="1:5" x14ac:dyDescent="0.25">
      <c r="A24" s="56" t="s">
        <v>163</v>
      </c>
      <c r="B24" s="56" t="s">
        <v>152</v>
      </c>
      <c r="C24"/>
      <c r="D24"/>
    </row>
    <row r="25" spans="1:5" x14ac:dyDescent="0.25">
      <c r="A25" s="96" t="s">
        <v>124</v>
      </c>
      <c r="B25" s="100" t="s">
        <v>73</v>
      </c>
      <c r="C25" s="100" t="s">
        <v>72</v>
      </c>
      <c r="D25" s="98" t="s">
        <v>125</v>
      </c>
    </row>
    <row r="26" spans="1:5" x14ac:dyDescent="0.25">
      <c r="A26" s="97" t="s">
        <v>111</v>
      </c>
      <c r="B26" s="99"/>
      <c r="C26" s="99"/>
      <c r="D26" s="99"/>
    </row>
    <row r="27" spans="1:5" x14ac:dyDescent="0.25">
      <c r="A27" s="97" t="s">
        <v>110</v>
      </c>
      <c r="B27" s="99">
        <v>1</v>
      </c>
      <c r="C27" s="99">
        <v>5</v>
      </c>
      <c r="D27" s="99">
        <v>6</v>
      </c>
    </row>
    <row r="28" spans="1:5" x14ac:dyDescent="0.25">
      <c r="A28" s="97" t="s">
        <v>125</v>
      </c>
      <c r="B28" s="99">
        <v>1</v>
      </c>
      <c r="C28" s="99">
        <v>5</v>
      </c>
      <c r="D28" s="99">
        <v>6</v>
      </c>
    </row>
    <row r="29" spans="1:5" x14ac:dyDescent="0.25">
      <c r="B29"/>
      <c r="C29"/>
      <c r="D29"/>
    </row>
    <row r="30" spans="1:5" x14ac:dyDescent="0.25">
      <c r="B30"/>
      <c r="C30"/>
      <c r="D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F8"/>
  <sheetViews>
    <sheetView workbookViewId="0">
      <selection activeCell="D10" sqref="D10"/>
    </sheetView>
  </sheetViews>
  <sheetFormatPr defaultRowHeight="15" x14ac:dyDescent="0.25"/>
  <cols>
    <col min="3" max="3" width="18" bestFit="1" customWidth="1"/>
    <col min="4" max="4" width="24.7109375" customWidth="1"/>
    <col min="5" max="5" width="37.5703125" bestFit="1" customWidth="1"/>
    <col min="6" max="6" width="33.85546875" bestFit="1" customWidth="1"/>
  </cols>
  <sheetData>
    <row r="2" spans="3:6" x14ac:dyDescent="0.25">
      <c r="C2" s="56" t="s">
        <v>6</v>
      </c>
      <c r="D2" t="s">
        <v>153</v>
      </c>
    </row>
    <row r="3" spans="3:6" x14ac:dyDescent="0.25">
      <c r="C3" s="56" t="s">
        <v>13</v>
      </c>
      <c r="D3" t="s">
        <v>153</v>
      </c>
    </row>
    <row r="5" spans="3:6" x14ac:dyDescent="0.25">
      <c r="C5" s="56" t="s">
        <v>124</v>
      </c>
      <c r="D5" t="s">
        <v>126</v>
      </c>
      <c r="E5" t="s">
        <v>127</v>
      </c>
      <c r="F5" t="s">
        <v>128</v>
      </c>
    </row>
    <row r="6" spans="3:6" x14ac:dyDescent="0.25">
      <c r="C6" s="57" t="s">
        <v>131</v>
      </c>
      <c r="D6" s="63" t="e">
        <v>#DIV/0!</v>
      </c>
      <c r="E6" s="63" t="e">
        <v>#DIV/0!</v>
      </c>
      <c r="F6" s="63" t="e">
        <v>#DIV/0!</v>
      </c>
    </row>
    <row r="7" spans="3:6" x14ac:dyDescent="0.25">
      <c r="C7" s="58" t="s">
        <v>131</v>
      </c>
      <c r="D7" s="63" t="e">
        <v>#DIV/0!</v>
      </c>
      <c r="E7" s="63" t="e">
        <v>#DIV/0!</v>
      </c>
      <c r="F7" s="63" t="e">
        <v>#DIV/0!</v>
      </c>
    </row>
    <row r="8" spans="3:6" x14ac:dyDescent="0.25">
      <c r="C8" s="57" t="s">
        <v>125</v>
      </c>
      <c r="D8" s="63" t="e">
        <v>#DIV/0!</v>
      </c>
      <c r="E8" s="63" t="e">
        <v>#DIV/0!</v>
      </c>
      <c r="F8" s="63" t="e"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A800"/>
  <sheetViews>
    <sheetView tabSelected="1" zoomScale="80" zoomScaleNormal="8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G3" sqref="G3"/>
    </sheetView>
  </sheetViews>
  <sheetFormatPr defaultRowHeight="15" x14ac:dyDescent="0.25"/>
  <cols>
    <col min="2" max="2" width="11.85546875" customWidth="1"/>
    <col min="3" max="3" width="12.5703125" style="106" customWidth="1"/>
    <col min="4" max="4" width="15.5703125" customWidth="1"/>
    <col min="5" max="5" width="18.28515625" customWidth="1"/>
    <col min="6" max="6" width="16.5703125" customWidth="1"/>
    <col min="7" max="7" width="23.42578125" bestFit="1" customWidth="1"/>
    <col min="8" max="8" width="29.28515625" customWidth="1"/>
    <col min="9" max="9" width="20.140625" customWidth="1"/>
    <col min="10" max="10" width="15.7109375" customWidth="1"/>
    <col min="11" max="11" width="38" style="88" customWidth="1"/>
    <col min="12" max="12" width="13.42578125" customWidth="1"/>
    <col min="13" max="13" width="20.5703125" customWidth="1"/>
    <col min="14" max="14" width="14.28515625" customWidth="1"/>
    <col min="15" max="15" width="12.7109375" customWidth="1"/>
    <col min="16" max="16" width="16.5703125" customWidth="1"/>
    <col min="17" max="17" width="10.5703125" customWidth="1"/>
    <col min="18" max="20" width="18.7109375" customWidth="1"/>
    <col min="21" max="21" width="35" customWidth="1"/>
    <col min="22" max="22" width="16.85546875" style="9" customWidth="1"/>
    <col min="23" max="23" width="15" style="9" customWidth="1"/>
    <col min="24" max="24" width="13.28515625" customWidth="1"/>
    <col min="25" max="25" width="12" customWidth="1"/>
    <col min="26" max="26" width="25" customWidth="1"/>
    <col min="27" max="27" width="23.42578125" customWidth="1"/>
    <col min="28" max="28" width="39.5703125" style="92" customWidth="1"/>
    <col min="29" max="29" width="15.28515625" customWidth="1"/>
    <col min="30" max="30" width="35.85546875" style="9" customWidth="1"/>
    <col min="31" max="31" width="15.85546875" style="78" hidden="1" customWidth="1"/>
    <col min="32" max="33" width="13.85546875" style="9" hidden="1" customWidth="1"/>
    <col min="34" max="34" width="13.85546875" style="78" hidden="1" customWidth="1"/>
    <col min="35" max="35" width="19.5703125" style="9" hidden="1" customWidth="1"/>
    <col min="36" max="38" width="17" style="9" hidden="1" customWidth="1"/>
    <col min="39" max="39" width="16.7109375" style="9" hidden="1" customWidth="1"/>
    <col min="40" max="40" width="16.140625" style="9" hidden="1" customWidth="1"/>
    <col min="41" max="41" width="17.140625" style="9" hidden="1" customWidth="1"/>
    <col min="42" max="42" width="19" style="9" hidden="1" customWidth="1"/>
    <col min="43" max="43" width="16.7109375" style="9" hidden="1" customWidth="1"/>
    <col min="44" max="44" width="19.7109375" style="9" hidden="1" customWidth="1"/>
    <col min="45" max="45" width="0" hidden="1" customWidth="1"/>
    <col min="46" max="46" width="15.7109375" hidden="1" customWidth="1"/>
    <col min="47" max="47" width="14.28515625" hidden="1" customWidth="1"/>
    <col min="48" max="48" width="12.42578125" hidden="1" customWidth="1"/>
    <col min="49" max="49" width="12.5703125" hidden="1" customWidth="1"/>
    <col min="50" max="50" width="12.42578125" hidden="1" customWidth="1"/>
    <col min="51" max="51" width="19.140625" hidden="1" customWidth="1"/>
    <col min="52" max="52" width="0" hidden="1" customWidth="1"/>
  </cols>
  <sheetData>
    <row r="1" spans="1:53" s="1" customFormat="1" ht="32.25" customHeight="1" thickBot="1" x14ac:dyDescent="0.3">
      <c r="A1" s="138" t="s">
        <v>147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9"/>
      <c r="M1" s="143" t="s">
        <v>7</v>
      </c>
      <c r="N1" s="144"/>
      <c r="O1" s="145"/>
      <c r="P1" s="146" t="s">
        <v>8</v>
      </c>
      <c r="Q1" s="147"/>
      <c r="R1" s="140" t="s">
        <v>129</v>
      </c>
      <c r="S1" s="141"/>
      <c r="T1" s="141"/>
      <c r="U1" s="141"/>
      <c r="V1" s="142"/>
      <c r="W1" s="148" t="s">
        <v>11</v>
      </c>
      <c r="X1" s="149"/>
      <c r="Y1" s="149"/>
      <c r="Z1" s="149"/>
      <c r="AA1" s="149"/>
      <c r="AB1" s="150"/>
      <c r="AC1" s="94"/>
      <c r="AD1" s="95"/>
      <c r="AE1" s="135" t="s">
        <v>14</v>
      </c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7"/>
      <c r="AR1" s="62"/>
    </row>
    <row r="2" spans="1:53" s="54" customFormat="1" ht="54" customHeight="1" thickBot="1" x14ac:dyDescent="0.3">
      <c r="A2" s="79" t="s">
        <v>134</v>
      </c>
      <c r="B2" s="2" t="s">
        <v>0</v>
      </c>
      <c r="C2" s="2" t="s">
        <v>250</v>
      </c>
      <c r="D2" s="2" t="s">
        <v>251</v>
      </c>
      <c r="E2" s="2" t="s">
        <v>135</v>
      </c>
      <c r="F2" s="2" t="s">
        <v>132</v>
      </c>
      <c r="G2" s="2" t="s">
        <v>133</v>
      </c>
      <c r="H2" s="6" t="s">
        <v>2</v>
      </c>
      <c r="I2" s="6" t="s">
        <v>3</v>
      </c>
      <c r="J2" s="6" t="s">
        <v>4</v>
      </c>
      <c r="K2" s="85" t="s">
        <v>5</v>
      </c>
      <c r="L2" s="6" t="s">
        <v>161</v>
      </c>
      <c r="M2" s="2" t="s">
        <v>158</v>
      </c>
      <c r="N2" s="2" t="s">
        <v>277</v>
      </c>
      <c r="O2" s="3" t="s">
        <v>4</v>
      </c>
      <c r="P2" s="4" t="s">
        <v>159</v>
      </c>
      <c r="Q2" s="5" t="s">
        <v>4</v>
      </c>
      <c r="R2" s="50" t="s">
        <v>26</v>
      </c>
      <c r="S2" s="50" t="s">
        <v>155</v>
      </c>
      <c r="T2" s="50" t="s">
        <v>156</v>
      </c>
      <c r="U2" s="6" t="s">
        <v>9</v>
      </c>
      <c r="V2" s="51" t="s">
        <v>10</v>
      </c>
      <c r="W2" s="6" t="s">
        <v>16</v>
      </c>
      <c r="X2" s="7" t="s">
        <v>17</v>
      </c>
      <c r="Y2" s="8" t="s">
        <v>18</v>
      </c>
      <c r="Z2" s="7" t="s">
        <v>160</v>
      </c>
      <c r="AA2" s="3" t="s">
        <v>19</v>
      </c>
      <c r="AB2" s="89" t="s">
        <v>20</v>
      </c>
      <c r="AC2" s="52" t="s">
        <v>12</v>
      </c>
      <c r="AD2" s="53" t="s">
        <v>13</v>
      </c>
      <c r="AE2" s="11" t="s">
        <v>149</v>
      </c>
      <c r="AF2" s="11" t="s">
        <v>121</v>
      </c>
      <c r="AG2" s="11" t="s">
        <v>150</v>
      </c>
      <c r="AH2" s="11" t="s">
        <v>21</v>
      </c>
      <c r="AI2" s="11" t="s">
        <v>20</v>
      </c>
      <c r="AJ2" s="12" t="s">
        <v>122</v>
      </c>
      <c r="AK2" s="12" t="s">
        <v>123</v>
      </c>
      <c r="AL2" s="12" t="s">
        <v>22</v>
      </c>
      <c r="AM2" s="12" t="s">
        <v>20</v>
      </c>
      <c r="AN2" s="13" t="s">
        <v>23</v>
      </c>
      <c r="AO2" s="14" t="s">
        <v>24</v>
      </c>
      <c r="AP2" s="13" t="s">
        <v>25</v>
      </c>
      <c r="AQ2" s="13" t="s">
        <v>20</v>
      </c>
      <c r="AR2" s="10" t="s">
        <v>15</v>
      </c>
      <c r="AT2" s="55" t="s">
        <v>31</v>
      </c>
      <c r="AU2" s="55" t="s">
        <v>30</v>
      </c>
      <c r="AV2" s="55" t="s">
        <v>27</v>
      </c>
      <c r="AW2" s="55" t="s">
        <v>29</v>
      </c>
      <c r="AX2" s="55" t="s">
        <v>28</v>
      </c>
      <c r="AY2" s="55" t="s">
        <v>25</v>
      </c>
    </row>
    <row r="3" spans="1:53" x14ac:dyDescent="0.25">
      <c r="A3" s="90" t="s">
        <v>139</v>
      </c>
      <c r="B3" s="115">
        <v>8</v>
      </c>
      <c r="C3" s="71">
        <v>3371</v>
      </c>
      <c r="D3" s="115" t="s">
        <v>254</v>
      </c>
      <c r="E3" s="115" t="s">
        <v>143</v>
      </c>
      <c r="F3" s="115" t="s">
        <v>146</v>
      </c>
      <c r="G3" s="115" t="s">
        <v>191</v>
      </c>
      <c r="H3" s="116" t="s">
        <v>192</v>
      </c>
      <c r="I3" s="115" t="s">
        <v>104</v>
      </c>
      <c r="J3" s="66">
        <v>42754</v>
      </c>
      <c r="K3" s="117" t="s">
        <v>238</v>
      </c>
      <c r="L3" s="115" t="s">
        <v>106</v>
      </c>
      <c r="M3" s="115" t="s">
        <v>109</v>
      </c>
      <c r="N3" s="115"/>
      <c r="O3" s="118">
        <v>42768</v>
      </c>
      <c r="P3" s="115" t="s">
        <v>109</v>
      </c>
      <c r="Q3" s="118">
        <v>42768</v>
      </c>
      <c r="R3" s="115" t="s">
        <v>110</v>
      </c>
      <c r="S3" s="115" t="s">
        <v>193</v>
      </c>
      <c r="T3" s="119" t="s">
        <v>194</v>
      </c>
      <c r="U3" s="115" t="s">
        <v>78</v>
      </c>
      <c r="V3" s="120">
        <v>1</v>
      </c>
      <c r="W3" s="120" t="s">
        <v>73</v>
      </c>
      <c r="X3" s="71" t="s">
        <v>195</v>
      </c>
      <c r="Y3" s="66">
        <v>42768</v>
      </c>
      <c r="Z3" s="71" t="s">
        <v>115</v>
      </c>
      <c r="AA3" s="64"/>
      <c r="AB3" s="121"/>
      <c r="AC3" s="76"/>
      <c r="AD3" s="107" t="s">
        <v>171</v>
      </c>
      <c r="AE3" s="105">
        <v>1</v>
      </c>
      <c r="AF3" s="104">
        <v>28</v>
      </c>
      <c r="AG3" s="104">
        <v>27</v>
      </c>
      <c r="AH3" s="104">
        <v>27</v>
      </c>
      <c r="AI3" s="104" t="s">
        <v>168</v>
      </c>
      <c r="AJ3" s="104" t="s">
        <v>169</v>
      </c>
      <c r="AK3" s="104" t="s">
        <v>169</v>
      </c>
      <c r="AL3" s="104" t="s">
        <v>169</v>
      </c>
      <c r="AM3" s="104" t="s">
        <v>169</v>
      </c>
      <c r="AN3" s="104">
        <v>0</v>
      </c>
      <c r="AO3" s="104" t="s">
        <v>169</v>
      </c>
      <c r="AP3" s="104" t="s">
        <v>169</v>
      </c>
      <c r="AQ3" s="104" t="s">
        <v>169</v>
      </c>
      <c r="AR3" s="104">
        <v>-42752</v>
      </c>
      <c r="AS3" s="18"/>
      <c r="AT3" s="24">
        <v>0</v>
      </c>
      <c r="AU3" s="24">
        <v>0</v>
      </c>
      <c r="AV3" s="24">
        <v>0</v>
      </c>
      <c r="AW3" s="24">
        <v>0</v>
      </c>
      <c r="AX3" s="24">
        <v>0</v>
      </c>
      <c r="AY3" s="24">
        <v>0</v>
      </c>
      <c r="AZ3" s="18"/>
      <c r="BA3" s="18"/>
    </row>
    <row r="4" spans="1:53" ht="30" x14ac:dyDescent="0.25">
      <c r="A4" s="90" t="s">
        <v>139</v>
      </c>
      <c r="B4" s="90">
        <v>8</v>
      </c>
      <c r="C4" s="71">
        <v>817</v>
      </c>
      <c r="D4" s="115" t="s">
        <v>258</v>
      </c>
      <c r="E4" s="115" t="s">
        <v>141</v>
      </c>
      <c r="F4" s="115" t="s">
        <v>146</v>
      </c>
      <c r="G4" s="115" t="s">
        <v>196</v>
      </c>
      <c r="H4" s="116" t="s">
        <v>197</v>
      </c>
      <c r="I4" s="90" t="s">
        <v>103</v>
      </c>
      <c r="J4" s="64">
        <v>42757</v>
      </c>
      <c r="K4" s="117" t="s">
        <v>198</v>
      </c>
      <c r="L4" s="90" t="s">
        <v>106</v>
      </c>
      <c r="M4" s="115" t="s">
        <v>108</v>
      </c>
      <c r="N4" s="115"/>
      <c r="O4" s="118">
        <v>42768</v>
      </c>
      <c r="P4" s="115" t="s">
        <v>108</v>
      </c>
      <c r="Q4" s="122">
        <v>42768</v>
      </c>
      <c r="R4" s="115" t="s">
        <v>111</v>
      </c>
      <c r="S4" s="115" t="s">
        <v>199</v>
      </c>
      <c r="T4" s="119">
        <v>9537</v>
      </c>
      <c r="U4" s="115" t="s">
        <v>66</v>
      </c>
      <c r="V4" s="120">
        <v>3</v>
      </c>
      <c r="W4" s="120" t="s">
        <v>72</v>
      </c>
      <c r="X4" s="71"/>
      <c r="Y4" s="66"/>
      <c r="Z4" s="71"/>
      <c r="AA4" s="64"/>
      <c r="AB4" s="121" t="s">
        <v>278</v>
      </c>
      <c r="AC4" s="76"/>
      <c r="AD4" s="107" t="s">
        <v>27</v>
      </c>
      <c r="AE4" s="105">
        <v>1</v>
      </c>
      <c r="AF4" s="104">
        <v>1</v>
      </c>
      <c r="AG4" s="104">
        <v>0</v>
      </c>
      <c r="AH4" s="104">
        <v>0</v>
      </c>
      <c r="AI4" s="104" t="s">
        <v>167</v>
      </c>
      <c r="AJ4" s="104" t="s">
        <v>169</v>
      </c>
      <c r="AK4" s="104" t="s">
        <v>169</v>
      </c>
      <c r="AL4" s="104" t="s">
        <v>169</v>
      </c>
      <c r="AM4" s="104" t="s">
        <v>169</v>
      </c>
      <c r="AN4" s="104">
        <v>0</v>
      </c>
      <c r="AO4" s="104" t="s">
        <v>169</v>
      </c>
      <c r="AP4" s="104" t="s">
        <v>169</v>
      </c>
      <c r="AQ4" s="104" t="s">
        <v>169</v>
      </c>
      <c r="AR4" s="104">
        <v>1</v>
      </c>
      <c r="AS4" s="18"/>
      <c r="AT4" s="24">
        <v>0</v>
      </c>
      <c r="AU4" s="24">
        <v>0</v>
      </c>
      <c r="AV4" s="24">
        <v>0</v>
      </c>
      <c r="AW4" s="24">
        <v>0</v>
      </c>
      <c r="AX4" s="24">
        <v>0</v>
      </c>
      <c r="AY4" s="24">
        <v>0</v>
      </c>
      <c r="AZ4" s="18"/>
    </row>
    <row r="5" spans="1:53" x14ac:dyDescent="0.25">
      <c r="A5" s="90" t="s">
        <v>139</v>
      </c>
      <c r="B5" s="90">
        <v>8</v>
      </c>
      <c r="C5" s="71" t="s">
        <v>268</v>
      </c>
      <c r="D5" s="115" t="s">
        <v>269</v>
      </c>
      <c r="E5" s="115" t="s">
        <v>141</v>
      </c>
      <c r="F5" s="115" t="s">
        <v>146</v>
      </c>
      <c r="G5" s="115" t="s">
        <v>200</v>
      </c>
      <c r="H5" s="115" t="s">
        <v>201</v>
      </c>
      <c r="I5" s="90" t="s">
        <v>103</v>
      </c>
      <c r="J5" s="64">
        <v>42758</v>
      </c>
      <c r="K5" s="115" t="s">
        <v>202</v>
      </c>
      <c r="L5" s="90" t="s">
        <v>106</v>
      </c>
      <c r="M5" s="115" t="s">
        <v>108</v>
      </c>
      <c r="N5" s="115"/>
      <c r="O5" s="122">
        <v>42768</v>
      </c>
      <c r="P5" s="115" t="s">
        <v>108</v>
      </c>
      <c r="Q5" s="122">
        <v>42768</v>
      </c>
      <c r="R5" s="115" t="s">
        <v>110</v>
      </c>
      <c r="S5" s="115" t="s">
        <v>193</v>
      </c>
      <c r="T5" s="115" t="s">
        <v>239</v>
      </c>
      <c r="U5" s="115" t="s">
        <v>52</v>
      </c>
      <c r="V5" s="120">
        <v>3</v>
      </c>
      <c r="W5" s="120" t="s">
        <v>72</v>
      </c>
      <c r="X5" s="115" t="s">
        <v>279</v>
      </c>
      <c r="Y5" s="118">
        <v>42782</v>
      </c>
      <c r="Z5" s="115" t="s">
        <v>115</v>
      </c>
      <c r="AA5" s="64">
        <v>42782</v>
      </c>
      <c r="AB5" s="123"/>
      <c r="AC5" s="76"/>
      <c r="AD5" s="109" t="s">
        <v>171</v>
      </c>
      <c r="AE5" s="105">
        <v>1</v>
      </c>
      <c r="AF5" s="104">
        <v>1</v>
      </c>
      <c r="AG5" s="104">
        <v>0</v>
      </c>
      <c r="AH5" s="104">
        <v>0</v>
      </c>
      <c r="AI5" s="104" t="s">
        <v>167</v>
      </c>
      <c r="AJ5" s="104" t="s">
        <v>169</v>
      </c>
      <c r="AK5" s="104" t="s">
        <v>169</v>
      </c>
      <c r="AL5" s="104" t="s">
        <v>169</v>
      </c>
      <c r="AM5" s="104" t="s">
        <v>169</v>
      </c>
      <c r="AN5" s="104">
        <v>0</v>
      </c>
      <c r="AO5" s="104" t="s">
        <v>169</v>
      </c>
      <c r="AP5" s="104" t="s">
        <v>169</v>
      </c>
      <c r="AQ5" s="104" t="s">
        <v>169</v>
      </c>
      <c r="AR5" s="104">
        <v>1</v>
      </c>
      <c r="AS5" s="18"/>
      <c r="AT5" s="24">
        <v>0</v>
      </c>
      <c r="AU5" s="24">
        <v>0</v>
      </c>
      <c r="AV5" s="24">
        <v>0</v>
      </c>
      <c r="AW5" s="24">
        <v>0</v>
      </c>
      <c r="AX5" s="24">
        <v>1</v>
      </c>
      <c r="AY5" s="24">
        <v>0</v>
      </c>
      <c r="AZ5" s="18"/>
    </row>
    <row r="6" spans="1:53" x14ac:dyDescent="0.25">
      <c r="A6" s="90" t="s">
        <v>139</v>
      </c>
      <c r="B6" s="90">
        <v>8</v>
      </c>
      <c r="C6" s="71" t="s">
        <v>280</v>
      </c>
      <c r="D6" s="115" t="s">
        <v>275</v>
      </c>
      <c r="E6" s="115" t="s">
        <v>143</v>
      </c>
      <c r="F6" s="115" t="s">
        <v>146</v>
      </c>
      <c r="G6" s="115" t="s">
        <v>203</v>
      </c>
      <c r="H6" s="115" t="s">
        <v>204</v>
      </c>
      <c r="I6" s="90" t="s">
        <v>104</v>
      </c>
      <c r="J6" s="64">
        <v>42758</v>
      </c>
      <c r="K6" s="115" t="s">
        <v>205</v>
      </c>
      <c r="L6" s="90" t="s">
        <v>105</v>
      </c>
      <c r="M6" s="115" t="s">
        <v>109</v>
      </c>
      <c r="N6" s="115"/>
      <c r="O6" s="122">
        <v>42768</v>
      </c>
      <c r="P6" s="115"/>
      <c r="Q6" s="122"/>
      <c r="R6" s="115"/>
      <c r="S6" s="115"/>
      <c r="T6" s="115"/>
      <c r="U6" s="115"/>
      <c r="V6" s="120"/>
      <c r="W6" s="120"/>
      <c r="X6" s="115"/>
      <c r="Y6" s="118"/>
      <c r="Z6" s="115"/>
      <c r="AA6" s="64"/>
      <c r="AB6" s="123" t="s">
        <v>105</v>
      </c>
      <c r="AC6" s="76">
        <v>42758</v>
      </c>
      <c r="AD6" s="109" t="s">
        <v>171</v>
      </c>
      <c r="AE6" s="105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8"/>
      <c r="AT6" s="24">
        <v>0</v>
      </c>
      <c r="AU6" s="24">
        <v>0</v>
      </c>
      <c r="AV6" s="24">
        <v>0</v>
      </c>
      <c r="AW6" s="24">
        <v>0</v>
      </c>
      <c r="AX6" s="24">
        <v>0</v>
      </c>
      <c r="AY6" s="24">
        <v>0</v>
      </c>
      <c r="AZ6" s="18"/>
    </row>
    <row r="7" spans="1:53" x14ac:dyDescent="0.25">
      <c r="A7" s="90" t="s">
        <v>139</v>
      </c>
      <c r="B7" s="90">
        <v>8</v>
      </c>
      <c r="C7" s="71" t="s">
        <v>260</v>
      </c>
      <c r="D7" s="115" t="s">
        <v>261</v>
      </c>
      <c r="E7" s="115" t="s">
        <v>144</v>
      </c>
      <c r="F7" s="115" t="s">
        <v>146</v>
      </c>
      <c r="G7" s="115" t="s">
        <v>206</v>
      </c>
      <c r="H7" s="115" t="s">
        <v>207</v>
      </c>
      <c r="I7" s="90" t="s">
        <v>103</v>
      </c>
      <c r="J7" s="64">
        <v>42758</v>
      </c>
      <c r="K7" s="115" t="s">
        <v>208</v>
      </c>
      <c r="L7" s="90" t="s">
        <v>106</v>
      </c>
      <c r="M7" s="115" t="s">
        <v>108</v>
      </c>
      <c r="N7" s="115"/>
      <c r="O7" s="122">
        <v>42768</v>
      </c>
      <c r="P7" s="115" t="s">
        <v>108</v>
      </c>
      <c r="Q7" s="122">
        <v>42768</v>
      </c>
      <c r="R7" s="115" t="s">
        <v>110</v>
      </c>
      <c r="S7" s="115" t="s">
        <v>209</v>
      </c>
      <c r="T7" s="115">
        <v>3741917</v>
      </c>
      <c r="U7" s="115" t="s">
        <v>54</v>
      </c>
      <c r="V7" s="120"/>
      <c r="W7" s="120" t="s">
        <v>72</v>
      </c>
      <c r="X7" s="115" t="s">
        <v>281</v>
      </c>
      <c r="Y7" s="118">
        <v>42782</v>
      </c>
      <c r="Z7" s="115" t="s">
        <v>115</v>
      </c>
      <c r="AA7" s="64">
        <v>42782</v>
      </c>
      <c r="AB7" s="123"/>
      <c r="AC7" s="76"/>
      <c r="AD7" s="109" t="s">
        <v>171</v>
      </c>
      <c r="AE7" s="105">
        <v>1</v>
      </c>
      <c r="AF7" s="104">
        <v>10</v>
      </c>
      <c r="AG7" s="104">
        <v>9</v>
      </c>
      <c r="AH7" s="104">
        <v>9</v>
      </c>
      <c r="AI7" s="104" t="s">
        <v>168</v>
      </c>
      <c r="AJ7" s="104">
        <v>12</v>
      </c>
      <c r="AK7" s="104">
        <v>12</v>
      </c>
      <c r="AL7" s="104">
        <v>12</v>
      </c>
      <c r="AM7" s="104" t="s">
        <v>172</v>
      </c>
      <c r="AN7" s="104">
        <v>0</v>
      </c>
      <c r="AO7" s="104" t="s">
        <v>169</v>
      </c>
      <c r="AP7" s="104" t="s">
        <v>169</v>
      </c>
      <c r="AQ7" s="104" t="s">
        <v>169</v>
      </c>
      <c r="AR7" s="104">
        <v>22</v>
      </c>
      <c r="AS7" s="18"/>
      <c r="AT7" s="24">
        <v>0</v>
      </c>
      <c r="AU7" s="24">
        <v>0</v>
      </c>
      <c r="AV7" s="24">
        <v>0</v>
      </c>
      <c r="AW7" s="24">
        <v>0</v>
      </c>
      <c r="AX7" s="24">
        <v>0</v>
      </c>
      <c r="AY7" s="24">
        <v>0</v>
      </c>
      <c r="AZ7" s="18"/>
    </row>
    <row r="8" spans="1:53" x14ac:dyDescent="0.25">
      <c r="A8" s="90" t="s">
        <v>139</v>
      </c>
      <c r="B8" s="90">
        <v>8</v>
      </c>
      <c r="C8" s="71" t="s">
        <v>282</v>
      </c>
      <c r="D8" s="115" t="s">
        <v>274</v>
      </c>
      <c r="E8" s="115" t="s">
        <v>143</v>
      </c>
      <c r="F8" s="115" t="s">
        <v>146</v>
      </c>
      <c r="G8" s="115" t="s">
        <v>210</v>
      </c>
      <c r="H8" s="116" t="s">
        <v>207</v>
      </c>
      <c r="I8" s="90" t="s">
        <v>103</v>
      </c>
      <c r="J8" s="64">
        <v>42758</v>
      </c>
      <c r="K8" s="124" t="s">
        <v>208</v>
      </c>
      <c r="L8" s="90" t="s">
        <v>106</v>
      </c>
      <c r="M8" s="115" t="s">
        <v>108</v>
      </c>
      <c r="N8" s="115"/>
      <c r="O8" s="122">
        <v>42768</v>
      </c>
      <c r="P8" s="115" t="s">
        <v>108</v>
      </c>
      <c r="Q8" s="122">
        <v>42768</v>
      </c>
      <c r="R8" s="115" t="s">
        <v>110</v>
      </c>
      <c r="S8" s="115" t="s">
        <v>193</v>
      </c>
      <c r="T8" s="119" t="s">
        <v>283</v>
      </c>
      <c r="U8" s="115" t="s">
        <v>54</v>
      </c>
      <c r="V8" s="120">
        <v>1</v>
      </c>
      <c r="W8" s="120" t="s">
        <v>72</v>
      </c>
      <c r="X8" s="71" t="s">
        <v>284</v>
      </c>
      <c r="Y8" s="66">
        <v>42782</v>
      </c>
      <c r="Z8" s="71" t="s">
        <v>115</v>
      </c>
      <c r="AA8" s="64">
        <v>42782</v>
      </c>
      <c r="AB8" s="121"/>
      <c r="AC8" s="76"/>
      <c r="AD8" s="107" t="s">
        <v>27</v>
      </c>
      <c r="AE8" s="105">
        <v>1</v>
      </c>
      <c r="AF8" s="104">
        <v>12</v>
      </c>
      <c r="AG8" s="104">
        <v>11</v>
      </c>
      <c r="AH8" s="104">
        <v>11</v>
      </c>
      <c r="AI8" s="104" t="s">
        <v>168</v>
      </c>
      <c r="AJ8" s="104" t="s">
        <v>169</v>
      </c>
      <c r="AK8" s="104" t="s">
        <v>169</v>
      </c>
      <c r="AL8" s="104" t="s">
        <v>169</v>
      </c>
      <c r="AM8" s="104" t="s">
        <v>169</v>
      </c>
      <c r="AN8" s="104">
        <v>0</v>
      </c>
      <c r="AO8" s="104" t="s">
        <v>169</v>
      </c>
      <c r="AP8" s="104" t="s">
        <v>169</v>
      </c>
      <c r="AQ8" s="104" t="s">
        <v>169</v>
      </c>
      <c r="AR8" s="104">
        <v>12</v>
      </c>
      <c r="AS8" s="18"/>
      <c r="AT8" s="24">
        <v>0</v>
      </c>
      <c r="AU8" s="24">
        <v>0</v>
      </c>
      <c r="AV8" s="24">
        <v>0</v>
      </c>
      <c r="AW8" s="24">
        <v>0</v>
      </c>
      <c r="AX8" s="24">
        <v>0</v>
      </c>
      <c r="AY8" s="24">
        <v>0</v>
      </c>
      <c r="AZ8" s="18"/>
    </row>
    <row r="9" spans="1:53" x14ac:dyDescent="0.25">
      <c r="A9" s="90" t="s">
        <v>139</v>
      </c>
      <c r="B9" s="90">
        <v>8</v>
      </c>
      <c r="C9" s="125" t="s">
        <v>280</v>
      </c>
      <c r="D9" s="115" t="s">
        <v>275</v>
      </c>
      <c r="E9" s="115" t="s">
        <v>143</v>
      </c>
      <c r="F9" s="115" t="s">
        <v>146</v>
      </c>
      <c r="G9" s="115" t="s">
        <v>211</v>
      </c>
      <c r="H9" s="116" t="s">
        <v>212</v>
      </c>
      <c r="I9" s="115" t="s">
        <v>104</v>
      </c>
      <c r="J9" s="64">
        <v>75629</v>
      </c>
      <c r="K9" s="124" t="s">
        <v>213</v>
      </c>
      <c r="L9" s="115" t="s">
        <v>105</v>
      </c>
      <c r="M9" s="115" t="s">
        <v>109</v>
      </c>
      <c r="N9" s="115"/>
      <c r="O9" s="118">
        <v>42768</v>
      </c>
      <c r="P9" s="115" t="s">
        <v>109</v>
      </c>
      <c r="Q9" s="122">
        <v>42768</v>
      </c>
      <c r="R9" s="115"/>
      <c r="S9" s="115"/>
      <c r="T9" s="119"/>
      <c r="U9" s="115"/>
      <c r="V9" s="120"/>
      <c r="W9" s="120" t="s">
        <v>73</v>
      </c>
      <c r="X9" s="72" t="s">
        <v>214</v>
      </c>
      <c r="Y9" s="66">
        <v>42768</v>
      </c>
      <c r="Z9" s="71" t="s">
        <v>115</v>
      </c>
      <c r="AA9" s="64">
        <v>42768</v>
      </c>
      <c r="AB9" s="121" t="s">
        <v>105</v>
      </c>
      <c r="AC9" s="76">
        <v>42768</v>
      </c>
      <c r="AD9" s="107" t="s">
        <v>27</v>
      </c>
      <c r="AE9" s="105">
        <v>1</v>
      </c>
      <c r="AF9" s="104">
        <v>3</v>
      </c>
      <c r="AG9" s="104">
        <v>2</v>
      </c>
      <c r="AH9" s="104">
        <v>2</v>
      </c>
      <c r="AI9" s="104" t="s">
        <v>168</v>
      </c>
      <c r="AJ9" s="104" t="s">
        <v>169</v>
      </c>
      <c r="AK9" s="104" t="s">
        <v>169</v>
      </c>
      <c r="AL9" s="104" t="s">
        <v>169</v>
      </c>
      <c r="AM9" s="104" t="s">
        <v>169</v>
      </c>
      <c r="AN9" s="104">
        <v>0</v>
      </c>
      <c r="AO9" s="104" t="s">
        <v>169</v>
      </c>
      <c r="AP9" s="104" t="s">
        <v>169</v>
      </c>
      <c r="AQ9" s="104" t="s">
        <v>169</v>
      </c>
      <c r="AR9" s="104">
        <v>3</v>
      </c>
      <c r="AS9" s="18"/>
      <c r="AT9" s="24">
        <v>0</v>
      </c>
      <c r="AU9" s="24">
        <v>0</v>
      </c>
      <c r="AV9" s="24">
        <v>0</v>
      </c>
      <c r="AW9" s="24">
        <v>0</v>
      </c>
      <c r="AX9" s="24">
        <v>0</v>
      </c>
      <c r="AY9" s="24">
        <v>0</v>
      </c>
      <c r="AZ9" s="18"/>
    </row>
    <row r="10" spans="1:53" ht="30" x14ac:dyDescent="0.25">
      <c r="A10" s="90" t="s">
        <v>139</v>
      </c>
      <c r="B10" s="90">
        <v>8</v>
      </c>
      <c r="C10" s="125" t="s">
        <v>285</v>
      </c>
      <c r="D10" s="115" t="s">
        <v>263</v>
      </c>
      <c r="E10" s="115" t="s">
        <v>141</v>
      </c>
      <c r="F10" s="115" t="s">
        <v>146</v>
      </c>
      <c r="G10" s="115" t="s">
        <v>215</v>
      </c>
      <c r="H10" s="116" t="s">
        <v>216</v>
      </c>
      <c r="I10" s="90" t="s">
        <v>103</v>
      </c>
      <c r="J10" s="64">
        <v>42761</v>
      </c>
      <c r="K10" s="117" t="s">
        <v>217</v>
      </c>
      <c r="L10" s="90" t="s">
        <v>106</v>
      </c>
      <c r="M10" s="115" t="s">
        <v>108</v>
      </c>
      <c r="N10" s="115"/>
      <c r="O10" s="122">
        <v>42768</v>
      </c>
      <c r="P10" s="115" t="s">
        <v>108</v>
      </c>
      <c r="Q10" s="122">
        <v>42768</v>
      </c>
      <c r="R10" s="115"/>
      <c r="S10" s="115"/>
      <c r="T10" s="119"/>
      <c r="U10" s="115"/>
      <c r="V10" s="120" t="s">
        <v>169</v>
      </c>
      <c r="W10" s="120" t="s">
        <v>169</v>
      </c>
      <c r="X10" s="71"/>
      <c r="Y10" s="66"/>
      <c r="Z10" s="71"/>
      <c r="AA10" s="64"/>
      <c r="AB10" s="121" t="s">
        <v>286</v>
      </c>
      <c r="AC10" s="76"/>
      <c r="AD10" s="107" t="s">
        <v>171</v>
      </c>
      <c r="AE10" s="105">
        <v>1</v>
      </c>
      <c r="AF10" s="104">
        <v>0</v>
      </c>
      <c r="AG10" s="104">
        <v>-1</v>
      </c>
      <c r="AH10" s="104">
        <v>0</v>
      </c>
      <c r="AI10" s="104" t="s">
        <v>167</v>
      </c>
      <c r="AJ10" s="104">
        <v>22</v>
      </c>
      <c r="AK10" s="104">
        <v>21</v>
      </c>
      <c r="AL10" s="104">
        <v>21</v>
      </c>
      <c r="AM10" s="104" t="s">
        <v>168</v>
      </c>
      <c r="AN10" s="104">
        <v>0</v>
      </c>
      <c r="AO10" s="104" t="s">
        <v>169</v>
      </c>
      <c r="AP10" s="104" t="s">
        <v>169</v>
      </c>
      <c r="AQ10" s="104" t="s">
        <v>169</v>
      </c>
      <c r="AR10" s="104">
        <v>22</v>
      </c>
      <c r="AS10" s="18"/>
      <c r="AT10" s="24">
        <v>0</v>
      </c>
      <c r="AU10" s="24">
        <v>0</v>
      </c>
      <c r="AV10" s="24">
        <v>0</v>
      </c>
      <c r="AW10" s="24">
        <v>0</v>
      </c>
      <c r="AX10" s="24">
        <v>0</v>
      </c>
      <c r="AY10" s="24">
        <v>0</v>
      </c>
      <c r="AZ10" s="18"/>
    </row>
    <row r="11" spans="1:53" x14ac:dyDescent="0.25">
      <c r="A11" s="90" t="s">
        <v>139</v>
      </c>
      <c r="B11" s="90">
        <v>8</v>
      </c>
      <c r="C11" s="125">
        <v>3369</v>
      </c>
      <c r="D11" s="115" t="s">
        <v>253</v>
      </c>
      <c r="E11" s="115" t="s">
        <v>143</v>
      </c>
      <c r="F11" s="115" t="s">
        <v>146</v>
      </c>
      <c r="G11" s="115" t="s">
        <v>218</v>
      </c>
      <c r="H11" s="116" t="s">
        <v>219</v>
      </c>
      <c r="I11" s="90" t="s">
        <v>103</v>
      </c>
      <c r="J11" s="64">
        <v>42761</v>
      </c>
      <c r="K11" s="124" t="s">
        <v>220</v>
      </c>
      <c r="L11" s="90" t="s">
        <v>106</v>
      </c>
      <c r="M11" s="115" t="s">
        <v>108</v>
      </c>
      <c r="N11" s="115"/>
      <c r="O11" s="122">
        <v>42768</v>
      </c>
      <c r="P11" s="115" t="s">
        <v>108</v>
      </c>
      <c r="Q11" s="122">
        <v>42768</v>
      </c>
      <c r="R11" s="115" t="s">
        <v>110</v>
      </c>
      <c r="S11" s="115" t="s">
        <v>221</v>
      </c>
      <c r="T11" s="119">
        <v>2025514</v>
      </c>
      <c r="U11" s="115" t="s">
        <v>44</v>
      </c>
      <c r="V11" s="120">
        <v>2</v>
      </c>
      <c r="W11" s="120" t="s">
        <v>72</v>
      </c>
      <c r="X11" s="72"/>
      <c r="Y11" s="66"/>
      <c r="Z11" s="71"/>
      <c r="AA11" s="64"/>
      <c r="AB11" s="121"/>
      <c r="AC11" s="76"/>
      <c r="AD11" s="107" t="s">
        <v>27</v>
      </c>
      <c r="AE11" s="105">
        <v>1</v>
      </c>
      <c r="AF11" s="104">
        <v>16</v>
      </c>
      <c r="AG11" s="104">
        <v>15</v>
      </c>
      <c r="AH11" s="104">
        <v>15</v>
      </c>
      <c r="AI11" s="104" t="s">
        <v>168</v>
      </c>
      <c r="AJ11" s="104" t="s">
        <v>169</v>
      </c>
      <c r="AK11" s="104" t="s">
        <v>169</v>
      </c>
      <c r="AL11" s="104" t="s">
        <v>169</v>
      </c>
      <c r="AM11" s="104" t="s">
        <v>169</v>
      </c>
      <c r="AN11" s="104">
        <v>0</v>
      </c>
      <c r="AO11" s="104" t="s">
        <v>169</v>
      </c>
      <c r="AP11" s="104" t="s">
        <v>169</v>
      </c>
      <c r="AQ11" s="104" t="s">
        <v>169</v>
      </c>
      <c r="AR11" s="104">
        <v>16</v>
      </c>
      <c r="AS11" s="18"/>
      <c r="AT11" s="24">
        <v>0</v>
      </c>
      <c r="AU11" s="24">
        <v>0</v>
      </c>
      <c r="AV11" s="24">
        <v>0</v>
      </c>
      <c r="AW11" s="24">
        <v>0</v>
      </c>
      <c r="AX11" s="24">
        <v>0</v>
      </c>
      <c r="AY11" s="24">
        <v>0</v>
      </c>
      <c r="AZ11" s="18"/>
    </row>
    <row r="12" spans="1:53" x14ac:dyDescent="0.25">
      <c r="A12" s="90" t="s">
        <v>139</v>
      </c>
      <c r="B12" s="90">
        <v>8</v>
      </c>
      <c r="C12" s="125">
        <v>3372</v>
      </c>
      <c r="D12" s="115" t="s">
        <v>287</v>
      </c>
      <c r="E12" s="115" t="s">
        <v>143</v>
      </c>
      <c r="F12" s="115" t="s">
        <v>146</v>
      </c>
      <c r="G12" s="115" t="s">
        <v>222</v>
      </c>
      <c r="H12" s="116" t="s">
        <v>223</v>
      </c>
      <c r="I12" s="90" t="s">
        <v>103</v>
      </c>
      <c r="J12" s="64">
        <v>42762</v>
      </c>
      <c r="K12" s="117"/>
      <c r="L12" s="90" t="s">
        <v>106</v>
      </c>
      <c r="M12" s="115" t="s">
        <v>108</v>
      </c>
      <c r="N12" s="115"/>
      <c r="O12" s="122">
        <v>42768</v>
      </c>
      <c r="P12" s="115" t="s">
        <v>108</v>
      </c>
      <c r="Q12" s="122">
        <v>42768</v>
      </c>
      <c r="R12" s="115" t="s">
        <v>110</v>
      </c>
      <c r="S12" s="115" t="s">
        <v>288</v>
      </c>
      <c r="T12" s="119"/>
      <c r="U12" s="115"/>
      <c r="V12" s="120" t="s">
        <v>169</v>
      </c>
      <c r="W12" s="120" t="s">
        <v>169</v>
      </c>
      <c r="X12" s="72"/>
      <c r="Y12" s="66"/>
      <c r="Z12" s="71"/>
      <c r="AA12" s="64"/>
      <c r="AB12" s="121" t="s">
        <v>289</v>
      </c>
      <c r="AC12" s="76"/>
      <c r="AD12" s="107" t="s">
        <v>27</v>
      </c>
      <c r="AE12" s="105">
        <v>1</v>
      </c>
      <c r="AF12" s="104">
        <v>2</v>
      </c>
      <c r="AG12" s="104">
        <v>1</v>
      </c>
      <c r="AH12" s="104">
        <v>1</v>
      </c>
      <c r="AI12" s="104" t="s">
        <v>168</v>
      </c>
      <c r="AJ12" s="104" t="s">
        <v>169</v>
      </c>
      <c r="AK12" s="104" t="s">
        <v>169</v>
      </c>
      <c r="AL12" s="104" t="s">
        <v>169</v>
      </c>
      <c r="AM12" s="104" t="s">
        <v>169</v>
      </c>
      <c r="AN12" s="104">
        <v>0</v>
      </c>
      <c r="AO12" s="104" t="s">
        <v>169</v>
      </c>
      <c r="AP12" s="104" t="s">
        <v>169</v>
      </c>
      <c r="AQ12" s="104" t="s">
        <v>169</v>
      </c>
      <c r="AR12" s="104">
        <v>2</v>
      </c>
      <c r="AS12" s="18"/>
      <c r="AT12" s="24">
        <v>0</v>
      </c>
      <c r="AU12" s="24">
        <v>0</v>
      </c>
      <c r="AV12" s="24">
        <v>0</v>
      </c>
      <c r="AW12" s="24">
        <v>0</v>
      </c>
      <c r="AX12" s="24">
        <v>0</v>
      </c>
      <c r="AY12" s="24">
        <v>0</v>
      </c>
      <c r="AZ12" s="18"/>
    </row>
    <row r="13" spans="1:53" x14ac:dyDescent="0.25">
      <c r="A13" s="90" t="s">
        <v>139</v>
      </c>
      <c r="B13" s="90">
        <v>8</v>
      </c>
      <c r="C13" s="125" t="s">
        <v>290</v>
      </c>
      <c r="D13" s="115" t="s">
        <v>272</v>
      </c>
      <c r="E13" s="115" t="s">
        <v>143</v>
      </c>
      <c r="F13" s="115" t="s">
        <v>146</v>
      </c>
      <c r="G13" s="115" t="s">
        <v>224</v>
      </c>
      <c r="H13" s="116" t="s">
        <v>223</v>
      </c>
      <c r="I13" s="90" t="s">
        <v>103</v>
      </c>
      <c r="J13" s="64">
        <v>42762</v>
      </c>
      <c r="K13" s="117"/>
      <c r="L13" s="90" t="s">
        <v>106</v>
      </c>
      <c r="M13" s="115" t="s">
        <v>108</v>
      </c>
      <c r="N13" s="115"/>
      <c r="O13" s="122">
        <v>42768</v>
      </c>
      <c r="P13" s="115" t="s">
        <v>108</v>
      </c>
      <c r="Q13" s="122">
        <v>42768</v>
      </c>
      <c r="R13" s="115" t="s">
        <v>110</v>
      </c>
      <c r="S13" s="115" t="s">
        <v>193</v>
      </c>
      <c r="T13" s="119" t="s">
        <v>291</v>
      </c>
      <c r="U13" s="115" t="s">
        <v>36</v>
      </c>
      <c r="V13" s="120">
        <v>20</v>
      </c>
      <c r="W13" s="120" t="s">
        <v>72</v>
      </c>
      <c r="X13" s="71" t="s">
        <v>292</v>
      </c>
      <c r="Y13" s="66">
        <v>42782</v>
      </c>
      <c r="Z13" s="71" t="s">
        <v>115</v>
      </c>
      <c r="AA13" s="64">
        <v>42782</v>
      </c>
      <c r="AB13" s="121"/>
      <c r="AC13" s="76"/>
      <c r="AD13" s="107" t="s">
        <v>171</v>
      </c>
      <c r="AE13" s="105"/>
      <c r="AF13" s="104"/>
      <c r="AG13" s="104"/>
      <c r="AH13" s="104"/>
      <c r="AI13" s="104"/>
      <c r="AJ13" s="104"/>
      <c r="AK13" s="104"/>
      <c r="AL13" s="104"/>
      <c r="AM13" s="104"/>
      <c r="AN13" s="104"/>
      <c r="AO13" s="104"/>
      <c r="AP13" s="104"/>
      <c r="AQ13" s="104"/>
      <c r="AR13" s="104"/>
      <c r="AS13" s="18"/>
      <c r="AT13" s="24">
        <v>0</v>
      </c>
      <c r="AU13" s="24">
        <v>0</v>
      </c>
      <c r="AV13" s="24">
        <v>1</v>
      </c>
      <c r="AW13" s="24">
        <v>0</v>
      </c>
      <c r="AX13" s="24">
        <v>0</v>
      </c>
      <c r="AY13" s="24">
        <v>0</v>
      </c>
      <c r="AZ13" s="18"/>
    </row>
    <row r="14" spans="1:53" x14ac:dyDescent="0.25">
      <c r="A14" s="90" t="s">
        <v>139</v>
      </c>
      <c r="B14" s="90">
        <v>8</v>
      </c>
      <c r="C14" s="125" t="s">
        <v>293</v>
      </c>
      <c r="D14" s="115" t="s">
        <v>267</v>
      </c>
      <c r="E14" s="115" t="s">
        <v>143</v>
      </c>
      <c r="F14" s="115" t="s">
        <v>146</v>
      </c>
      <c r="G14" s="115" t="s">
        <v>225</v>
      </c>
      <c r="H14" s="116" t="s">
        <v>223</v>
      </c>
      <c r="I14" s="90" t="s">
        <v>104</v>
      </c>
      <c r="J14" s="64">
        <v>42763</v>
      </c>
      <c r="K14" s="124" t="s">
        <v>226</v>
      </c>
      <c r="L14" s="90" t="s">
        <v>106</v>
      </c>
      <c r="M14" s="115" t="s">
        <v>107</v>
      </c>
      <c r="N14" s="115"/>
      <c r="O14" s="122"/>
      <c r="P14" s="115"/>
      <c r="Q14" s="122"/>
      <c r="R14" s="115" t="s">
        <v>110</v>
      </c>
      <c r="S14" s="115" t="s">
        <v>288</v>
      </c>
      <c r="T14" s="119">
        <v>10746120190</v>
      </c>
      <c r="U14" s="115"/>
      <c r="V14" s="120" t="s">
        <v>169</v>
      </c>
      <c r="W14" s="120" t="s">
        <v>169</v>
      </c>
      <c r="X14" s="71"/>
      <c r="Y14" s="66"/>
      <c r="Z14" s="71"/>
      <c r="AA14" s="64"/>
      <c r="AB14" s="121"/>
      <c r="AC14" s="76"/>
      <c r="AD14" s="107" t="s">
        <v>27</v>
      </c>
      <c r="AE14" s="105">
        <v>1</v>
      </c>
      <c r="AF14" s="104">
        <v>10</v>
      </c>
      <c r="AG14" s="104">
        <v>9</v>
      </c>
      <c r="AH14" s="104">
        <v>9</v>
      </c>
      <c r="AI14" s="104" t="s">
        <v>168</v>
      </c>
      <c r="AJ14" s="104" t="s">
        <v>169</v>
      </c>
      <c r="AK14" s="104" t="s">
        <v>169</v>
      </c>
      <c r="AL14" s="104" t="s">
        <v>169</v>
      </c>
      <c r="AM14" s="104" t="s">
        <v>169</v>
      </c>
      <c r="AN14" s="104">
        <v>0</v>
      </c>
      <c r="AO14" s="104" t="s">
        <v>169</v>
      </c>
      <c r="AP14" s="104" t="s">
        <v>169</v>
      </c>
      <c r="AQ14" s="104" t="s">
        <v>169</v>
      </c>
      <c r="AR14" s="104">
        <v>10</v>
      </c>
      <c r="AS14" s="18"/>
      <c r="AT14" s="24">
        <v>0</v>
      </c>
      <c r="AU14" s="24">
        <v>0</v>
      </c>
      <c r="AV14" s="24">
        <v>1</v>
      </c>
      <c r="AW14" s="24">
        <v>0</v>
      </c>
      <c r="AX14" s="24">
        <v>0</v>
      </c>
      <c r="AY14" s="24">
        <v>0</v>
      </c>
      <c r="AZ14" s="18"/>
    </row>
    <row r="15" spans="1:53" x14ac:dyDescent="0.25">
      <c r="A15" s="90" t="s">
        <v>139</v>
      </c>
      <c r="B15" s="90">
        <v>8</v>
      </c>
      <c r="C15" s="125" t="s">
        <v>294</v>
      </c>
      <c r="D15" s="115" t="s">
        <v>269</v>
      </c>
      <c r="E15" s="115" t="s">
        <v>141</v>
      </c>
      <c r="F15" s="115" t="s">
        <v>146</v>
      </c>
      <c r="G15" s="115" t="s">
        <v>227</v>
      </c>
      <c r="H15" s="116" t="s">
        <v>228</v>
      </c>
      <c r="I15" s="115" t="s">
        <v>103</v>
      </c>
      <c r="J15" s="64">
        <v>42763</v>
      </c>
      <c r="K15" s="117" t="s">
        <v>229</v>
      </c>
      <c r="L15" s="115" t="s">
        <v>105</v>
      </c>
      <c r="M15" s="115" t="s">
        <v>109</v>
      </c>
      <c r="N15" s="115"/>
      <c r="O15" s="118">
        <v>42768</v>
      </c>
      <c r="P15" s="115"/>
      <c r="Q15" s="122"/>
      <c r="R15" s="115" t="s">
        <v>110</v>
      </c>
      <c r="S15" s="115"/>
      <c r="T15" s="119"/>
      <c r="U15" s="115"/>
      <c r="V15" s="120" t="s">
        <v>169</v>
      </c>
      <c r="W15" s="120" t="s">
        <v>169</v>
      </c>
      <c r="X15" s="71"/>
      <c r="Y15" s="66"/>
      <c r="Z15" s="71"/>
      <c r="AA15" s="64"/>
      <c r="AB15" s="121" t="s">
        <v>105</v>
      </c>
      <c r="AC15" s="76">
        <v>42771</v>
      </c>
      <c r="AD15" s="107" t="s">
        <v>171</v>
      </c>
      <c r="AE15" s="105">
        <v>1</v>
      </c>
      <c r="AF15" s="104">
        <v>26</v>
      </c>
      <c r="AG15" s="104">
        <v>25</v>
      </c>
      <c r="AH15" s="104">
        <v>25</v>
      </c>
      <c r="AI15" s="104" t="s">
        <v>168</v>
      </c>
      <c r="AJ15" s="104" t="s">
        <v>169</v>
      </c>
      <c r="AK15" s="104" t="s">
        <v>169</v>
      </c>
      <c r="AL15" s="104" t="s">
        <v>169</v>
      </c>
      <c r="AM15" s="104" t="s">
        <v>169</v>
      </c>
      <c r="AN15" s="104">
        <v>0</v>
      </c>
      <c r="AO15" s="104" t="s">
        <v>169</v>
      </c>
      <c r="AP15" s="104" t="s">
        <v>169</v>
      </c>
      <c r="AQ15" s="104" t="s">
        <v>169</v>
      </c>
      <c r="AR15" s="104">
        <v>-42754</v>
      </c>
      <c r="AS15" s="18"/>
      <c r="AT15" s="24">
        <v>0</v>
      </c>
      <c r="AU15" s="24">
        <v>0</v>
      </c>
      <c r="AV15" s="24">
        <v>1</v>
      </c>
      <c r="AW15" s="24">
        <v>0</v>
      </c>
      <c r="AX15" s="24">
        <v>0</v>
      </c>
      <c r="AY15" s="24">
        <v>0</v>
      </c>
      <c r="AZ15" s="18"/>
    </row>
    <row r="16" spans="1:53" ht="30" x14ac:dyDescent="0.25">
      <c r="A16" s="90" t="s">
        <v>139</v>
      </c>
      <c r="B16" s="90">
        <v>8</v>
      </c>
      <c r="C16" s="125" t="s">
        <v>295</v>
      </c>
      <c r="D16" s="115" t="s">
        <v>276</v>
      </c>
      <c r="E16" s="115" t="s">
        <v>143</v>
      </c>
      <c r="F16" s="115" t="s">
        <v>146</v>
      </c>
      <c r="G16" s="115" t="s">
        <v>230</v>
      </c>
      <c r="H16" s="116" t="s">
        <v>212</v>
      </c>
      <c r="I16" s="90" t="s">
        <v>104</v>
      </c>
      <c r="J16" s="64">
        <v>42764</v>
      </c>
      <c r="K16" s="117" t="s">
        <v>231</v>
      </c>
      <c r="L16" s="90" t="s">
        <v>105</v>
      </c>
      <c r="M16" s="115" t="s">
        <v>109</v>
      </c>
      <c r="N16" s="115"/>
      <c r="O16" s="122">
        <v>42768</v>
      </c>
      <c r="P16" s="115" t="s">
        <v>109</v>
      </c>
      <c r="Q16" s="122">
        <v>42768</v>
      </c>
      <c r="R16" s="115"/>
      <c r="S16" s="115"/>
      <c r="T16" s="119"/>
      <c r="U16" s="115"/>
      <c r="V16" s="120" t="s">
        <v>169</v>
      </c>
      <c r="W16" s="120" t="s">
        <v>73</v>
      </c>
      <c r="X16" s="71" t="s">
        <v>232</v>
      </c>
      <c r="Y16" s="66">
        <v>42768</v>
      </c>
      <c r="Z16" s="71" t="s">
        <v>115</v>
      </c>
      <c r="AA16" s="64">
        <v>42768</v>
      </c>
      <c r="AB16" s="121" t="s">
        <v>105</v>
      </c>
      <c r="AC16" s="76">
        <v>42768</v>
      </c>
      <c r="AD16" s="107" t="s">
        <v>171</v>
      </c>
      <c r="AE16" s="105">
        <v>1</v>
      </c>
      <c r="AF16" s="104">
        <v>14</v>
      </c>
      <c r="AG16" s="104">
        <v>13</v>
      </c>
      <c r="AH16" s="104">
        <v>13</v>
      </c>
      <c r="AI16" s="104" t="s">
        <v>168</v>
      </c>
      <c r="AJ16" s="104">
        <v>12</v>
      </c>
      <c r="AK16" s="104">
        <v>11</v>
      </c>
      <c r="AL16" s="104">
        <v>11</v>
      </c>
      <c r="AM16" s="104" t="s">
        <v>168</v>
      </c>
      <c r="AN16" s="104">
        <v>0</v>
      </c>
      <c r="AO16" s="104" t="s">
        <v>169</v>
      </c>
      <c r="AP16" s="104" t="s">
        <v>169</v>
      </c>
      <c r="AQ16" s="104" t="s">
        <v>169</v>
      </c>
      <c r="AR16" s="104">
        <v>26</v>
      </c>
      <c r="AS16" s="18"/>
      <c r="AT16" s="24">
        <v>0</v>
      </c>
      <c r="AU16" s="24">
        <v>0</v>
      </c>
      <c r="AV16" s="24">
        <v>0</v>
      </c>
      <c r="AW16" s="24">
        <v>0</v>
      </c>
      <c r="AX16" s="24">
        <v>0</v>
      </c>
      <c r="AY16" s="24">
        <v>0</v>
      </c>
      <c r="AZ16" s="18"/>
    </row>
    <row r="17" spans="1:52" x14ac:dyDescent="0.25">
      <c r="A17" s="90" t="s">
        <v>139</v>
      </c>
      <c r="B17" s="90">
        <v>8</v>
      </c>
      <c r="C17" s="125" t="s">
        <v>295</v>
      </c>
      <c r="D17" s="115" t="s">
        <v>276</v>
      </c>
      <c r="E17" s="115" t="s">
        <v>143</v>
      </c>
      <c r="F17" s="115" t="s">
        <v>146</v>
      </c>
      <c r="G17" s="115" t="s">
        <v>233</v>
      </c>
      <c r="H17" s="116" t="s">
        <v>228</v>
      </c>
      <c r="I17" s="90" t="s">
        <v>104</v>
      </c>
      <c r="J17" s="64">
        <v>42765</v>
      </c>
      <c r="K17" s="124" t="s">
        <v>234</v>
      </c>
      <c r="L17" s="90" t="s">
        <v>105</v>
      </c>
      <c r="M17" s="115" t="s">
        <v>109</v>
      </c>
      <c r="N17" s="115"/>
      <c r="O17" s="122">
        <v>42768</v>
      </c>
      <c r="P17" s="115"/>
      <c r="Q17" s="122"/>
      <c r="R17" s="115" t="s">
        <v>110</v>
      </c>
      <c r="S17" s="115"/>
      <c r="T17" s="119"/>
      <c r="U17" s="115"/>
      <c r="V17" s="120" t="s">
        <v>169</v>
      </c>
      <c r="W17" s="120" t="s">
        <v>169</v>
      </c>
      <c r="X17" s="71"/>
      <c r="Y17" s="66"/>
      <c r="Z17" s="71"/>
      <c r="AA17" s="64"/>
      <c r="AB17" s="121" t="s">
        <v>105</v>
      </c>
      <c r="AC17" s="76">
        <v>42771</v>
      </c>
      <c r="AD17" s="107" t="s">
        <v>27</v>
      </c>
      <c r="AE17" s="105">
        <v>1</v>
      </c>
      <c r="AF17" s="104">
        <v>11</v>
      </c>
      <c r="AG17" s="104">
        <v>10</v>
      </c>
      <c r="AH17" s="104">
        <v>10</v>
      </c>
      <c r="AI17" s="104" t="s">
        <v>168</v>
      </c>
      <c r="AJ17" s="104" t="s">
        <v>169</v>
      </c>
      <c r="AK17" s="104" t="s">
        <v>169</v>
      </c>
      <c r="AL17" s="104" t="s">
        <v>169</v>
      </c>
      <c r="AM17" s="104" t="s">
        <v>169</v>
      </c>
      <c r="AN17" s="104">
        <v>0</v>
      </c>
      <c r="AO17" s="104" t="s">
        <v>169</v>
      </c>
      <c r="AP17" s="104" t="s">
        <v>169</v>
      </c>
      <c r="AQ17" s="104" t="s">
        <v>169</v>
      </c>
      <c r="AR17" s="104">
        <v>11</v>
      </c>
      <c r="AS17" s="18"/>
      <c r="AT17" s="24">
        <v>0</v>
      </c>
      <c r="AU17" s="24">
        <v>0</v>
      </c>
      <c r="AV17" s="24">
        <v>1</v>
      </c>
      <c r="AW17" s="24">
        <v>0</v>
      </c>
      <c r="AX17" s="24">
        <v>0</v>
      </c>
      <c r="AY17" s="24">
        <v>0</v>
      </c>
      <c r="AZ17" s="18"/>
    </row>
    <row r="18" spans="1:52" x14ac:dyDescent="0.25">
      <c r="A18" s="90" t="s">
        <v>139</v>
      </c>
      <c r="B18" s="90">
        <v>8</v>
      </c>
      <c r="C18" s="125" t="s">
        <v>295</v>
      </c>
      <c r="D18" s="115" t="s">
        <v>276</v>
      </c>
      <c r="E18" s="115" t="s">
        <v>143</v>
      </c>
      <c r="F18" s="115" t="s">
        <v>146</v>
      </c>
      <c r="G18" s="115" t="s">
        <v>235</v>
      </c>
      <c r="H18" s="116" t="s">
        <v>228</v>
      </c>
      <c r="I18" s="90" t="s">
        <v>104</v>
      </c>
      <c r="J18" s="64">
        <v>42766</v>
      </c>
      <c r="K18" s="117" t="s">
        <v>236</v>
      </c>
      <c r="L18" s="90" t="s">
        <v>105</v>
      </c>
      <c r="M18" s="115" t="s">
        <v>107</v>
      </c>
      <c r="N18" s="115"/>
      <c r="O18" s="122"/>
      <c r="P18" s="115"/>
      <c r="Q18" s="122"/>
      <c r="R18" s="115" t="s">
        <v>110</v>
      </c>
      <c r="S18" s="115"/>
      <c r="T18" s="119"/>
      <c r="U18" s="115"/>
      <c r="V18" s="120" t="s">
        <v>169</v>
      </c>
      <c r="W18" s="120" t="s">
        <v>169</v>
      </c>
      <c r="X18" s="71"/>
      <c r="Y18" s="66"/>
      <c r="Z18" s="71"/>
      <c r="AA18" s="64"/>
      <c r="AB18" s="121" t="s">
        <v>105</v>
      </c>
      <c r="AC18" s="76">
        <v>42771</v>
      </c>
      <c r="AD18" s="107" t="s">
        <v>171</v>
      </c>
      <c r="AE18" s="105"/>
      <c r="AF18" s="104"/>
      <c r="AG18" s="104"/>
      <c r="AH18" s="104"/>
      <c r="AI18" s="104"/>
      <c r="AJ18" s="104"/>
      <c r="AK18" s="104"/>
      <c r="AL18" s="104"/>
      <c r="AM18" s="104"/>
      <c r="AN18" s="104"/>
      <c r="AO18" s="104"/>
      <c r="AP18" s="104"/>
      <c r="AQ18" s="104"/>
      <c r="AR18" s="104"/>
      <c r="AS18" s="18"/>
      <c r="AT18" s="24">
        <v>0</v>
      </c>
      <c r="AU18" s="24">
        <v>0</v>
      </c>
      <c r="AV18" s="24">
        <v>0</v>
      </c>
      <c r="AW18" s="24">
        <v>0</v>
      </c>
      <c r="AX18" s="24">
        <v>0</v>
      </c>
      <c r="AY18" s="24">
        <v>0</v>
      </c>
      <c r="AZ18" s="18"/>
    </row>
    <row r="19" spans="1:52" x14ac:dyDescent="0.25">
      <c r="A19" s="90" t="s">
        <v>139</v>
      </c>
      <c r="B19" s="90">
        <v>8</v>
      </c>
      <c r="C19" s="125" t="s">
        <v>296</v>
      </c>
      <c r="D19" s="115" t="s">
        <v>273</v>
      </c>
      <c r="E19" s="115" t="s">
        <v>144</v>
      </c>
      <c r="F19" s="115" t="s">
        <v>146</v>
      </c>
      <c r="G19" s="115" t="s">
        <v>240</v>
      </c>
      <c r="H19" s="115" t="s">
        <v>219</v>
      </c>
      <c r="I19" s="90" t="s">
        <v>104</v>
      </c>
      <c r="J19" s="64">
        <v>42781</v>
      </c>
      <c r="K19" s="115" t="s">
        <v>220</v>
      </c>
      <c r="L19" s="90" t="s">
        <v>106</v>
      </c>
      <c r="M19" s="115" t="s">
        <v>107</v>
      </c>
      <c r="N19" s="115"/>
      <c r="O19" s="122"/>
      <c r="P19" s="115"/>
      <c r="Q19" s="122"/>
      <c r="R19" s="115" t="s">
        <v>110</v>
      </c>
      <c r="S19" s="115"/>
      <c r="T19" s="115"/>
      <c r="U19" s="115"/>
      <c r="V19" s="120" t="s">
        <v>169</v>
      </c>
      <c r="W19" s="120" t="s">
        <v>169</v>
      </c>
      <c r="X19" s="115"/>
      <c r="Y19" s="118"/>
      <c r="Z19" s="115"/>
      <c r="AA19" s="64"/>
      <c r="AB19" s="123"/>
      <c r="AC19" s="76"/>
      <c r="AD19" s="109" t="s">
        <v>27</v>
      </c>
      <c r="AE19" s="105">
        <v>1</v>
      </c>
      <c r="AF19" s="104">
        <v>3</v>
      </c>
      <c r="AG19" s="104">
        <v>2</v>
      </c>
      <c r="AH19" s="104">
        <v>2</v>
      </c>
      <c r="AI19" s="104" t="s">
        <v>168</v>
      </c>
      <c r="AJ19" s="104">
        <v>12</v>
      </c>
      <c r="AK19" s="104">
        <v>11</v>
      </c>
      <c r="AL19" s="104">
        <v>11</v>
      </c>
      <c r="AM19" s="104" t="s">
        <v>168</v>
      </c>
      <c r="AN19" s="104">
        <v>0</v>
      </c>
      <c r="AO19" s="104" t="s">
        <v>169</v>
      </c>
      <c r="AP19" s="104" t="s">
        <v>169</v>
      </c>
      <c r="AQ19" s="104" t="s">
        <v>169</v>
      </c>
      <c r="AR19" s="104">
        <v>-42765</v>
      </c>
      <c r="AS19" s="18"/>
      <c r="AT19" s="24">
        <v>0</v>
      </c>
      <c r="AU19" s="24">
        <v>0</v>
      </c>
      <c r="AV19" s="24">
        <v>0</v>
      </c>
      <c r="AW19" s="24">
        <v>0</v>
      </c>
      <c r="AX19" s="24">
        <v>0</v>
      </c>
      <c r="AY19" s="24">
        <v>0</v>
      </c>
      <c r="AZ19" s="18"/>
    </row>
    <row r="20" spans="1:52" ht="30" x14ac:dyDescent="0.25">
      <c r="A20" s="90" t="s">
        <v>139</v>
      </c>
      <c r="B20" s="90">
        <v>8</v>
      </c>
      <c r="C20" s="125" t="s">
        <v>270</v>
      </c>
      <c r="D20" s="115" t="s">
        <v>271</v>
      </c>
      <c r="E20" s="115" t="s">
        <v>143</v>
      </c>
      <c r="F20" s="115" t="s">
        <v>148</v>
      </c>
      <c r="G20" s="115"/>
      <c r="H20" s="116" t="s">
        <v>241</v>
      </c>
      <c r="I20" s="90" t="s">
        <v>103</v>
      </c>
      <c r="J20" s="64">
        <v>42776</v>
      </c>
      <c r="K20" s="126" t="s">
        <v>242</v>
      </c>
      <c r="L20" s="90" t="s">
        <v>106</v>
      </c>
      <c r="M20" s="115" t="s">
        <v>108</v>
      </c>
      <c r="N20" s="115"/>
      <c r="O20" s="122">
        <v>42781</v>
      </c>
      <c r="P20" s="115"/>
      <c r="Q20" s="122"/>
      <c r="R20" s="115" t="s">
        <v>112</v>
      </c>
      <c r="S20" s="115" t="s">
        <v>243</v>
      </c>
      <c r="T20" s="119" t="s">
        <v>244</v>
      </c>
      <c r="U20" s="115"/>
      <c r="V20" s="120" t="s">
        <v>169</v>
      </c>
      <c r="W20" s="120" t="s">
        <v>169</v>
      </c>
      <c r="X20" s="71"/>
      <c r="Y20" s="66"/>
      <c r="Z20" s="71"/>
      <c r="AA20" s="64"/>
      <c r="AB20" s="121" t="s">
        <v>297</v>
      </c>
      <c r="AC20" s="76"/>
      <c r="AD20" s="107" t="s">
        <v>27</v>
      </c>
      <c r="AE20" s="105">
        <v>1</v>
      </c>
      <c r="AF20" s="104">
        <v>4</v>
      </c>
      <c r="AG20" s="104">
        <v>3</v>
      </c>
      <c r="AH20" s="104">
        <v>3</v>
      </c>
      <c r="AI20" s="104" t="s">
        <v>168</v>
      </c>
      <c r="AJ20" s="104" t="s">
        <v>169</v>
      </c>
      <c r="AK20" s="104" t="s">
        <v>169</v>
      </c>
      <c r="AL20" s="104" t="s">
        <v>169</v>
      </c>
      <c r="AM20" s="104" t="s">
        <v>169</v>
      </c>
      <c r="AN20" s="104">
        <v>0</v>
      </c>
      <c r="AO20" s="104" t="s">
        <v>169</v>
      </c>
      <c r="AP20" s="104" t="s">
        <v>169</v>
      </c>
      <c r="AQ20" s="104" t="s">
        <v>169</v>
      </c>
      <c r="AR20" s="104">
        <v>4</v>
      </c>
      <c r="AS20" s="18"/>
      <c r="AT20" s="24">
        <v>0</v>
      </c>
      <c r="AU20" s="24">
        <v>0</v>
      </c>
      <c r="AV20" s="24">
        <v>0</v>
      </c>
      <c r="AW20" s="24">
        <v>0</v>
      </c>
      <c r="AX20" s="24">
        <v>0</v>
      </c>
      <c r="AY20" s="24">
        <v>0</v>
      </c>
      <c r="AZ20" s="18"/>
    </row>
    <row r="21" spans="1:52" x14ac:dyDescent="0.25">
      <c r="A21" s="90" t="s">
        <v>139</v>
      </c>
      <c r="B21" s="90">
        <v>8</v>
      </c>
      <c r="C21" s="125" t="s">
        <v>298</v>
      </c>
      <c r="D21" s="115" t="s">
        <v>271</v>
      </c>
      <c r="E21" s="115" t="s">
        <v>143</v>
      </c>
      <c r="F21" s="115" t="s">
        <v>148</v>
      </c>
      <c r="G21" s="115"/>
      <c r="H21" s="115" t="s">
        <v>241</v>
      </c>
      <c r="I21" s="115" t="s">
        <v>103</v>
      </c>
      <c r="J21" s="64">
        <v>42776</v>
      </c>
      <c r="K21" s="90" t="s">
        <v>242</v>
      </c>
      <c r="L21" s="115" t="s">
        <v>106</v>
      </c>
      <c r="M21" s="115" t="s">
        <v>108</v>
      </c>
      <c r="N21" s="115"/>
      <c r="O21" s="118">
        <v>42781</v>
      </c>
      <c r="P21" s="115"/>
      <c r="Q21" s="122"/>
      <c r="R21" s="115" t="s">
        <v>112</v>
      </c>
      <c r="S21" s="115" t="s">
        <v>243</v>
      </c>
      <c r="T21" s="115" t="s">
        <v>245</v>
      </c>
      <c r="U21" s="115"/>
      <c r="V21" s="120" t="s">
        <v>169</v>
      </c>
      <c r="W21" s="120" t="s">
        <v>169</v>
      </c>
      <c r="X21" s="115"/>
      <c r="Y21" s="118"/>
      <c r="Z21" s="115"/>
      <c r="AA21" s="64"/>
      <c r="AB21" s="123" t="s">
        <v>297</v>
      </c>
      <c r="AC21" s="76"/>
      <c r="AD21" s="109" t="s">
        <v>171</v>
      </c>
      <c r="AE21" s="105">
        <v>1</v>
      </c>
      <c r="AF21" s="104">
        <v>3</v>
      </c>
      <c r="AG21" s="104">
        <v>2</v>
      </c>
      <c r="AH21" s="104">
        <v>2</v>
      </c>
      <c r="AI21" s="104" t="s">
        <v>168</v>
      </c>
      <c r="AJ21" s="104" t="s">
        <v>169</v>
      </c>
      <c r="AK21" s="104" t="s">
        <v>169</v>
      </c>
      <c r="AL21" s="104" t="s">
        <v>169</v>
      </c>
      <c r="AM21" s="104" t="s">
        <v>169</v>
      </c>
      <c r="AN21" s="104">
        <v>0</v>
      </c>
      <c r="AO21" s="104" t="s">
        <v>169</v>
      </c>
      <c r="AP21" s="104" t="s">
        <v>169</v>
      </c>
      <c r="AQ21" s="104" t="s">
        <v>169</v>
      </c>
      <c r="AR21" s="104">
        <v>3</v>
      </c>
      <c r="AS21" s="18"/>
      <c r="AT21" s="24">
        <v>0</v>
      </c>
      <c r="AU21" s="24">
        <v>0</v>
      </c>
      <c r="AV21" s="24">
        <v>0</v>
      </c>
      <c r="AW21" s="24">
        <v>0</v>
      </c>
      <c r="AX21" s="24">
        <v>0</v>
      </c>
      <c r="AY21" s="24">
        <v>0</v>
      </c>
      <c r="AZ21" s="18"/>
    </row>
    <row r="22" spans="1:52" x14ac:dyDescent="0.25">
      <c r="A22" s="90" t="s">
        <v>139</v>
      </c>
      <c r="B22" s="90">
        <v>8</v>
      </c>
      <c r="C22" s="125" t="s">
        <v>299</v>
      </c>
      <c r="D22" s="115" t="s">
        <v>262</v>
      </c>
      <c r="E22" s="115" t="s">
        <v>141</v>
      </c>
      <c r="F22" s="115" t="s">
        <v>148</v>
      </c>
      <c r="G22" s="115"/>
      <c r="H22" s="115" t="s">
        <v>246</v>
      </c>
      <c r="I22" s="115" t="s">
        <v>103</v>
      </c>
      <c r="J22" s="64">
        <v>42773</v>
      </c>
      <c r="K22" s="90" t="s">
        <v>247</v>
      </c>
      <c r="L22" s="115" t="s">
        <v>106</v>
      </c>
      <c r="M22" s="115" t="s">
        <v>108</v>
      </c>
      <c r="N22" s="115"/>
      <c r="O22" s="118">
        <v>42773</v>
      </c>
      <c r="P22" s="115"/>
      <c r="Q22" s="122"/>
      <c r="R22" s="115" t="s">
        <v>110</v>
      </c>
      <c r="S22" s="115" t="s">
        <v>209</v>
      </c>
      <c r="T22" s="115">
        <v>3756981</v>
      </c>
      <c r="U22" s="115" t="s">
        <v>46</v>
      </c>
      <c r="V22" s="120">
        <v>2</v>
      </c>
      <c r="W22" s="120" t="s">
        <v>72</v>
      </c>
      <c r="X22" s="115" t="s">
        <v>300</v>
      </c>
      <c r="Y22" s="118">
        <v>42782</v>
      </c>
      <c r="Z22" s="115" t="s">
        <v>115</v>
      </c>
      <c r="AA22" s="64">
        <v>42782</v>
      </c>
      <c r="AB22" s="123"/>
      <c r="AC22" s="76"/>
      <c r="AD22" s="109" t="s">
        <v>171</v>
      </c>
      <c r="AE22" s="109">
        <v>1</v>
      </c>
      <c r="AF22" s="108">
        <v>17</v>
      </c>
      <c r="AG22" s="108">
        <v>16</v>
      </c>
      <c r="AH22" s="108">
        <v>16</v>
      </c>
      <c r="AI22" s="108" t="s">
        <v>168</v>
      </c>
      <c r="AJ22" s="108" t="s">
        <v>169</v>
      </c>
      <c r="AK22" s="108" t="s">
        <v>169</v>
      </c>
      <c r="AL22" s="108" t="s">
        <v>169</v>
      </c>
      <c r="AM22" s="108" t="s">
        <v>169</v>
      </c>
      <c r="AN22" s="108">
        <v>0</v>
      </c>
      <c r="AO22" s="108" t="s">
        <v>169</v>
      </c>
      <c r="AP22" s="108" t="s">
        <v>169</v>
      </c>
      <c r="AQ22" s="108" t="s">
        <v>169</v>
      </c>
      <c r="AR22" s="108">
        <v>17</v>
      </c>
      <c r="AS22" s="18"/>
      <c r="AT22" s="24"/>
      <c r="AU22" s="24"/>
      <c r="AV22" s="24"/>
      <c r="AW22" s="24"/>
      <c r="AX22" s="24"/>
      <c r="AY22" s="24"/>
      <c r="AZ22" s="18"/>
    </row>
    <row r="23" spans="1:52" s="88" customFormat="1" x14ac:dyDescent="0.25">
      <c r="A23" s="90" t="s">
        <v>139</v>
      </c>
      <c r="B23" s="90">
        <v>8</v>
      </c>
      <c r="C23" s="125" t="s">
        <v>299</v>
      </c>
      <c r="D23" s="115" t="s">
        <v>262</v>
      </c>
      <c r="E23" s="115" t="s">
        <v>141</v>
      </c>
      <c r="F23" s="115" t="s">
        <v>148</v>
      </c>
      <c r="G23" s="115"/>
      <c r="H23" s="115" t="s">
        <v>248</v>
      </c>
      <c r="I23" s="90" t="s">
        <v>104</v>
      </c>
      <c r="J23" s="64">
        <v>42773</v>
      </c>
      <c r="K23" s="90" t="s">
        <v>249</v>
      </c>
      <c r="L23" s="90" t="s">
        <v>106</v>
      </c>
      <c r="M23" s="115" t="s">
        <v>109</v>
      </c>
      <c r="N23" s="115"/>
      <c r="O23" s="122">
        <v>42773</v>
      </c>
      <c r="P23" s="115"/>
      <c r="Q23" s="122"/>
      <c r="R23" s="115"/>
      <c r="S23" s="115"/>
      <c r="T23" s="115"/>
      <c r="U23" s="115"/>
      <c r="V23" s="120" t="s">
        <v>169</v>
      </c>
      <c r="W23" s="120" t="s">
        <v>169</v>
      </c>
      <c r="X23" s="115"/>
      <c r="Y23" s="118"/>
      <c r="Z23" s="115"/>
      <c r="AA23" s="64"/>
      <c r="AB23" s="123"/>
      <c r="AC23" s="76"/>
      <c r="AD23" s="109" t="s">
        <v>171</v>
      </c>
      <c r="AE23" s="105">
        <v>1</v>
      </c>
      <c r="AF23" s="104">
        <v>5</v>
      </c>
      <c r="AG23" s="104">
        <v>4</v>
      </c>
      <c r="AH23" s="104">
        <v>4</v>
      </c>
      <c r="AI23" s="104" t="s">
        <v>168</v>
      </c>
      <c r="AJ23" s="104">
        <v>12</v>
      </c>
      <c r="AK23" s="104">
        <v>11</v>
      </c>
      <c r="AL23" s="104">
        <v>11</v>
      </c>
      <c r="AM23" s="104" t="s">
        <v>168</v>
      </c>
      <c r="AN23" s="104">
        <v>0</v>
      </c>
      <c r="AO23" s="104" t="s">
        <v>169</v>
      </c>
      <c r="AP23" s="104" t="s">
        <v>169</v>
      </c>
      <c r="AQ23" s="104" t="s">
        <v>169</v>
      </c>
      <c r="AR23" s="104">
        <v>-42763</v>
      </c>
      <c r="AS23" s="111"/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1"/>
    </row>
    <row r="24" spans="1:52" x14ac:dyDescent="0.25">
      <c r="A24" s="90" t="s">
        <v>139</v>
      </c>
      <c r="B24" s="90">
        <v>8</v>
      </c>
      <c r="C24" s="125">
        <v>3371</v>
      </c>
      <c r="D24" s="115" t="s">
        <v>254</v>
      </c>
      <c r="E24" s="115" t="s">
        <v>143</v>
      </c>
      <c r="F24" s="115" t="s">
        <v>146</v>
      </c>
      <c r="G24" s="115" t="s">
        <v>301</v>
      </c>
      <c r="H24" s="116" t="s">
        <v>219</v>
      </c>
      <c r="I24" s="90" t="s">
        <v>104</v>
      </c>
      <c r="J24" s="64">
        <v>42786</v>
      </c>
      <c r="K24" s="126" t="s">
        <v>302</v>
      </c>
      <c r="L24" s="90" t="s">
        <v>106</v>
      </c>
      <c r="M24" s="115" t="s">
        <v>107</v>
      </c>
      <c r="N24" s="115"/>
      <c r="O24" s="122"/>
      <c r="P24" s="115"/>
      <c r="Q24" s="122"/>
      <c r="R24" s="115" t="s">
        <v>110</v>
      </c>
      <c r="S24" s="115"/>
      <c r="T24" s="119"/>
      <c r="U24" s="115"/>
      <c r="V24" s="120" t="s">
        <v>169</v>
      </c>
      <c r="W24" s="120" t="s">
        <v>169</v>
      </c>
      <c r="X24" s="71"/>
      <c r="Y24" s="66"/>
      <c r="Z24" s="71"/>
      <c r="AA24" s="64"/>
      <c r="AB24" s="121"/>
      <c r="AC24" s="76"/>
      <c r="AD24" s="107" t="s">
        <v>171</v>
      </c>
      <c r="AE24" s="105">
        <v>1</v>
      </c>
      <c r="AF24" s="104">
        <v>17</v>
      </c>
      <c r="AG24" s="104">
        <v>16</v>
      </c>
      <c r="AH24" s="104">
        <v>16</v>
      </c>
      <c r="AI24" s="104" t="s">
        <v>168</v>
      </c>
      <c r="AJ24" s="104">
        <v>10</v>
      </c>
      <c r="AK24" s="104">
        <v>9</v>
      </c>
      <c r="AL24" s="104">
        <v>9</v>
      </c>
      <c r="AM24" s="104" t="s">
        <v>168</v>
      </c>
      <c r="AN24" s="104">
        <v>0</v>
      </c>
      <c r="AO24" s="104" t="s">
        <v>169</v>
      </c>
      <c r="AP24" s="104" t="s">
        <v>169</v>
      </c>
      <c r="AQ24" s="104" t="s">
        <v>169</v>
      </c>
      <c r="AR24" s="104">
        <v>27</v>
      </c>
      <c r="AS24" s="18"/>
      <c r="AT24" s="24">
        <v>0</v>
      </c>
      <c r="AU24" s="24">
        <v>0</v>
      </c>
      <c r="AV24" s="24">
        <v>1</v>
      </c>
      <c r="AW24" s="24">
        <v>0</v>
      </c>
      <c r="AX24" s="24">
        <v>0</v>
      </c>
      <c r="AY24" s="24">
        <v>0</v>
      </c>
      <c r="AZ24" s="18"/>
    </row>
    <row r="25" spans="1:52" x14ac:dyDescent="0.25">
      <c r="A25" s="90" t="s">
        <v>139</v>
      </c>
      <c r="B25" s="90">
        <v>8</v>
      </c>
      <c r="C25" s="125">
        <v>4361</v>
      </c>
      <c r="D25" s="115" t="s">
        <v>303</v>
      </c>
      <c r="E25" s="115" t="s">
        <v>144</v>
      </c>
      <c r="F25" s="115" t="s">
        <v>148</v>
      </c>
      <c r="G25" s="115"/>
      <c r="H25" s="116" t="s">
        <v>304</v>
      </c>
      <c r="I25" s="90" t="s">
        <v>103</v>
      </c>
      <c r="J25" s="64">
        <v>42774</v>
      </c>
      <c r="K25" s="126" t="s">
        <v>305</v>
      </c>
      <c r="L25" s="90" t="s">
        <v>106</v>
      </c>
      <c r="M25" s="115" t="s">
        <v>108</v>
      </c>
      <c r="N25" s="115"/>
      <c r="O25" s="122">
        <v>42788</v>
      </c>
      <c r="P25" s="115"/>
      <c r="Q25" s="122"/>
      <c r="R25" s="115" t="s">
        <v>112</v>
      </c>
      <c r="S25" s="115"/>
      <c r="T25" s="119"/>
      <c r="U25" s="115"/>
      <c r="V25" s="120" t="s">
        <v>169</v>
      </c>
      <c r="W25" s="120" t="s">
        <v>169</v>
      </c>
      <c r="X25" s="71"/>
      <c r="Y25" s="66"/>
      <c r="Z25" s="71"/>
      <c r="AA25" s="64"/>
      <c r="AB25" s="121"/>
      <c r="AC25" s="76"/>
      <c r="AD25" s="107" t="s">
        <v>171</v>
      </c>
      <c r="AE25" s="105">
        <v>1</v>
      </c>
      <c r="AF25" s="104">
        <v>16</v>
      </c>
      <c r="AG25" s="104">
        <v>15</v>
      </c>
      <c r="AH25" s="104">
        <v>15</v>
      </c>
      <c r="AI25" s="104" t="s">
        <v>168</v>
      </c>
      <c r="AJ25" s="104">
        <v>10</v>
      </c>
      <c r="AK25" s="104">
        <v>9</v>
      </c>
      <c r="AL25" s="104">
        <v>9</v>
      </c>
      <c r="AM25" s="104" t="s">
        <v>168</v>
      </c>
      <c r="AN25" s="104">
        <v>0</v>
      </c>
      <c r="AO25" s="104" t="s">
        <v>169</v>
      </c>
      <c r="AP25" s="104" t="s">
        <v>169</v>
      </c>
      <c r="AQ25" s="104" t="s">
        <v>169</v>
      </c>
      <c r="AR25" s="104">
        <v>26</v>
      </c>
      <c r="AS25" s="18"/>
      <c r="AT25" s="24">
        <v>0</v>
      </c>
      <c r="AU25" s="24">
        <v>0</v>
      </c>
      <c r="AV25" s="24">
        <v>1</v>
      </c>
      <c r="AW25" s="24">
        <v>0</v>
      </c>
      <c r="AX25" s="24">
        <v>0</v>
      </c>
      <c r="AY25" s="24">
        <v>0</v>
      </c>
      <c r="AZ25" s="18"/>
    </row>
    <row r="26" spans="1:52" ht="30" x14ac:dyDescent="0.25">
      <c r="A26" s="90" t="s">
        <v>139</v>
      </c>
      <c r="B26" s="90">
        <v>8</v>
      </c>
      <c r="C26" s="71" t="s">
        <v>306</v>
      </c>
      <c r="D26" s="115" t="s">
        <v>307</v>
      </c>
      <c r="E26" s="115" t="s">
        <v>143</v>
      </c>
      <c r="F26" s="115" t="s">
        <v>148</v>
      </c>
      <c r="G26" s="115"/>
      <c r="H26" s="116" t="s">
        <v>308</v>
      </c>
      <c r="I26" s="90" t="s">
        <v>104</v>
      </c>
      <c r="J26" s="64">
        <v>42773</v>
      </c>
      <c r="K26" s="126" t="s">
        <v>309</v>
      </c>
      <c r="L26" s="90" t="s">
        <v>106</v>
      </c>
      <c r="M26" s="115" t="s">
        <v>109</v>
      </c>
      <c r="N26" s="115"/>
      <c r="O26" s="122">
        <v>42774</v>
      </c>
      <c r="P26" s="115" t="s">
        <v>109</v>
      </c>
      <c r="Q26" s="122">
        <v>42774</v>
      </c>
      <c r="R26" s="115"/>
      <c r="S26" s="115"/>
      <c r="T26" s="119"/>
      <c r="U26" s="115"/>
      <c r="V26" s="120" t="s">
        <v>169</v>
      </c>
      <c r="W26" s="120" t="s">
        <v>73</v>
      </c>
      <c r="X26" s="71" t="s">
        <v>310</v>
      </c>
      <c r="Y26" s="66">
        <v>42775</v>
      </c>
      <c r="Z26" s="71" t="s">
        <v>115</v>
      </c>
      <c r="AA26" s="64">
        <v>42775</v>
      </c>
      <c r="AB26" s="121"/>
      <c r="AC26" s="76"/>
      <c r="AD26" s="107" t="s">
        <v>28</v>
      </c>
      <c r="AE26" s="105">
        <v>1</v>
      </c>
      <c r="AF26" s="104">
        <v>15</v>
      </c>
      <c r="AG26" s="104">
        <v>14</v>
      </c>
      <c r="AH26" s="104">
        <v>14</v>
      </c>
      <c r="AI26" s="104" t="s">
        <v>168</v>
      </c>
      <c r="AJ26" s="104">
        <v>12</v>
      </c>
      <c r="AK26" s="104">
        <v>12</v>
      </c>
      <c r="AL26" s="104">
        <v>12</v>
      </c>
      <c r="AM26" s="104" t="s">
        <v>172</v>
      </c>
      <c r="AN26" s="104">
        <v>0</v>
      </c>
      <c r="AO26" s="104" t="s">
        <v>169</v>
      </c>
      <c r="AP26" s="104" t="s">
        <v>169</v>
      </c>
      <c r="AQ26" s="104" t="s">
        <v>169</v>
      </c>
      <c r="AR26" s="104">
        <v>27</v>
      </c>
      <c r="AS26" s="18"/>
      <c r="AT26" s="24">
        <v>0</v>
      </c>
      <c r="AU26" s="24">
        <v>0</v>
      </c>
      <c r="AV26" s="24">
        <v>1</v>
      </c>
      <c r="AW26" s="24">
        <v>0</v>
      </c>
      <c r="AX26" s="24">
        <v>0</v>
      </c>
      <c r="AY26" s="24">
        <v>0</v>
      </c>
      <c r="AZ26" s="18"/>
    </row>
    <row r="27" spans="1:52" ht="30" x14ac:dyDescent="0.25">
      <c r="A27" s="90" t="s">
        <v>139</v>
      </c>
      <c r="B27" s="90">
        <v>8</v>
      </c>
      <c r="C27" s="125">
        <v>3368</v>
      </c>
      <c r="D27" s="115" t="s">
        <v>311</v>
      </c>
      <c r="E27" s="115" t="s">
        <v>143</v>
      </c>
      <c r="F27" s="115" t="s">
        <v>146</v>
      </c>
      <c r="G27" s="115" t="s">
        <v>312</v>
      </c>
      <c r="H27" s="116" t="s">
        <v>313</v>
      </c>
      <c r="I27" s="90" t="s">
        <v>104</v>
      </c>
      <c r="J27" s="64">
        <v>42789</v>
      </c>
      <c r="K27" s="126" t="s">
        <v>314</v>
      </c>
      <c r="L27" s="90" t="s">
        <v>106</v>
      </c>
      <c r="M27" s="115"/>
      <c r="N27" s="115"/>
      <c r="O27" s="122"/>
      <c r="P27" s="115"/>
      <c r="Q27" s="122"/>
      <c r="R27" s="115"/>
      <c r="S27" s="115"/>
      <c r="T27" s="119"/>
      <c r="U27" s="115"/>
      <c r="V27" s="120" t="s">
        <v>169</v>
      </c>
      <c r="W27" s="120" t="s">
        <v>169</v>
      </c>
      <c r="X27" s="71"/>
      <c r="Y27" s="66"/>
      <c r="Z27" s="71"/>
      <c r="AA27" s="64"/>
      <c r="AB27" s="121"/>
      <c r="AC27" s="76"/>
      <c r="AD27" s="107" t="s">
        <v>171</v>
      </c>
      <c r="AE27" s="105">
        <v>1</v>
      </c>
      <c r="AF27" s="104">
        <v>5</v>
      </c>
      <c r="AG27" s="104">
        <v>4</v>
      </c>
      <c r="AH27" s="104">
        <v>4</v>
      </c>
      <c r="AI27" s="104" t="s">
        <v>168</v>
      </c>
      <c r="AJ27" s="104">
        <v>12</v>
      </c>
      <c r="AK27" s="104">
        <v>11</v>
      </c>
      <c r="AL27" s="104">
        <v>11</v>
      </c>
      <c r="AM27" s="104" t="s">
        <v>168</v>
      </c>
      <c r="AN27" s="104">
        <v>0</v>
      </c>
      <c r="AO27" s="104" t="s">
        <v>169</v>
      </c>
      <c r="AP27" s="104" t="s">
        <v>169</v>
      </c>
      <c r="AQ27" s="104" t="s">
        <v>169</v>
      </c>
      <c r="AR27" s="104">
        <v>17</v>
      </c>
      <c r="AS27" s="18"/>
      <c r="AT27" s="24">
        <v>0</v>
      </c>
      <c r="AU27" s="24">
        <v>0</v>
      </c>
      <c r="AV27" s="24">
        <v>1</v>
      </c>
      <c r="AW27" s="24">
        <v>0</v>
      </c>
      <c r="AX27" s="24">
        <v>0</v>
      </c>
      <c r="AY27" s="24">
        <v>0</v>
      </c>
      <c r="AZ27" s="18"/>
    </row>
    <row r="28" spans="1:52" x14ac:dyDescent="0.25">
      <c r="A28" s="90" t="s">
        <v>139</v>
      </c>
      <c r="B28" s="90">
        <v>8</v>
      </c>
      <c r="C28" s="125" t="s">
        <v>315</v>
      </c>
      <c r="D28" s="115" t="s">
        <v>316</v>
      </c>
      <c r="E28" s="115" t="s">
        <v>143</v>
      </c>
      <c r="F28" s="115" t="s">
        <v>146</v>
      </c>
      <c r="G28" s="115" t="s">
        <v>317</v>
      </c>
      <c r="H28" s="115" t="s">
        <v>318</v>
      </c>
      <c r="I28" s="115" t="s">
        <v>104</v>
      </c>
      <c r="J28" s="64">
        <v>42789</v>
      </c>
      <c r="K28" s="90"/>
      <c r="L28" s="115" t="s">
        <v>106</v>
      </c>
      <c r="M28" s="115"/>
      <c r="N28" s="115"/>
      <c r="O28" s="118"/>
      <c r="P28" s="115"/>
      <c r="Q28" s="122"/>
      <c r="R28" s="115"/>
      <c r="S28" s="115"/>
      <c r="T28" s="115"/>
      <c r="U28" s="115"/>
      <c r="V28" s="120" t="s">
        <v>169</v>
      </c>
      <c r="W28" s="120" t="s">
        <v>169</v>
      </c>
      <c r="X28" s="115"/>
      <c r="Y28" s="118"/>
      <c r="Z28" s="115"/>
      <c r="AA28" s="64"/>
      <c r="AB28" s="123"/>
      <c r="AC28" s="76"/>
      <c r="AD28" s="109" t="s">
        <v>28</v>
      </c>
      <c r="AE28" s="105">
        <v>1</v>
      </c>
      <c r="AF28" s="104">
        <v>7</v>
      </c>
      <c r="AG28" s="104">
        <v>6</v>
      </c>
      <c r="AH28" s="104">
        <v>6</v>
      </c>
      <c r="AI28" s="104" t="s">
        <v>168</v>
      </c>
      <c r="AJ28" s="104">
        <v>12</v>
      </c>
      <c r="AK28" s="104">
        <v>11</v>
      </c>
      <c r="AL28" s="104">
        <v>11</v>
      </c>
      <c r="AM28" s="104" t="s">
        <v>168</v>
      </c>
      <c r="AN28" s="104">
        <v>0</v>
      </c>
      <c r="AO28" s="104" t="s">
        <v>169</v>
      </c>
      <c r="AP28" s="104" t="s">
        <v>169</v>
      </c>
      <c r="AQ28" s="104" t="s">
        <v>169</v>
      </c>
      <c r="AR28" s="104">
        <v>19</v>
      </c>
      <c r="AS28" s="18"/>
      <c r="AT28" s="24">
        <v>0</v>
      </c>
      <c r="AU28" s="24">
        <v>0</v>
      </c>
      <c r="AV28" s="24">
        <v>0</v>
      </c>
      <c r="AW28" s="24">
        <v>0</v>
      </c>
      <c r="AX28" s="24">
        <v>0</v>
      </c>
      <c r="AY28" s="24">
        <v>0</v>
      </c>
      <c r="AZ28" s="18"/>
    </row>
    <row r="29" spans="1:52" x14ac:dyDescent="0.25">
      <c r="A29" s="90" t="s">
        <v>139</v>
      </c>
      <c r="B29" s="90">
        <v>8</v>
      </c>
      <c r="C29" s="125" t="s">
        <v>319</v>
      </c>
      <c r="D29" s="115" t="s">
        <v>320</v>
      </c>
      <c r="E29" s="115" t="s">
        <v>144</v>
      </c>
      <c r="F29" s="115" t="s">
        <v>146</v>
      </c>
      <c r="G29" s="115" t="s">
        <v>321</v>
      </c>
      <c r="H29" s="115" t="s">
        <v>322</v>
      </c>
      <c r="I29" s="90" t="s">
        <v>103</v>
      </c>
      <c r="J29" s="64">
        <v>42792</v>
      </c>
      <c r="K29" s="90" t="s">
        <v>323</v>
      </c>
      <c r="L29" s="90" t="s">
        <v>106</v>
      </c>
      <c r="M29" s="115"/>
      <c r="N29" s="115"/>
      <c r="O29" s="122"/>
      <c r="P29" s="115"/>
      <c r="Q29" s="122"/>
      <c r="R29" s="115" t="s">
        <v>110</v>
      </c>
      <c r="S29" s="115"/>
      <c r="T29" s="115"/>
      <c r="U29" s="115"/>
      <c r="V29" s="120" t="s">
        <v>169</v>
      </c>
      <c r="W29" s="120" t="s">
        <v>169</v>
      </c>
      <c r="X29" s="115"/>
      <c r="Y29" s="118"/>
      <c r="Z29" s="115"/>
      <c r="AA29" s="64"/>
      <c r="AB29" s="123"/>
      <c r="AC29" s="76"/>
      <c r="AD29" s="109" t="s">
        <v>171</v>
      </c>
      <c r="AE29" s="105"/>
      <c r="AF29" s="104"/>
      <c r="AG29" s="104"/>
      <c r="AH29" s="104"/>
      <c r="AI29" s="104"/>
      <c r="AJ29" s="104"/>
      <c r="AK29" s="104"/>
      <c r="AL29" s="104"/>
      <c r="AM29" s="104"/>
      <c r="AN29" s="104"/>
      <c r="AO29" s="104"/>
      <c r="AP29" s="104"/>
      <c r="AQ29" s="104"/>
      <c r="AR29" s="104"/>
      <c r="AS29" s="18"/>
      <c r="AT29" s="24">
        <v>0</v>
      </c>
      <c r="AU29" s="24">
        <v>0</v>
      </c>
      <c r="AV29" s="24">
        <v>0</v>
      </c>
      <c r="AW29" s="24">
        <v>0</v>
      </c>
      <c r="AX29" s="24">
        <v>0</v>
      </c>
      <c r="AY29" s="24">
        <v>0</v>
      </c>
      <c r="AZ29" s="18"/>
    </row>
    <row r="30" spans="1:52" x14ac:dyDescent="0.25">
      <c r="A30" s="90" t="s">
        <v>139</v>
      </c>
      <c r="B30" s="90">
        <v>8</v>
      </c>
      <c r="C30" s="125" t="s">
        <v>319</v>
      </c>
      <c r="D30" s="115" t="s">
        <v>324</v>
      </c>
      <c r="E30" s="115" t="s">
        <v>144</v>
      </c>
      <c r="F30" s="115" t="s">
        <v>146</v>
      </c>
      <c r="G30" s="115" t="s">
        <v>325</v>
      </c>
      <c r="H30" s="115" t="s">
        <v>326</v>
      </c>
      <c r="I30" s="90" t="s">
        <v>104</v>
      </c>
      <c r="J30" s="64">
        <v>42797</v>
      </c>
      <c r="K30" s="90" t="s">
        <v>327</v>
      </c>
      <c r="L30" s="90" t="s">
        <v>105</v>
      </c>
      <c r="M30" s="115"/>
      <c r="N30" s="115"/>
      <c r="O30" s="122"/>
      <c r="P30" s="115"/>
      <c r="Q30" s="122"/>
      <c r="R30" s="115"/>
      <c r="S30" s="115"/>
      <c r="T30" s="115"/>
      <c r="U30" s="115"/>
      <c r="V30" s="120" t="s">
        <v>169</v>
      </c>
      <c r="W30" s="120" t="s">
        <v>169</v>
      </c>
      <c r="X30" s="115"/>
      <c r="Y30" s="118"/>
      <c r="Z30" s="115"/>
      <c r="AA30" s="64"/>
      <c r="AB30" s="123"/>
      <c r="AC30" s="76"/>
      <c r="AD30" s="109" t="s">
        <v>171</v>
      </c>
      <c r="AE30" s="105">
        <v>1</v>
      </c>
      <c r="AF30" s="104">
        <v>10</v>
      </c>
      <c r="AG30" s="104">
        <v>9</v>
      </c>
      <c r="AH30" s="104">
        <v>9</v>
      </c>
      <c r="AI30" s="104" t="s">
        <v>168</v>
      </c>
      <c r="AJ30" s="104">
        <v>12</v>
      </c>
      <c r="AK30" s="104">
        <v>12</v>
      </c>
      <c r="AL30" s="104">
        <v>12</v>
      </c>
      <c r="AM30" s="104" t="s">
        <v>172</v>
      </c>
      <c r="AN30" s="104">
        <v>0</v>
      </c>
      <c r="AO30" s="104" t="s">
        <v>169</v>
      </c>
      <c r="AP30" s="104" t="s">
        <v>169</v>
      </c>
      <c r="AQ30" s="104" t="s">
        <v>169</v>
      </c>
      <c r="AR30" s="104">
        <v>22</v>
      </c>
      <c r="AS30" s="18"/>
      <c r="AT30" s="24">
        <v>0</v>
      </c>
      <c r="AU30" s="24">
        <v>0</v>
      </c>
      <c r="AV30" s="24">
        <v>1</v>
      </c>
      <c r="AW30" s="24">
        <v>0</v>
      </c>
      <c r="AX30" s="24">
        <v>0</v>
      </c>
      <c r="AY30" s="24">
        <v>0</v>
      </c>
      <c r="AZ30" s="18"/>
    </row>
    <row r="31" spans="1:52" x14ac:dyDescent="0.25">
      <c r="A31" s="90" t="s">
        <v>139</v>
      </c>
      <c r="B31" s="90">
        <v>8</v>
      </c>
      <c r="C31" s="125">
        <v>4274</v>
      </c>
      <c r="D31" s="115" t="s">
        <v>328</v>
      </c>
      <c r="E31" s="115" t="s">
        <v>143</v>
      </c>
      <c r="F31" s="115" t="s">
        <v>146</v>
      </c>
      <c r="G31" s="115" t="s">
        <v>329</v>
      </c>
      <c r="H31" s="115" t="s">
        <v>330</v>
      </c>
      <c r="I31" s="90" t="s">
        <v>103</v>
      </c>
      <c r="J31" s="64">
        <v>42797</v>
      </c>
      <c r="K31" s="90" t="s">
        <v>323</v>
      </c>
      <c r="L31" s="90" t="s">
        <v>106</v>
      </c>
      <c r="M31" s="115"/>
      <c r="N31" s="115"/>
      <c r="O31" s="122"/>
      <c r="P31" s="115"/>
      <c r="Q31" s="122"/>
      <c r="R31" s="115" t="s">
        <v>110</v>
      </c>
      <c r="S31" s="115"/>
      <c r="T31" s="115"/>
      <c r="U31" s="115"/>
      <c r="V31" s="120" t="s">
        <v>169</v>
      </c>
      <c r="W31" s="120" t="s">
        <v>169</v>
      </c>
      <c r="X31" s="115"/>
      <c r="Y31" s="118"/>
      <c r="Z31" s="115"/>
      <c r="AA31" s="64"/>
      <c r="AB31" s="123"/>
      <c r="AC31" s="76"/>
      <c r="AD31" s="109" t="s">
        <v>171</v>
      </c>
      <c r="AE31" s="105">
        <v>1</v>
      </c>
      <c r="AF31" s="104">
        <v>4</v>
      </c>
      <c r="AG31" s="104">
        <v>3</v>
      </c>
      <c r="AH31" s="104">
        <v>3</v>
      </c>
      <c r="AI31" s="104" t="s">
        <v>168</v>
      </c>
      <c r="AJ31" s="104">
        <v>0</v>
      </c>
      <c r="AK31" s="104">
        <v>-1</v>
      </c>
      <c r="AL31" s="104">
        <v>0</v>
      </c>
      <c r="AM31" s="104" t="s">
        <v>167</v>
      </c>
      <c r="AN31" s="104">
        <v>0</v>
      </c>
      <c r="AO31" s="104" t="e">
        <v>#VALUE!</v>
      </c>
      <c r="AP31" s="104" t="e">
        <v>#VALUE!</v>
      </c>
      <c r="AQ31" s="104" t="e">
        <v>#VALUE!</v>
      </c>
      <c r="AR31" s="104">
        <v>4</v>
      </c>
      <c r="AS31" s="18"/>
      <c r="AT31" s="24">
        <v>0</v>
      </c>
      <c r="AU31" s="24">
        <v>0</v>
      </c>
      <c r="AV31" s="24">
        <v>1</v>
      </c>
      <c r="AW31" s="24">
        <v>0</v>
      </c>
      <c r="AX31" s="24">
        <v>0</v>
      </c>
      <c r="AY31" s="24">
        <v>0</v>
      </c>
      <c r="AZ31" s="18"/>
    </row>
    <row r="32" spans="1:52" x14ac:dyDescent="0.25">
      <c r="A32" s="90" t="s">
        <v>139</v>
      </c>
      <c r="B32" s="90">
        <v>8</v>
      </c>
      <c r="C32" s="125">
        <v>3369</v>
      </c>
      <c r="D32" s="127" t="s">
        <v>253</v>
      </c>
      <c r="E32" s="115" t="s">
        <v>143</v>
      </c>
      <c r="F32" s="115" t="s">
        <v>146</v>
      </c>
      <c r="G32" s="115" t="s">
        <v>331</v>
      </c>
      <c r="H32" s="115" t="s">
        <v>332</v>
      </c>
      <c r="I32" s="90" t="s">
        <v>104</v>
      </c>
      <c r="J32" s="64">
        <v>42798</v>
      </c>
      <c r="K32" s="90" t="s">
        <v>333</v>
      </c>
      <c r="L32" s="90" t="s">
        <v>105</v>
      </c>
      <c r="M32" s="115"/>
      <c r="N32" s="115"/>
      <c r="O32" s="122"/>
      <c r="P32" s="115"/>
      <c r="Q32" s="122"/>
      <c r="R32" s="115" t="s">
        <v>110</v>
      </c>
      <c r="S32" s="115"/>
      <c r="T32" s="115"/>
      <c r="U32" s="115"/>
      <c r="V32" s="120" t="s">
        <v>169</v>
      </c>
      <c r="W32" s="120" t="s">
        <v>169</v>
      </c>
      <c r="X32" s="115"/>
      <c r="Y32" s="118"/>
      <c r="Z32" s="115"/>
      <c r="AA32" s="64"/>
      <c r="AB32" s="123"/>
      <c r="AC32" s="76"/>
      <c r="AD32" s="109" t="s">
        <v>28</v>
      </c>
      <c r="AE32" s="105">
        <v>1</v>
      </c>
      <c r="AF32" s="104">
        <v>7</v>
      </c>
      <c r="AG32" s="104">
        <v>6</v>
      </c>
      <c r="AH32" s="104">
        <v>6</v>
      </c>
      <c r="AI32" s="104" t="s">
        <v>168</v>
      </c>
      <c r="AJ32" s="104">
        <v>12</v>
      </c>
      <c r="AK32" s="104">
        <v>11</v>
      </c>
      <c r="AL32" s="104">
        <v>11</v>
      </c>
      <c r="AM32" s="104" t="s">
        <v>168</v>
      </c>
      <c r="AN32" s="104">
        <v>0</v>
      </c>
      <c r="AO32" s="104" t="s">
        <v>169</v>
      </c>
      <c r="AP32" s="104" t="s">
        <v>169</v>
      </c>
      <c r="AQ32" s="104" t="s">
        <v>169</v>
      </c>
      <c r="AR32" s="104">
        <v>19</v>
      </c>
      <c r="AS32" s="18"/>
      <c r="AT32" s="24">
        <v>0</v>
      </c>
      <c r="AU32" s="24">
        <v>0</v>
      </c>
      <c r="AV32" s="24">
        <v>0</v>
      </c>
      <c r="AW32" s="24">
        <v>1</v>
      </c>
      <c r="AX32" s="24">
        <v>0</v>
      </c>
      <c r="AY32" s="24">
        <v>0</v>
      </c>
      <c r="AZ32" s="18"/>
    </row>
    <row r="33" spans="1:52" ht="30" x14ac:dyDescent="0.25">
      <c r="A33" s="90" t="s">
        <v>139</v>
      </c>
      <c r="B33" s="90">
        <v>8</v>
      </c>
      <c r="C33" s="125" t="s">
        <v>334</v>
      </c>
      <c r="D33" s="115" t="s">
        <v>335</v>
      </c>
      <c r="E33" s="115" t="s">
        <v>143</v>
      </c>
      <c r="F33" s="115" t="s">
        <v>146</v>
      </c>
      <c r="G33" s="115" t="s">
        <v>336</v>
      </c>
      <c r="H33" s="116" t="s">
        <v>337</v>
      </c>
      <c r="I33" s="90" t="s">
        <v>104</v>
      </c>
      <c r="J33" s="64">
        <v>42798</v>
      </c>
      <c r="K33" s="126" t="s">
        <v>338</v>
      </c>
      <c r="L33" s="90" t="s">
        <v>105</v>
      </c>
      <c r="M33" s="115" t="s">
        <v>109</v>
      </c>
      <c r="N33" s="115"/>
      <c r="O33" s="122">
        <v>42800</v>
      </c>
      <c r="P33" s="115"/>
      <c r="Q33" s="122"/>
      <c r="R33" s="115" t="s">
        <v>110</v>
      </c>
      <c r="S33" s="115"/>
      <c r="T33" s="119"/>
      <c r="U33" s="115"/>
      <c r="V33" s="120" t="s">
        <v>169</v>
      </c>
      <c r="W33" s="120" t="s">
        <v>169</v>
      </c>
      <c r="X33" s="71"/>
      <c r="Y33" s="66"/>
      <c r="Z33" s="71"/>
      <c r="AA33" s="64"/>
      <c r="AB33" s="121"/>
      <c r="AC33" s="76"/>
      <c r="AD33" s="107" t="s">
        <v>171</v>
      </c>
      <c r="AE33" s="105">
        <v>1</v>
      </c>
      <c r="AF33" s="104">
        <v>7</v>
      </c>
      <c r="AG33" s="104">
        <v>6</v>
      </c>
      <c r="AH33" s="104">
        <v>6</v>
      </c>
      <c r="AI33" s="104" t="s">
        <v>168</v>
      </c>
      <c r="AJ33" s="104">
        <v>4</v>
      </c>
      <c r="AK33" s="104">
        <v>3</v>
      </c>
      <c r="AL33" s="104">
        <v>3</v>
      </c>
      <c r="AM33" s="104" t="s">
        <v>168</v>
      </c>
      <c r="AN33" s="104">
        <v>0</v>
      </c>
      <c r="AO33" s="104" t="s">
        <v>169</v>
      </c>
      <c r="AP33" s="104" t="s">
        <v>169</v>
      </c>
      <c r="AQ33" s="104" t="s">
        <v>169</v>
      </c>
      <c r="AR33" s="104">
        <v>11</v>
      </c>
      <c r="AS33" s="18"/>
      <c r="AT33" s="24"/>
      <c r="AU33" s="24"/>
      <c r="AV33" s="24"/>
      <c r="AW33" s="24"/>
      <c r="AX33" s="24"/>
      <c r="AY33" s="24"/>
      <c r="AZ33" s="18"/>
    </row>
    <row r="34" spans="1:52" ht="45" x14ac:dyDescent="0.25">
      <c r="A34" s="90" t="s">
        <v>139</v>
      </c>
      <c r="B34" s="90">
        <v>8</v>
      </c>
      <c r="C34" s="125" t="s">
        <v>339</v>
      </c>
      <c r="D34" s="115" t="s">
        <v>340</v>
      </c>
      <c r="E34" s="115" t="s">
        <v>144</v>
      </c>
      <c r="F34" s="115" t="s">
        <v>146</v>
      </c>
      <c r="G34" s="115"/>
      <c r="H34" s="116"/>
      <c r="I34" s="115" t="s">
        <v>104</v>
      </c>
      <c r="J34" s="64"/>
      <c r="K34" s="126" t="s">
        <v>341</v>
      </c>
      <c r="L34" s="115" t="s">
        <v>105</v>
      </c>
      <c r="M34" s="115"/>
      <c r="N34" s="115"/>
      <c r="O34" s="118"/>
      <c r="P34" s="115"/>
      <c r="Q34" s="122"/>
      <c r="R34" s="115" t="s">
        <v>110</v>
      </c>
      <c r="S34" s="115"/>
      <c r="T34" s="119"/>
      <c r="U34" s="115"/>
      <c r="V34" s="120" t="s">
        <v>169</v>
      </c>
      <c r="W34" s="120" t="s">
        <v>169</v>
      </c>
      <c r="X34" s="71"/>
      <c r="Y34" s="66"/>
      <c r="Z34" s="71"/>
      <c r="AA34" s="64"/>
      <c r="AB34" s="121"/>
      <c r="AC34" s="76"/>
      <c r="AD34" s="107" t="s">
        <v>171</v>
      </c>
      <c r="AE34" s="105">
        <v>1</v>
      </c>
      <c r="AF34" s="104">
        <v>1</v>
      </c>
      <c r="AG34" s="104">
        <v>0</v>
      </c>
      <c r="AH34" s="104">
        <v>0</v>
      </c>
      <c r="AI34" s="104" t="s">
        <v>167</v>
      </c>
      <c r="AJ34" s="104">
        <v>4</v>
      </c>
      <c r="AK34" s="104">
        <v>3</v>
      </c>
      <c r="AL34" s="104">
        <v>3</v>
      </c>
      <c r="AM34" s="104" t="s">
        <v>168</v>
      </c>
      <c r="AN34" s="104">
        <v>0</v>
      </c>
      <c r="AO34" s="104" t="s">
        <v>169</v>
      </c>
      <c r="AP34" s="104" t="s">
        <v>169</v>
      </c>
      <c r="AQ34" s="104" t="s">
        <v>169</v>
      </c>
      <c r="AR34" s="104">
        <v>5</v>
      </c>
      <c r="AS34" s="18"/>
      <c r="AT34" s="24"/>
      <c r="AU34" s="24"/>
      <c r="AV34" s="24"/>
      <c r="AW34" s="24"/>
      <c r="AX34" s="24"/>
      <c r="AY34" s="24"/>
      <c r="AZ34" s="18"/>
    </row>
    <row r="35" spans="1:52" ht="30" x14ac:dyDescent="0.25">
      <c r="A35" s="90" t="s">
        <v>139</v>
      </c>
      <c r="B35" s="90">
        <v>8</v>
      </c>
      <c r="C35" s="125" t="s">
        <v>268</v>
      </c>
      <c r="D35" s="115" t="s">
        <v>269</v>
      </c>
      <c r="E35" s="115" t="s">
        <v>141</v>
      </c>
      <c r="F35" s="115" t="s">
        <v>146</v>
      </c>
      <c r="G35" s="115" t="s">
        <v>342</v>
      </c>
      <c r="H35" s="116" t="s">
        <v>343</v>
      </c>
      <c r="I35" s="90" t="s">
        <v>104</v>
      </c>
      <c r="J35" s="64">
        <v>42805</v>
      </c>
      <c r="K35" s="128" t="s">
        <v>344</v>
      </c>
      <c r="L35" s="90" t="s">
        <v>105</v>
      </c>
      <c r="M35" s="115"/>
      <c r="N35" s="115"/>
      <c r="O35" s="122"/>
      <c r="P35" s="115"/>
      <c r="Q35" s="122"/>
      <c r="R35" s="115" t="s">
        <v>110</v>
      </c>
      <c r="S35" s="115"/>
      <c r="T35" s="119"/>
      <c r="U35" s="115"/>
      <c r="V35" s="120" t="s">
        <v>169</v>
      </c>
      <c r="W35" s="120" t="s">
        <v>169</v>
      </c>
      <c r="X35" s="71"/>
      <c r="Y35" s="66"/>
      <c r="Z35" s="71"/>
      <c r="AA35" s="64"/>
      <c r="AB35" s="129"/>
      <c r="AC35" s="76"/>
      <c r="AD35" s="109" t="s">
        <v>29</v>
      </c>
      <c r="AE35" s="105"/>
      <c r="AF35" s="104"/>
      <c r="AG35" s="104"/>
      <c r="AH35" s="104"/>
      <c r="AI35" s="104"/>
      <c r="AJ35" s="104"/>
      <c r="AK35" s="104"/>
      <c r="AL35" s="104"/>
      <c r="AM35" s="104"/>
      <c r="AN35" s="104"/>
      <c r="AO35" s="104"/>
      <c r="AP35" s="104"/>
      <c r="AQ35" s="104"/>
      <c r="AR35" s="104"/>
      <c r="AS35" s="18"/>
      <c r="AT35" s="24"/>
      <c r="AU35" s="24"/>
      <c r="AV35" s="24"/>
      <c r="AW35" s="24"/>
      <c r="AX35" s="24"/>
      <c r="AY35" s="24"/>
      <c r="AZ35" s="18"/>
    </row>
    <row r="36" spans="1:52" x14ac:dyDescent="0.25">
      <c r="A36" s="90" t="s">
        <v>139</v>
      </c>
      <c r="B36" s="90">
        <v>8</v>
      </c>
      <c r="C36" s="125" t="s">
        <v>178</v>
      </c>
      <c r="D36" s="115" t="s">
        <v>345</v>
      </c>
      <c r="E36" s="115" t="s">
        <v>143</v>
      </c>
      <c r="F36" s="115" t="s">
        <v>146</v>
      </c>
      <c r="G36" s="115" t="s">
        <v>179</v>
      </c>
      <c r="H36" s="116" t="s">
        <v>180</v>
      </c>
      <c r="I36" s="90" t="s">
        <v>104</v>
      </c>
      <c r="J36" s="64">
        <v>42752</v>
      </c>
      <c r="K36" s="126" t="s">
        <v>181</v>
      </c>
      <c r="L36" s="90" t="s">
        <v>105</v>
      </c>
      <c r="M36" s="115"/>
      <c r="N36" s="115"/>
      <c r="O36" s="122"/>
      <c r="P36" s="115"/>
      <c r="Q36" s="122"/>
      <c r="R36" s="115" t="s">
        <v>110</v>
      </c>
      <c r="S36" s="130"/>
      <c r="T36" s="131"/>
      <c r="U36" s="130"/>
      <c r="V36" s="120"/>
      <c r="W36" s="120"/>
      <c r="X36" s="125"/>
      <c r="Y36" s="64"/>
      <c r="Z36" s="71"/>
      <c r="AA36" s="64"/>
      <c r="AB36" s="132"/>
      <c r="AC36" s="64"/>
      <c r="AD36" s="107"/>
      <c r="AE36" s="25"/>
      <c r="AF36" s="17">
        <v>4</v>
      </c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8"/>
      <c r="AT36" s="24">
        <v>0</v>
      </c>
      <c r="AU36" s="24">
        <v>0</v>
      </c>
      <c r="AV36" s="24">
        <v>0</v>
      </c>
      <c r="AW36" s="24">
        <v>0</v>
      </c>
      <c r="AX36" s="24">
        <v>1</v>
      </c>
      <c r="AY36" s="24">
        <v>0</v>
      </c>
      <c r="AZ36" s="18"/>
    </row>
    <row r="37" spans="1:52" x14ac:dyDescent="0.25">
      <c r="A37" s="90" t="s">
        <v>139</v>
      </c>
      <c r="B37" s="90">
        <v>8</v>
      </c>
      <c r="C37" s="125" t="s">
        <v>182</v>
      </c>
      <c r="D37" s="115" t="s">
        <v>346</v>
      </c>
      <c r="E37" s="115" t="s">
        <v>143</v>
      </c>
      <c r="F37" s="115" t="s">
        <v>146</v>
      </c>
      <c r="G37" s="115" t="s">
        <v>183</v>
      </c>
      <c r="H37" s="116" t="s">
        <v>184</v>
      </c>
      <c r="I37" s="90" t="s">
        <v>104</v>
      </c>
      <c r="J37" s="64">
        <v>42754</v>
      </c>
      <c r="K37" s="126" t="s">
        <v>181</v>
      </c>
      <c r="L37" s="90" t="s">
        <v>105</v>
      </c>
      <c r="M37" s="115"/>
      <c r="N37" s="115"/>
      <c r="O37" s="122"/>
      <c r="P37" s="115"/>
      <c r="Q37" s="122"/>
      <c r="R37" s="115" t="s">
        <v>110</v>
      </c>
      <c r="S37" s="130"/>
      <c r="T37" s="131"/>
      <c r="U37" s="130"/>
      <c r="V37" s="120"/>
      <c r="W37" s="120"/>
      <c r="X37" s="125"/>
      <c r="Y37" s="64"/>
      <c r="Z37" s="71"/>
      <c r="AA37" s="64"/>
      <c r="AB37" s="132"/>
      <c r="AC37" s="64"/>
      <c r="AD37" s="107" t="s">
        <v>171</v>
      </c>
      <c r="AE37" s="25">
        <v>1</v>
      </c>
      <c r="AF37" s="17">
        <v>17</v>
      </c>
      <c r="AG37" s="17">
        <v>16</v>
      </c>
      <c r="AH37" s="17">
        <v>16</v>
      </c>
      <c r="AI37" s="17" t="s">
        <v>168</v>
      </c>
      <c r="AJ37" s="17">
        <v>12</v>
      </c>
      <c r="AK37" s="17">
        <v>11</v>
      </c>
      <c r="AL37" s="17">
        <v>11</v>
      </c>
      <c r="AM37" s="17" t="s">
        <v>168</v>
      </c>
      <c r="AN37" s="17">
        <v>0</v>
      </c>
      <c r="AO37" s="17" t="s">
        <v>169</v>
      </c>
      <c r="AP37" s="17" t="s">
        <v>169</v>
      </c>
      <c r="AQ37" s="17" t="s">
        <v>169</v>
      </c>
      <c r="AR37" s="17">
        <v>-42751</v>
      </c>
      <c r="AS37" s="18"/>
      <c r="AT37" s="24">
        <v>0</v>
      </c>
      <c r="AU37" s="24">
        <v>0</v>
      </c>
      <c r="AV37" s="24">
        <v>0</v>
      </c>
      <c r="AW37" s="24">
        <v>0</v>
      </c>
      <c r="AX37" s="24">
        <v>1</v>
      </c>
      <c r="AY37" s="24">
        <v>0</v>
      </c>
      <c r="AZ37" s="18"/>
    </row>
    <row r="38" spans="1:52" x14ac:dyDescent="0.25">
      <c r="A38" s="90" t="s">
        <v>139</v>
      </c>
      <c r="B38" s="90">
        <v>8</v>
      </c>
      <c r="C38" s="125">
        <v>5870</v>
      </c>
      <c r="D38" s="115" t="s">
        <v>347</v>
      </c>
      <c r="E38" s="115" t="s">
        <v>144</v>
      </c>
      <c r="F38" s="115" t="s">
        <v>146</v>
      </c>
      <c r="G38" s="115"/>
      <c r="H38" s="116" t="s">
        <v>185</v>
      </c>
      <c r="I38" s="90" t="s">
        <v>104</v>
      </c>
      <c r="J38" s="64">
        <v>42758</v>
      </c>
      <c r="K38" s="126" t="s">
        <v>186</v>
      </c>
      <c r="L38" s="90" t="s">
        <v>106</v>
      </c>
      <c r="M38" s="115" t="s">
        <v>107</v>
      </c>
      <c r="N38" s="115"/>
      <c r="O38" s="122">
        <v>42758</v>
      </c>
      <c r="P38" s="115"/>
      <c r="Q38" s="122"/>
      <c r="R38" s="115" t="s">
        <v>110</v>
      </c>
      <c r="S38" s="130"/>
      <c r="T38" s="131"/>
      <c r="U38" s="130"/>
      <c r="V38" s="120"/>
      <c r="W38" s="120"/>
      <c r="X38" s="125" t="s">
        <v>187</v>
      </c>
      <c r="Y38" s="64">
        <v>42758</v>
      </c>
      <c r="Z38" s="71" t="s">
        <v>115</v>
      </c>
      <c r="AA38" s="64"/>
      <c r="AB38" s="132"/>
      <c r="AC38" s="64"/>
      <c r="AD38" s="107" t="s">
        <v>29</v>
      </c>
      <c r="AE38" s="25">
        <v>1</v>
      </c>
      <c r="AF38" s="17">
        <v>5</v>
      </c>
      <c r="AG38" s="17">
        <v>4</v>
      </c>
      <c r="AH38" s="17">
        <v>4</v>
      </c>
      <c r="AI38" s="17" t="s">
        <v>168</v>
      </c>
      <c r="AJ38" s="17">
        <v>4</v>
      </c>
      <c r="AK38" s="17">
        <v>3</v>
      </c>
      <c r="AL38" s="17">
        <v>3</v>
      </c>
      <c r="AM38" s="17" t="s">
        <v>168</v>
      </c>
      <c r="AN38" s="17">
        <v>0</v>
      </c>
      <c r="AO38" s="17" t="s">
        <v>169</v>
      </c>
      <c r="AP38" s="17" t="s">
        <v>169</v>
      </c>
      <c r="AQ38" s="17" t="s">
        <v>169</v>
      </c>
      <c r="AR38" s="17">
        <v>9</v>
      </c>
      <c r="AS38" s="18"/>
      <c r="AT38" s="24"/>
      <c r="AU38" s="24"/>
      <c r="AV38" s="24"/>
      <c r="AW38" s="24"/>
      <c r="AX38" s="24"/>
      <c r="AY38" s="24"/>
      <c r="AZ38" s="18"/>
    </row>
    <row r="39" spans="1:52" x14ac:dyDescent="0.25">
      <c r="A39" s="90" t="s">
        <v>139</v>
      </c>
      <c r="B39" s="90">
        <v>8</v>
      </c>
      <c r="C39" s="125" t="s">
        <v>189</v>
      </c>
      <c r="D39" s="115" t="s">
        <v>348</v>
      </c>
      <c r="E39" s="115" t="s">
        <v>144</v>
      </c>
      <c r="F39" s="115" t="s">
        <v>146</v>
      </c>
      <c r="G39" s="90"/>
      <c r="H39" s="133" t="s">
        <v>69</v>
      </c>
      <c r="I39" s="90" t="s">
        <v>104</v>
      </c>
      <c r="J39" s="64">
        <v>42758</v>
      </c>
      <c r="K39" s="126" t="s">
        <v>186</v>
      </c>
      <c r="L39" s="90" t="s">
        <v>106</v>
      </c>
      <c r="M39" s="115" t="s">
        <v>107</v>
      </c>
      <c r="N39" s="115"/>
      <c r="O39" s="122">
        <v>42758</v>
      </c>
      <c r="P39" s="115"/>
      <c r="Q39" s="122"/>
      <c r="R39" s="115" t="s">
        <v>110</v>
      </c>
      <c r="S39" s="130"/>
      <c r="T39" s="131"/>
      <c r="U39" s="130"/>
      <c r="V39" s="120"/>
      <c r="W39" s="120"/>
      <c r="X39" s="125" t="s">
        <v>190</v>
      </c>
      <c r="Y39" s="64">
        <v>42758</v>
      </c>
      <c r="Z39" s="71" t="s">
        <v>115</v>
      </c>
      <c r="AA39" s="64"/>
      <c r="AB39" s="132"/>
      <c r="AC39" s="64"/>
      <c r="AD39" s="107" t="s">
        <v>171</v>
      </c>
      <c r="AE39" s="25">
        <v>1</v>
      </c>
      <c r="AF39" s="17">
        <v>17</v>
      </c>
      <c r="AG39" s="17">
        <v>16</v>
      </c>
      <c r="AH39" s="17">
        <v>16</v>
      </c>
      <c r="AI39" s="17" t="s">
        <v>168</v>
      </c>
      <c r="AJ39" s="17">
        <v>12</v>
      </c>
      <c r="AK39" s="17">
        <v>11</v>
      </c>
      <c r="AL39" s="17">
        <v>11</v>
      </c>
      <c r="AM39" s="17" t="s">
        <v>168</v>
      </c>
      <c r="AN39" s="17">
        <v>0</v>
      </c>
      <c r="AO39" s="17" t="s">
        <v>169</v>
      </c>
      <c r="AP39" s="17" t="s">
        <v>169</v>
      </c>
      <c r="AQ39" s="17" t="s">
        <v>169</v>
      </c>
      <c r="AR39" s="17">
        <v>-42751</v>
      </c>
      <c r="AS39" s="18"/>
      <c r="AT39" s="24">
        <v>0</v>
      </c>
      <c r="AU39" s="24">
        <v>0</v>
      </c>
      <c r="AV39" s="24">
        <v>0</v>
      </c>
      <c r="AW39" s="24">
        <v>0</v>
      </c>
      <c r="AX39" s="24">
        <v>0</v>
      </c>
      <c r="AY39" s="24">
        <v>0</v>
      </c>
      <c r="AZ39" s="18"/>
    </row>
    <row r="40" spans="1:52" x14ac:dyDescent="0.25">
      <c r="A40" s="90" t="s">
        <v>139</v>
      </c>
      <c r="B40" s="90">
        <v>8</v>
      </c>
      <c r="C40" s="125">
        <v>4271</v>
      </c>
      <c r="D40" s="115" t="s">
        <v>349</v>
      </c>
      <c r="E40" s="115" t="s">
        <v>143</v>
      </c>
      <c r="F40" s="115" t="s">
        <v>148</v>
      </c>
      <c r="G40" s="90"/>
      <c r="H40" s="133" t="s">
        <v>350</v>
      </c>
      <c r="I40" s="90" t="s">
        <v>104</v>
      </c>
      <c r="J40" s="64">
        <v>42803</v>
      </c>
      <c r="K40" s="126" t="s">
        <v>351</v>
      </c>
      <c r="L40" s="90" t="s">
        <v>106</v>
      </c>
      <c r="M40" s="115" t="s">
        <v>109</v>
      </c>
      <c r="N40" s="115"/>
      <c r="O40" s="122">
        <v>42807</v>
      </c>
      <c r="P40" s="115"/>
      <c r="Q40" s="122"/>
      <c r="R40" s="115"/>
      <c r="S40" s="130"/>
      <c r="T40" s="131"/>
      <c r="U40" s="130"/>
      <c r="V40" s="120" t="s">
        <v>169</v>
      </c>
      <c r="W40" s="120" t="s">
        <v>169</v>
      </c>
      <c r="X40" s="125" t="s">
        <v>352</v>
      </c>
      <c r="Y40" s="64">
        <v>42807</v>
      </c>
      <c r="Z40" s="71" t="s">
        <v>113</v>
      </c>
      <c r="AA40" s="64"/>
      <c r="AB40" s="132"/>
      <c r="AC40" s="64"/>
      <c r="AD40" s="107" t="s">
        <v>29</v>
      </c>
      <c r="AE40" s="25">
        <v>1</v>
      </c>
      <c r="AF40" s="17">
        <v>5</v>
      </c>
      <c r="AG40" s="17">
        <v>4</v>
      </c>
      <c r="AH40" s="17">
        <v>4</v>
      </c>
      <c r="AI40" s="17" t="s">
        <v>168</v>
      </c>
      <c r="AJ40" s="17">
        <v>4</v>
      </c>
      <c r="AK40" s="17">
        <v>3</v>
      </c>
      <c r="AL40" s="17">
        <v>3</v>
      </c>
      <c r="AM40" s="17" t="s">
        <v>168</v>
      </c>
      <c r="AN40" s="17">
        <v>0</v>
      </c>
      <c r="AO40" s="17" t="s">
        <v>169</v>
      </c>
      <c r="AP40" s="17" t="s">
        <v>169</v>
      </c>
      <c r="AQ40" s="17" t="s">
        <v>169</v>
      </c>
      <c r="AR40" s="17">
        <v>-42771</v>
      </c>
      <c r="AS40" s="18"/>
      <c r="AT40" s="24">
        <v>0</v>
      </c>
      <c r="AU40" s="24">
        <v>0</v>
      </c>
      <c r="AV40" s="24">
        <v>0</v>
      </c>
      <c r="AW40" s="24">
        <v>0</v>
      </c>
      <c r="AX40" s="24">
        <v>0</v>
      </c>
      <c r="AY40" s="24">
        <v>0</v>
      </c>
      <c r="AZ40" s="18"/>
    </row>
    <row r="41" spans="1:52" x14ac:dyDescent="0.25">
      <c r="A41" s="90" t="s">
        <v>139</v>
      </c>
      <c r="B41" s="90">
        <v>8</v>
      </c>
      <c r="C41" s="125" t="s">
        <v>353</v>
      </c>
      <c r="D41" s="115" t="s">
        <v>354</v>
      </c>
      <c r="E41" s="115" t="s">
        <v>143</v>
      </c>
      <c r="F41" s="115" t="s">
        <v>148</v>
      </c>
      <c r="G41" s="90"/>
      <c r="H41" s="133" t="s">
        <v>355</v>
      </c>
      <c r="I41" s="90" t="s">
        <v>104</v>
      </c>
      <c r="J41" s="64">
        <v>42797</v>
      </c>
      <c r="K41" s="126" t="s">
        <v>186</v>
      </c>
      <c r="L41" s="90" t="s">
        <v>106</v>
      </c>
      <c r="M41" s="115" t="s">
        <v>109</v>
      </c>
      <c r="N41" s="115"/>
      <c r="O41" s="122">
        <v>42797</v>
      </c>
      <c r="P41" s="115"/>
      <c r="Q41" s="122"/>
      <c r="R41" s="115"/>
      <c r="S41" s="130"/>
      <c r="T41" s="131"/>
      <c r="U41" s="130"/>
      <c r="V41" s="120" t="s">
        <v>169</v>
      </c>
      <c r="W41" s="120" t="s">
        <v>169</v>
      </c>
      <c r="X41" s="125" t="s">
        <v>356</v>
      </c>
      <c r="Y41" s="64">
        <v>42797</v>
      </c>
      <c r="Z41" s="71" t="s">
        <v>115</v>
      </c>
      <c r="AA41" s="64"/>
      <c r="AB41" s="132"/>
      <c r="AC41" s="64"/>
      <c r="AD41" s="107" t="s">
        <v>171</v>
      </c>
      <c r="AE41" s="25">
        <v>1</v>
      </c>
      <c r="AF41" s="17">
        <v>16</v>
      </c>
      <c r="AG41" s="17">
        <v>15</v>
      </c>
      <c r="AH41" s="17">
        <v>15</v>
      </c>
      <c r="AI41" s="17" t="s">
        <v>168</v>
      </c>
      <c r="AJ41" s="17" t="s">
        <v>169</v>
      </c>
      <c r="AK41" s="17" t="s">
        <v>169</v>
      </c>
      <c r="AL41" s="17" t="s">
        <v>169</v>
      </c>
      <c r="AM41" s="17" t="s">
        <v>169</v>
      </c>
      <c r="AN41" s="17">
        <v>0</v>
      </c>
      <c r="AO41" s="17" t="s">
        <v>169</v>
      </c>
      <c r="AP41" s="17" t="s">
        <v>169</v>
      </c>
      <c r="AQ41" s="17" t="s">
        <v>169</v>
      </c>
      <c r="AR41" s="17">
        <v>16</v>
      </c>
      <c r="AS41" s="18"/>
      <c r="AT41" s="24">
        <v>0</v>
      </c>
      <c r="AU41" s="24">
        <v>0</v>
      </c>
      <c r="AV41" s="24">
        <v>0</v>
      </c>
      <c r="AW41" s="24">
        <v>0</v>
      </c>
      <c r="AX41" s="24">
        <v>0</v>
      </c>
      <c r="AY41" s="24">
        <v>0</v>
      </c>
      <c r="AZ41" s="18"/>
    </row>
    <row r="42" spans="1:52" x14ac:dyDescent="0.25">
      <c r="A42" s="90" t="s">
        <v>139</v>
      </c>
      <c r="B42" s="90">
        <v>8</v>
      </c>
      <c r="C42" s="125" t="s">
        <v>357</v>
      </c>
      <c r="D42" s="115" t="s">
        <v>358</v>
      </c>
      <c r="E42" s="115" t="s">
        <v>143</v>
      </c>
      <c r="F42" s="115" t="s">
        <v>148</v>
      </c>
      <c r="G42" s="90"/>
      <c r="H42" s="133" t="s">
        <v>359</v>
      </c>
      <c r="I42" s="90" t="s">
        <v>104</v>
      </c>
      <c r="J42" s="64">
        <v>42795</v>
      </c>
      <c r="K42" s="126" t="s">
        <v>360</v>
      </c>
      <c r="L42" s="90" t="s">
        <v>106</v>
      </c>
      <c r="M42" s="115" t="s">
        <v>109</v>
      </c>
      <c r="N42" s="115"/>
      <c r="O42" s="122">
        <v>42795</v>
      </c>
      <c r="P42" s="115"/>
      <c r="Q42" s="122"/>
      <c r="R42" s="115" t="s">
        <v>110</v>
      </c>
      <c r="S42" s="130" t="s">
        <v>361</v>
      </c>
      <c r="T42" s="131" t="s">
        <v>362</v>
      </c>
      <c r="U42" s="130"/>
      <c r="V42" s="120" t="s">
        <v>169</v>
      </c>
      <c r="W42" s="120" t="s">
        <v>169</v>
      </c>
      <c r="X42" s="125" t="s">
        <v>363</v>
      </c>
      <c r="Y42" s="64">
        <v>42797</v>
      </c>
      <c r="Z42" s="71" t="s">
        <v>115</v>
      </c>
      <c r="AA42" s="64"/>
      <c r="AB42" s="132"/>
      <c r="AC42" s="64"/>
      <c r="AD42" s="107" t="s">
        <v>29</v>
      </c>
      <c r="AE42" s="25">
        <v>1</v>
      </c>
      <c r="AF42" s="17">
        <v>5</v>
      </c>
      <c r="AG42" s="17">
        <v>4</v>
      </c>
      <c r="AH42" s="17">
        <v>4</v>
      </c>
      <c r="AI42" s="17" t="s">
        <v>168</v>
      </c>
      <c r="AJ42" s="17">
        <v>4</v>
      </c>
      <c r="AK42" s="17">
        <v>3</v>
      </c>
      <c r="AL42" s="17">
        <v>3</v>
      </c>
      <c r="AM42" s="17" t="s">
        <v>168</v>
      </c>
      <c r="AN42" s="17">
        <v>0</v>
      </c>
      <c r="AO42" s="17" t="s">
        <v>169</v>
      </c>
      <c r="AP42" s="17" t="s">
        <v>169</v>
      </c>
      <c r="AQ42" s="17" t="s">
        <v>169</v>
      </c>
      <c r="AR42" s="17">
        <v>9</v>
      </c>
      <c r="AS42" s="18"/>
      <c r="AT42" s="24">
        <v>0</v>
      </c>
      <c r="AU42" s="24">
        <v>0</v>
      </c>
      <c r="AV42" s="24">
        <v>0</v>
      </c>
      <c r="AW42" s="24">
        <v>0</v>
      </c>
      <c r="AX42" s="24">
        <v>0</v>
      </c>
      <c r="AY42" s="24">
        <v>0</v>
      </c>
      <c r="AZ42" s="18"/>
    </row>
    <row r="43" spans="1:52" x14ac:dyDescent="0.25">
      <c r="A43" s="90" t="s">
        <v>139</v>
      </c>
      <c r="B43" s="90">
        <v>8</v>
      </c>
      <c r="C43" s="125">
        <v>4266</v>
      </c>
      <c r="D43" s="115" t="s">
        <v>364</v>
      </c>
      <c r="E43" s="115" t="s">
        <v>144</v>
      </c>
      <c r="F43" s="115" t="s">
        <v>146</v>
      </c>
      <c r="G43" s="90" t="s">
        <v>365</v>
      </c>
      <c r="H43" s="133" t="s">
        <v>157</v>
      </c>
      <c r="I43" s="90" t="s">
        <v>104</v>
      </c>
      <c r="J43" s="64">
        <v>42783</v>
      </c>
      <c r="K43" s="126" t="s">
        <v>366</v>
      </c>
      <c r="L43" s="90" t="s">
        <v>106</v>
      </c>
      <c r="M43" s="115" t="s">
        <v>107</v>
      </c>
      <c r="N43" s="115"/>
      <c r="O43" s="122"/>
      <c r="P43" s="115"/>
      <c r="Q43" s="122"/>
      <c r="R43" s="115" t="s">
        <v>110</v>
      </c>
      <c r="S43" s="130"/>
      <c r="T43" s="131"/>
      <c r="U43" s="130"/>
      <c r="V43" s="120" t="s">
        <v>169</v>
      </c>
      <c r="W43" s="120"/>
      <c r="X43" s="125"/>
      <c r="Y43" s="64"/>
      <c r="Z43" s="71"/>
      <c r="AA43" s="64"/>
      <c r="AB43" s="132"/>
      <c r="AC43" s="64"/>
      <c r="AD43" s="107" t="s">
        <v>171</v>
      </c>
      <c r="AE43" s="25">
        <v>1</v>
      </c>
      <c r="AF43" s="17">
        <v>15</v>
      </c>
      <c r="AG43" s="17">
        <v>14</v>
      </c>
      <c r="AH43" s="17">
        <v>14</v>
      </c>
      <c r="AI43" s="17" t="s">
        <v>168</v>
      </c>
      <c r="AJ43" s="17">
        <v>12</v>
      </c>
      <c r="AK43" s="17">
        <v>11</v>
      </c>
      <c r="AL43" s="17">
        <v>11</v>
      </c>
      <c r="AM43" s="17" t="s">
        <v>168</v>
      </c>
      <c r="AN43" s="17">
        <v>0</v>
      </c>
      <c r="AO43" s="17" t="s">
        <v>169</v>
      </c>
      <c r="AP43" s="17" t="s">
        <v>169</v>
      </c>
      <c r="AQ43" s="17" t="s">
        <v>169</v>
      </c>
      <c r="AR43" s="17">
        <v>-42753</v>
      </c>
      <c r="AS43" s="18"/>
      <c r="AT43" s="24">
        <v>0</v>
      </c>
      <c r="AU43" s="24">
        <v>0</v>
      </c>
      <c r="AV43" s="24">
        <v>1</v>
      </c>
      <c r="AW43" s="24">
        <v>0</v>
      </c>
      <c r="AX43" s="24">
        <v>0</v>
      </c>
      <c r="AY43" s="24">
        <v>0</v>
      </c>
      <c r="AZ43" s="18"/>
    </row>
    <row r="44" spans="1:52" x14ac:dyDescent="0.25">
      <c r="A44" s="90" t="s">
        <v>139</v>
      </c>
      <c r="B44" s="90">
        <v>8</v>
      </c>
      <c r="C44" s="125">
        <v>5882</v>
      </c>
      <c r="D44" s="115" t="s">
        <v>257</v>
      </c>
      <c r="E44" s="115" t="s">
        <v>141</v>
      </c>
      <c r="F44" s="115" t="s">
        <v>146</v>
      </c>
      <c r="G44" s="90" t="s">
        <v>367</v>
      </c>
      <c r="H44" s="90" t="s">
        <v>237</v>
      </c>
      <c r="I44" s="90" t="s">
        <v>103</v>
      </c>
      <c r="J44" s="64">
        <v>42787</v>
      </c>
      <c r="K44" s="90" t="s">
        <v>366</v>
      </c>
      <c r="L44" s="90" t="s">
        <v>106</v>
      </c>
      <c r="M44" s="115" t="s">
        <v>107</v>
      </c>
      <c r="N44" s="115"/>
      <c r="O44" s="122"/>
      <c r="P44" s="115"/>
      <c r="Q44" s="122"/>
      <c r="R44" s="115" t="s">
        <v>110</v>
      </c>
      <c r="S44" s="130"/>
      <c r="T44" s="130"/>
      <c r="U44" s="130"/>
      <c r="V44" s="120" t="s">
        <v>169</v>
      </c>
      <c r="W44" s="120"/>
      <c r="X44" s="90"/>
      <c r="Y44" s="122"/>
      <c r="Z44" s="115"/>
      <c r="AA44" s="64"/>
      <c r="AB44" s="90"/>
      <c r="AC44" s="64"/>
      <c r="AD44" s="109" t="s">
        <v>171</v>
      </c>
      <c r="AE44" s="25">
        <v>1</v>
      </c>
      <c r="AF44" s="17">
        <v>14</v>
      </c>
      <c r="AG44" s="17">
        <v>13</v>
      </c>
      <c r="AH44" s="17">
        <v>13</v>
      </c>
      <c r="AI44" s="17" t="s">
        <v>168</v>
      </c>
      <c r="AJ44" s="17" t="s">
        <v>169</v>
      </c>
      <c r="AK44" s="17" t="s">
        <v>169</v>
      </c>
      <c r="AL44" s="17" t="s">
        <v>169</v>
      </c>
      <c r="AM44" s="17" t="s">
        <v>169</v>
      </c>
      <c r="AN44" s="17">
        <v>0</v>
      </c>
      <c r="AO44" s="17" t="s">
        <v>169</v>
      </c>
      <c r="AP44" s="17" t="s">
        <v>169</v>
      </c>
      <c r="AQ44" s="17" t="s">
        <v>169</v>
      </c>
      <c r="AR44" s="17">
        <v>-42766</v>
      </c>
      <c r="AS44" s="18"/>
      <c r="AT44" s="24">
        <v>0</v>
      </c>
      <c r="AU44" s="24">
        <v>0</v>
      </c>
      <c r="AV44" s="24">
        <v>0</v>
      </c>
      <c r="AW44" s="24">
        <v>0</v>
      </c>
      <c r="AX44" s="24">
        <v>0</v>
      </c>
      <c r="AY44" s="24">
        <v>0</v>
      </c>
      <c r="AZ44" s="18"/>
    </row>
    <row r="45" spans="1:52" x14ac:dyDescent="0.25">
      <c r="A45" s="90" t="s">
        <v>139</v>
      </c>
      <c r="B45" s="90">
        <v>8</v>
      </c>
      <c r="C45" s="125">
        <v>4362</v>
      </c>
      <c r="D45" s="115" t="s">
        <v>255</v>
      </c>
      <c r="E45" s="115" t="s">
        <v>144</v>
      </c>
      <c r="F45" s="115" t="s">
        <v>146</v>
      </c>
      <c r="G45" s="90" t="s">
        <v>368</v>
      </c>
      <c r="H45" s="90" t="s">
        <v>177</v>
      </c>
      <c r="I45" s="90" t="s">
        <v>103</v>
      </c>
      <c r="J45" s="64">
        <v>42787</v>
      </c>
      <c r="K45" s="90" t="s">
        <v>369</v>
      </c>
      <c r="L45" s="90" t="s">
        <v>106</v>
      </c>
      <c r="M45" s="115" t="s">
        <v>108</v>
      </c>
      <c r="N45" s="115"/>
      <c r="O45" s="122">
        <v>42787</v>
      </c>
      <c r="P45" s="115"/>
      <c r="Q45" s="122"/>
      <c r="R45" s="115" t="s">
        <v>110</v>
      </c>
      <c r="S45" s="130" t="s">
        <v>370</v>
      </c>
      <c r="T45" s="130">
        <v>3743506</v>
      </c>
      <c r="U45" s="130" t="s">
        <v>44</v>
      </c>
      <c r="V45" s="120">
        <v>2</v>
      </c>
      <c r="W45" s="120" t="s">
        <v>72</v>
      </c>
      <c r="X45" s="90"/>
      <c r="Y45" s="122"/>
      <c r="Z45" s="115"/>
      <c r="AA45" s="64"/>
      <c r="AB45" s="90"/>
      <c r="AC45" s="64"/>
      <c r="AD45" s="109" t="s">
        <v>171</v>
      </c>
      <c r="AE45" s="25">
        <v>1</v>
      </c>
      <c r="AF45" s="17">
        <v>4</v>
      </c>
      <c r="AG45" s="17">
        <v>3</v>
      </c>
      <c r="AH45" s="17">
        <v>3</v>
      </c>
      <c r="AI45" s="17" t="s">
        <v>168</v>
      </c>
      <c r="AJ45" s="17" t="s">
        <v>169</v>
      </c>
      <c r="AK45" s="17" t="s">
        <v>169</v>
      </c>
      <c r="AL45" s="17" t="s">
        <v>169</v>
      </c>
      <c r="AM45" s="17" t="s">
        <v>169</v>
      </c>
      <c r="AN45" s="17">
        <v>0</v>
      </c>
      <c r="AO45" s="17" t="s">
        <v>169</v>
      </c>
      <c r="AP45" s="17" t="s">
        <v>169</v>
      </c>
      <c r="AQ45" s="17" t="s">
        <v>169</v>
      </c>
      <c r="AR45" s="17">
        <v>4</v>
      </c>
      <c r="AS45" s="18"/>
      <c r="AT45" s="24" t="e">
        <v>#VALUE!</v>
      </c>
      <c r="AU45" s="24" t="e">
        <v>#VALUE!</v>
      </c>
      <c r="AV45" s="24">
        <v>0</v>
      </c>
      <c r="AW45" s="24">
        <v>0</v>
      </c>
      <c r="AX45" s="24">
        <v>0</v>
      </c>
      <c r="AY45" s="24">
        <v>0</v>
      </c>
      <c r="AZ45" s="18"/>
    </row>
    <row r="46" spans="1:52" x14ac:dyDescent="0.25">
      <c r="A46" s="90" t="s">
        <v>139</v>
      </c>
      <c r="B46" s="90">
        <v>8</v>
      </c>
      <c r="C46" s="125">
        <v>3395</v>
      </c>
      <c r="D46" s="115" t="s">
        <v>371</v>
      </c>
      <c r="E46" s="115" t="s">
        <v>143</v>
      </c>
      <c r="F46" s="115" t="s">
        <v>146</v>
      </c>
      <c r="G46" s="90" t="s">
        <v>372</v>
      </c>
      <c r="H46" s="133" t="s">
        <v>237</v>
      </c>
      <c r="I46" s="90"/>
      <c r="J46" s="64">
        <v>42788</v>
      </c>
      <c r="K46" s="126" t="s">
        <v>373</v>
      </c>
      <c r="L46" s="90" t="s">
        <v>106</v>
      </c>
      <c r="M46" s="115" t="s">
        <v>107</v>
      </c>
      <c r="N46" s="115"/>
      <c r="O46" s="122"/>
      <c r="P46" s="115"/>
      <c r="Q46" s="122"/>
      <c r="R46" s="115" t="s">
        <v>110</v>
      </c>
      <c r="S46" s="130"/>
      <c r="T46" s="131"/>
      <c r="U46" s="130"/>
      <c r="V46" s="120" t="s">
        <v>169</v>
      </c>
      <c r="W46" s="120"/>
      <c r="X46" s="125"/>
      <c r="Y46" s="64"/>
      <c r="Z46" s="71"/>
      <c r="AA46" s="64"/>
      <c r="AB46" s="132"/>
      <c r="AC46" s="64"/>
      <c r="AD46" s="107" t="s">
        <v>171</v>
      </c>
      <c r="AE46" s="25">
        <v>1</v>
      </c>
      <c r="AF46" s="17">
        <v>25</v>
      </c>
      <c r="AG46" s="17">
        <v>24</v>
      </c>
      <c r="AH46" s="17">
        <v>24</v>
      </c>
      <c r="AI46" s="17" t="s">
        <v>168</v>
      </c>
      <c r="AJ46" s="17" t="s">
        <v>169</v>
      </c>
      <c r="AK46" s="17" t="s">
        <v>169</v>
      </c>
      <c r="AL46" s="17" t="s">
        <v>169</v>
      </c>
      <c r="AM46" s="17" t="s">
        <v>169</v>
      </c>
      <c r="AN46" s="17">
        <v>0</v>
      </c>
      <c r="AO46" s="17" t="s">
        <v>169</v>
      </c>
      <c r="AP46" s="17" t="s">
        <v>169</v>
      </c>
      <c r="AQ46" s="17" t="s">
        <v>169</v>
      </c>
      <c r="AR46" s="17">
        <v>-42755</v>
      </c>
      <c r="AS46" s="18"/>
      <c r="AT46" s="24">
        <v>0</v>
      </c>
      <c r="AU46" s="24">
        <v>0</v>
      </c>
      <c r="AV46" s="24">
        <v>0</v>
      </c>
      <c r="AW46" s="24">
        <v>0</v>
      </c>
      <c r="AX46" s="24">
        <v>0</v>
      </c>
      <c r="AY46" s="24">
        <v>0</v>
      </c>
      <c r="AZ46" s="18"/>
    </row>
    <row r="47" spans="1:52" x14ac:dyDescent="0.25">
      <c r="A47" s="90" t="s">
        <v>139</v>
      </c>
      <c r="B47" s="90">
        <v>8</v>
      </c>
      <c r="C47" s="125">
        <v>4201</v>
      </c>
      <c r="D47" s="115" t="s">
        <v>374</v>
      </c>
      <c r="E47" s="115" t="s">
        <v>141</v>
      </c>
      <c r="F47" s="115" t="s">
        <v>146</v>
      </c>
      <c r="G47" s="90" t="s">
        <v>375</v>
      </c>
      <c r="H47" s="133" t="s">
        <v>376</v>
      </c>
      <c r="I47" s="90" t="s">
        <v>104</v>
      </c>
      <c r="J47" s="64">
        <v>42790</v>
      </c>
      <c r="K47" s="126" t="s">
        <v>377</v>
      </c>
      <c r="L47" s="90" t="s">
        <v>106</v>
      </c>
      <c r="M47" s="115" t="s">
        <v>107</v>
      </c>
      <c r="N47" s="115"/>
      <c r="O47" s="122"/>
      <c r="P47" s="115"/>
      <c r="Q47" s="122"/>
      <c r="R47" s="115" t="s">
        <v>110</v>
      </c>
      <c r="S47" s="130"/>
      <c r="T47" s="131"/>
      <c r="U47" s="130"/>
      <c r="V47" s="120" t="s">
        <v>169</v>
      </c>
      <c r="W47" s="120"/>
      <c r="X47" s="125"/>
      <c r="Y47" s="64"/>
      <c r="Z47" s="71"/>
      <c r="AA47" s="64"/>
      <c r="AB47" s="132"/>
      <c r="AC47" s="64"/>
      <c r="AD47" s="107" t="s">
        <v>171</v>
      </c>
      <c r="AE47" s="25">
        <v>1</v>
      </c>
      <c r="AF47" s="17">
        <v>17</v>
      </c>
      <c r="AG47" s="17">
        <v>16</v>
      </c>
      <c r="AH47" s="17">
        <v>16</v>
      </c>
      <c r="AI47" s="17" t="s">
        <v>168</v>
      </c>
      <c r="AJ47" s="17" t="s">
        <v>169</v>
      </c>
      <c r="AK47" s="17" t="s">
        <v>169</v>
      </c>
      <c r="AL47" s="17" t="s">
        <v>169</v>
      </c>
      <c r="AM47" s="17" t="s">
        <v>169</v>
      </c>
      <c r="AN47" s="17">
        <v>0</v>
      </c>
      <c r="AO47" s="17" t="s">
        <v>169</v>
      </c>
      <c r="AP47" s="17" t="s">
        <v>169</v>
      </c>
      <c r="AQ47" s="17" t="s">
        <v>169</v>
      </c>
      <c r="AR47" s="17">
        <v>-42763</v>
      </c>
      <c r="AS47" s="18"/>
      <c r="AT47" s="24">
        <v>0</v>
      </c>
      <c r="AU47" s="24">
        <v>0</v>
      </c>
      <c r="AV47" s="24">
        <v>0</v>
      </c>
      <c r="AW47" s="24">
        <v>0</v>
      </c>
      <c r="AX47" s="24">
        <v>0</v>
      </c>
      <c r="AY47" s="24">
        <v>0</v>
      </c>
      <c r="AZ47" s="18"/>
    </row>
    <row r="48" spans="1:52" x14ac:dyDescent="0.25">
      <c r="A48" s="90" t="s">
        <v>139</v>
      </c>
      <c r="B48" s="90">
        <v>8</v>
      </c>
      <c r="C48" s="125" t="s">
        <v>378</v>
      </c>
      <c r="D48" s="115" t="s">
        <v>266</v>
      </c>
      <c r="E48" s="115" t="s">
        <v>144</v>
      </c>
      <c r="F48" s="115" t="s">
        <v>146</v>
      </c>
      <c r="G48" s="90" t="s">
        <v>379</v>
      </c>
      <c r="H48" s="90" t="s">
        <v>380</v>
      </c>
      <c r="I48" s="90" t="s">
        <v>104</v>
      </c>
      <c r="J48" s="64">
        <v>42790</v>
      </c>
      <c r="K48" s="90" t="s">
        <v>377</v>
      </c>
      <c r="L48" s="90" t="s">
        <v>106</v>
      </c>
      <c r="M48" s="115" t="s">
        <v>107</v>
      </c>
      <c r="N48" s="115"/>
      <c r="O48" s="122"/>
      <c r="P48" s="115"/>
      <c r="Q48" s="122"/>
      <c r="R48" s="115" t="s">
        <v>110</v>
      </c>
      <c r="S48" s="130"/>
      <c r="T48" s="130"/>
      <c r="U48" s="130"/>
      <c r="V48" s="120" t="s">
        <v>169</v>
      </c>
      <c r="W48" s="120"/>
      <c r="X48" s="125"/>
      <c r="Y48" s="64"/>
      <c r="Z48" s="71"/>
      <c r="AA48" s="64"/>
      <c r="AB48" s="90"/>
      <c r="AC48" s="64"/>
      <c r="AD48" s="110" t="s">
        <v>188</v>
      </c>
      <c r="AE48" s="25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8"/>
      <c r="AT48" s="24">
        <v>0</v>
      </c>
      <c r="AU48" s="24">
        <v>0</v>
      </c>
      <c r="AV48" s="24">
        <v>0</v>
      </c>
      <c r="AW48" s="24">
        <v>0</v>
      </c>
      <c r="AX48" s="24">
        <v>0</v>
      </c>
      <c r="AY48" s="24">
        <v>0</v>
      </c>
      <c r="AZ48" s="18"/>
    </row>
    <row r="49" spans="1:52" x14ac:dyDescent="0.25">
      <c r="A49" s="90" t="s">
        <v>139</v>
      </c>
      <c r="B49" s="90">
        <v>8</v>
      </c>
      <c r="C49" s="125">
        <v>832</v>
      </c>
      <c r="D49" s="115" t="s">
        <v>381</v>
      </c>
      <c r="E49" s="115" t="s">
        <v>141</v>
      </c>
      <c r="F49" s="115" t="s">
        <v>146</v>
      </c>
      <c r="G49" s="90" t="s">
        <v>382</v>
      </c>
      <c r="H49" s="90" t="s">
        <v>383</v>
      </c>
      <c r="I49" s="90" t="s">
        <v>104</v>
      </c>
      <c r="J49" s="64">
        <v>42790</v>
      </c>
      <c r="K49" s="90" t="s">
        <v>373</v>
      </c>
      <c r="L49" s="90" t="s">
        <v>106</v>
      </c>
      <c r="M49" s="115" t="s">
        <v>107</v>
      </c>
      <c r="N49" s="115"/>
      <c r="O49" s="122"/>
      <c r="P49" s="115"/>
      <c r="Q49" s="122"/>
      <c r="R49" s="115" t="s">
        <v>110</v>
      </c>
      <c r="S49" s="130"/>
      <c r="T49" s="130"/>
      <c r="U49" s="130"/>
      <c r="V49" s="120" t="s">
        <v>169</v>
      </c>
      <c r="W49" s="120"/>
      <c r="X49" s="90"/>
      <c r="Y49" s="122"/>
      <c r="Z49" s="115"/>
      <c r="AA49" s="64"/>
      <c r="AB49" s="90"/>
      <c r="AC49" s="64"/>
      <c r="AD49" s="109" t="s">
        <v>27</v>
      </c>
      <c r="AE49" s="25">
        <v>1</v>
      </c>
      <c r="AF49" s="17">
        <v>2</v>
      </c>
      <c r="AG49" s="17">
        <v>1</v>
      </c>
      <c r="AH49" s="17">
        <v>1</v>
      </c>
      <c r="AI49" s="17" t="s">
        <v>168</v>
      </c>
      <c r="AJ49" s="17" t="s">
        <v>169</v>
      </c>
      <c r="AK49" s="17" t="s">
        <v>169</v>
      </c>
      <c r="AL49" s="17" t="s">
        <v>169</v>
      </c>
      <c r="AM49" s="17" t="s">
        <v>169</v>
      </c>
      <c r="AN49" s="17">
        <v>0</v>
      </c>
      <c r="AO49" s="17" t="s">
        <v>169</v>
      </c>
      <c r="AP49" s="17" t="s">
        <v>169</v>
      </c>
      <c r="AQ49" s="17" t="s">
        <v>169</v>
      </c>
      <c r="AR49" s="17">
        <v>2</v>
      </c>
      <c r="AS49" s="18"/>
      <c r="AT49" s="24">
        <v>0</v>
      </c>
      <c r="AU49" s="24">
        <v>0</v>
      </c>
      <c r="AV49" s="24">
        <v>1</v>
      </c>
      <c r="AW49" s="24">
        <v>0</v>
      </c>
      <c r="AX49" s="24">
        <v>0</v>
      </c>
      <c r="AY49" s="24">
        <v>0</v>
      </c>
      <c r="AZ49" s="18"/>
    </row>
    <row r="50" spans="1:52" x14ac:dyDescent="0.25">
      <c r="A50" s="90" t="s">
        <v>139</v>
      </c>
      <c r="B50" s="90">
        <v>8</v>
      </c>
      <c r="C50" s="125">
        <v>3345</v>
      </c>
      <c r="D50" s="115" t="s">
        <v>384</v>
      </c>
      <c r="E50" s="115" t="s">
        <v>144</v>
      </c>
      <c r="F50" s="115" t="s">
        <v>146</v>
      </c>
      <c r="G50" s="90" t="s">
        <v>385</v>
      </c>
      <c r="H50" s="133" t="s">
        <v>380</v>
      </c>
      <c r="I50" s="90" t="s">
        <v>104</v>
      </c>
      <c r="J50" s="64">
        <v>42792</v>
      </c>
      <c r="K50" s="128" t="s">
        <v>386</v>
      </c>
      <c r="L50" s="90" t="s">
        <v>106</v>
      </c>
      <c r="M50" s="115" t="s">
        <v>107</v>
      </c>
      <c r="N50" s="115"/>
      <c r="O50" s="122"/>
      <c r="P50" s="115"/>
      <c r="Q50" s="122"/>
      <c r="R50" s="115" t="s">
        <v>110</v>
      </c>
      <c r="S50" s="130"/>
      <c r="T50" s="131"/>
      <c r="U50" s="130"/>
      <c r="V50" s="120" t="s">
        <v>169</v>
      </c>
      <c r="W50" s="120"/>
      <c r="X50" s="125"/>
      <c r="Y50" s="64"/>
      <c r="Z50" s="71"/>
      <c r="AA50" s="64"/>
      <c r="AB50" s="132"/>
      <c r="AC50" s="64"/>
      <c r="AD50" s="107" t="s">
        <v>171</v>
      </c>
      <c r="AE50" s="25">
        <v>1</v>
      </c>
      <c r="AF50" s="17">
        <v>0</v>
      </c>
      <c r="AG50" s="17">
        <v>-1</v>
      </c>
      <c r="AH50" s="17">
        <v>0</v>
      </c>
      <c r="AI50" s="17" t="s">
        <v>167</v>
      </c>
      <c r="AJ50" s="17">
        <v>22</v>
      </c>
      <c r="AK50" s="17">
        <v>21</v>
      </c>
      <c r="AL50" s="17">
        <v>21</v>
      </c>
      <c r="AM50" s="17" t="s">
        <v>168</v>
      </c>
      <c r="AN50" s="17">
        <v>0</v>
      </c>
      <c r="AO50" s="17" t="s">
        <v>169</v>
      </c>
      <c r="AP50" s="17" t="s">
        <v>169</v>
      </c>
      <c r="AQ50" s="17" t="s">
        <v>169</v>
      </c>
      <c r="AR50" s="17">
        <v>22</v>
      </c>
      <c r="AS50" s="18"/>
      <c r="AT50" s="24">
        <v>0</v>
      </c>
      <c r="AU50" s="24">
        <v>0</v>
      </c>
      <c r="AV50" s="24">
        <v>1</v>
      </c>
      <c r="AW50" s="24">
        <v>0</v>
      </c>
      <c r="AX50" s="24">
        <v>0</v>
      </c>
      <c r="AY50" s="24">
        <v>0</v>
      </c>
      <c r="AZ50" s="18"/>
    </row>
    <row r="51" spans="1:52" x14ac:dyDescent="0.25">
      <c r="A51" s="90" t="s">
        <v>139</v>
      </c>
      <c r="B51" s="90">
        <v>8</v>
      </c>
      <c r="C51" s="125">
        <v>3344</v>
      </c>
      <c r="D51" s="115" t="s">
        <v>252</v>
      </c>
      <c r="E51" s="115" t="s">
        <v>143</v>
      </c>
      <c r="F51" s="115" t="s">
        <v>146</v>
      </c>
      <c r="G51" s="90" t="s">
        <v>387</v>
      </c>
      <c r="H51" s="90" t="s">
        <v>380</v>
      </c>
      <c r="I51" s="90" t="s">
        <v>104</v>
      </c>
      <c r="J51" s="64">
        <v>42792</v>
      </c>
      <c r="K51" s="90" t="s">
        <v>386</v>
      </c>
      <c r="L51" s="90" t="s">
        <v>106</v>
      </c>
      <c r="M51" s="115" t="s">
        <v>107</v>
      </c>
      <c r="N51" s="115"/>
      <c r="O51" s="122"/>
      <c r="P51" s="115"/>
      <c r="Q51" s="122"/>
      <c r="R51" s="115" t="s">
        <v>110</v>
      </c>
      <c r="S51" s="130"/>
      <c r="T51" s="130"/>
      <c r="U51" s="130"/>
      <c r="V51" s="120" t="s">
        <v>169</v>
      </c>
      <c r="W51" s="120"/>
      <c r="X51" s="125"/>
      <c r="Y51" s="64"/>
      <c r="Z51" s="71"/>
      <c r="AA51" s="64"/>
      <c r="AB51" s="90"/>
      <c r="AC51" s="64"/>
      <c r="AD51" s="110"/>
      <c r="AE51" s="25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8"/>
      <c r="AT51" s="24">
        <v>0</v>
      </c>
      <c r="AU51" s="24">
        <v>0</v>
      </c>
      <c r="AV51" s="24">
        <v>1</v>
      </c>
      <c r="AW51" s="24">
        <v>0</v>
      </c>
      <c r="AX51" s="24">
        <v>0</v>
      </c>
      <c r="AY51" s="24">
        <v>0</v>
      </c>
      <c r="AZ51" s="18"/>
    </row>
    <row r="52" spans="1:52" x14ac:dyDescent="0.25">
      <c r="A52" s="90" t="s">
        <v>139</v>
      </c>
      <c r="B52" s="90">
        <v>8</v>
      </c>
      <c r="C52" s="125" t="s">
        <v>264</v>
      </c>
      <c r="D52" s="115" t="s">
        <v>265</v>
      </c>
      <c r="E52" s="115" t="s">
        <v>143</v>
      </c>
      <c r="F52" s="115" t="s">
        <v>146</v>
      </c>
      <c r="G52" s="90" t="s">
        <v>388</v>
      </c>
      <c r="H52" s="90" t="s">
        <v>389</v>
      </c>
      <c r="I52" s="90" t="s">
        <v>104</v>
      </c>
      <c r="J52" s="64">
        <v>42792</v>
      </c>
      <c r="K52" s="90" t="s">
        <v>390</v>
      </c>
      <c r="L52" s="90" t="s">
        <v>106</v>
      </c>
      <c r="M52" s="115" t="s">
        <v>107</v>
      </c>
      <c r="N52" s="115"/>
      <c r="O52" s="122"/>
      <c r="P52" s="115"/>
      <c r="Q52" s="122"/>
      <c r="R52" s="115" t="s">
        <v>110</v>
      </c>
      <c r="S52" s="130"/>
      <c r="T52" s="130"/>
      <c r="U52" s="130"/>
      <c r="V52" s="120" t="s">
        <v>169</v>
      </c>
      <c r="W52" s="120" t="s">
        <v>169</v>
      </c>
      <c r="X52" s="90"/>
      <c r="Y52" s="122"/>
      <c r="Z52" s="115"/>
      <c r="AA52" s="64"/>
      <c r="AB52" s="90"/>
      <c r="AC52" s="64"/>
      <c r="AD52" s="109" t="s">
        <v>171</v>
      </c>
      <c r="AE52" s="25">
        <v>1</v>
      </c>
      <c r="AF52" s="17">
        <v>6</v>
      </c>
      <c r="AG52" s="17">
        <v>5</v>
      </c>
      <c r="AH52" s="17">
        <v>5</v>
      </c>
      <c r="AI52" s="17" t="s">
        <v>168</v>
      </c>
      <c r="AJ52" s="17">
        <v>12</v>
      </c>
      <c r="AK52" s="17">
        <v>11</v>
      </c>
      <c r="AL52" s="17">
        <v>11</v>
      </c>
      <c r="AM52" s="17" t="s">
        <v>168</v>
      </c>
      <c r="AN52" s="17">
        <v>0</v>
      </c>
      <c r="AO52" s="17" t="s">
        <v>169</v>
      </c>
      <c r="AP52" s="17" t="s">
        <v>169</v>
      </c>
      <c r="AQ52" s="17" t="s">
        <v>169</v>
      </c>
      <c r="AR52" s="17">
        <v>18</v>
      </c>
      <c r="AS52" s="18"/>
      <c r="AT52" s="24">
        <v>0</v>
      </c>
      <c r="AU52" s="24">
        <v>0</v>
      </c>
      <c r="AV52" s="24">
        <v>1</v>
      </c>
      <c r="AW52" s="24">
        <v>0</v>
      </c>
      <c r="AX52" s="24">
        <v>0</v>
      </c>
      <c r="AY52" s="24">
        <v>0</v>
      </c>
      <c r="AZ52" s="18"/>
    </row>
    <row r="53" spans="1:52" x14ac:dyDescent="0.25">
      <c r="A53" s="90" t="s">
        <v>139</v>
      </c>
      <c r="B53" s="90">
        <v>8</v>
      </c>
      <c r="C53" s="125">
        <v>4266</v>
      </c>
      <c r="D53" s="115" t="s">
        <v>364</v>
      </c>
      <c r="E53" s="115" t="s">
        <v>141</v>
      </c>
      <c r="F53" s="115" t="s">
        <v>146</v>
      </c>
      <c r="G53" s="90" t="s">
        <v>391</v>
      </c>
      <c r="H53" s="90" t="s">
        <v>380</v>
      </c>
      <c r="I53" s="90" t="s">
        <v>104</v>
      </c>
      <c r="J53" s="64">
        <v>42792</v>
      </c>
      <c r="K53" s="90" t="s">
        <v>392</v>
      </c>
      <c r="L53" s="90" t="s">
        <v>106</v>
      </c>
      <c r="M53" s="115" t="s">
        <v>107</v>
      </c>
      <c r="N53" s="115"/>
      <c r="O53" s="122"/>
      <c r="P53" s="115"/>
      <c r="Q53" s="122"/>
      <c r="R53" s="115" t="s">
        <v>110</v>
      </c>
      <c r="S53" s="130"/>
      <c r="T53" s="130"/>
      <c r="U53" s="130"/>
      <c r="V53" s="120" t="s">
        <v>169</v>
      </c>
      <c r="W53" s="120" t="s">
        <v>169</v>
      </c>
      <c r="X53" s="90"/>
      <c r="Y53" s="122"/>
      <c r="Z53" s="115"/>
      <c r="AA53" s="64"/>
      <c r="AB53" s="90"/>
      <c r="AC53" s="64"/>
      <c r="AD53" s="109" t="s">
        <v>171</v>
      </c>
      <c r="AE53" s="25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8"/>
      <c r="AT53" s="24"/>
      <c r="AU53" s="24"/>
      <c r="AV53" s="24"/>
      <c r="AW53" s="24"/>
      <c r="AX53" s="24"/>
      <c r="AY53" s="24"/>
      <c r="AZ53" s="18"/>
    </row>
    <row r="54" spans="1:52" x14ac:dyDescent="0.25">
      <c r="A54" s="90" t="s">
        <v>139</v>
      </c>
      <c r="B54" s="90">
        <v>8</v>
      </c>
      <c r="C54" s="125">
        <v>860</v>
      </c>
      <c r="D54" s="115" t="s">
        <v>393</v>
      </c>
      <c r="E54" s="115" t="s">
        <v>144</v>
      </c>
      <c r="F54" s="115" t="s">
        <v>146</v>
      </c>
      <c r="G54" s="90" t="s">
        <v>394</v>
      </c>
      <c r="H54" s="90" t="s">
        <v>395</v>
      </c>
      <c r="I54" s="90" t="s">
        <v>104</v>
      </c>
      <c r="J54" s="64">
        <v>42792</v>
      </c>
      <c r="K54" s="90" t="s">
        <v>396</v>
      </c>
      <c r="L54" s="90" t="s">
        <v>105</v>
      </c>
      <c r="M54" s="115" t="s">
        <v>109</v>
      </c>
      <c r="N54" s="115"/>
      <c r="O54" s="122">
        <v>42792</v>
      </c>
      <c r="P54" s="115"/>
      <c r="Q54" s="122"/>
      <c r="R54" s="115" t="s">
        <v>110</v>
      </c>
      <c r="S54" s="130" t="s">
        <v>170</v>
      </c>
      <c r="T54" s="130" t="s">
        <v>397</v>
      </c>
      <c r="U54" s="130" t="s">
        <v>75</v>
      </c>
      <c r="V54" s="120" t="s">
        <v>169</v>
      </c>
      <c r="W54" s="120" t="s">
        <v>169</v>
      </c>
      <c r="X54" s="90" t="s">
        <v>398</v>
      </c>
      <c r="Y54" s="122">
        <v>42807</v>
      </c>
      <c r="Z54" s="115" t="s">
        <v>113</v>
      </c>
      <c r="AA54" s="64">
        <v>42820</v>
      </c>
      <c r="AB54" s="90" t="s">
        <v>399</v>
      </c>
      <c r="AC54" s="64">
        <v>42792</v>
      </c>
      <c r="AD54" s="109" t="s">
        <v>171</v>
      </c>
      <c r="AE54" s="25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8"/>
      <c r="AT54" s="24"/>
      <c r="AU54" s="24"/>
      <c r="AV54" s="24"/>
      <c r="AW54" s="24"/>
      <c r="AX54" s="24"/>
      <c r="AY54" s="24"/>
      <c r="AZ54" s="18"/>
    </row>
    <row r="55" spans="1:52" x14ac:dyDescent="0.25">
      <c r="A55" s="90" t="s">
        <v>139</v>
      </c>
      <c r="B55" s="90">
        <v>8</v>
      </c>
      <c r="C55" s="125">
        <v>5882</v>
      </c>
      <c r="D55" s="115" t="s">
        <v>257</v>
      </c>
      <c r="E55" s="115" t="s">
        <v>141</v>
      </c>
      <c r="F55" s="115" t="s">
        <v>146</v>
      </c>
      <c r="G55" s="90" t="s">
        <v>400</v>
      </c>
      <c r="H55" s="90" t="s">
        <v>401</v>
      </c>
      <c r="I55" s="90" t="s">
        <v>104</v>
      </c>
      <c r="J55" s="64">
        <v>42801</v>
      </c>
      <c r="K55" s="90"/>
      <c r="L55" s="90" t="s">
        <v>106</v>
      </c>
      <c r="M55" s="115" t="s">
        <v>107</v>
      </c>
      <c r="N55" s="115"/>
      <c r="O55" s="122"/>
      <c r="P55" s="115"/>
      <c r="Q55" s="122"/>
      <c r="R55" s="115" t="s">
        <v>110</v>
      </c>
      <c r="S55" s="130" t="s">
        <v>176</v>
      </c>
      <c r="T55" s="130"/>
      <c r="U55" s="130"/>
      <c r="V55" s="120" t="s">
        <v>169</v>
      </c>
      <c r="W55" s="120" t="s">
        <v>169</v>
      </c>
      <c r="X55" s="90"/>
      <c r="Y55" s="122"/>
      <c r="Z55" s="115"/>
      <c r="AA55" s="64"/>
      <c r="AB55" s="90"/>
      <c r="AC55" s="64"/>
      <c r="AD55" s="109" t="s">
        <v>171</v>
      </c>
      <c r="AE55" s="25">
        <v>1</v>
      </c>
      <c r="AF55" s="17">
        <v>6</v>
      </c>
      <c r="AG55" s="17">
        <v>5</v>
      </c>
      <c r="AH55" s="17">
        <v>5</v>
      </c>
      <c r="AI55" s="17" t="s">
        <v>168</v>
      </c>
      <c r="AJ55" s="17">
        <v>12</v>
      </c>
      <c r="AK55" s="17">
        <v>11</v>
      </c>
      <c r="AL55" s="17">
        <v>11</v>
      </c>
      <c r="AM55" s="17" t="s">
        <v>168</v>
      </c>
      <c r="AN55" s="17">
        <v>0</v>
      </c>
      <c r="AO55" s="17" t="s">
        <v>169</v>
      </c>
      <c r="AP55" s="17" t="s">
        <v>169</v>
      </c>
      <c r="AQ55" s="17" t="s">
        <v>169</v>
      </c>
      <c r="AR55" s="17">
        <v>18</v>
      </c>
      <c r="AS55" s="18"/>
      <c r="AT55" s="24"/>
      <c r="AU55" s="24"/>
      <c r="AV55" s="24"/>
      <c r="AW55" s="24"/>
      <c r="AX55" s="24"/>
      <c r="AY55" s="24"/>
      <c r="AZ55" s="18"/>
    </row>
    <row r="56" spans="1:52" x14ac:dyDescent="0.25">
      <c r="A56" s="90" t="s">
        <v>139</v>
      </c>
      <c r="B56" s="90">
        <v>8</v>
      </c>
      <c r="C56" s="125">
        <v>4371</v>
      </c>
      <c r="D56" s="115" t="s">
        <v>256</v>
      </c>
      <c r="E56" s="115" t="s">
        <v>143</v>
      </c>
      <c r="F56" s="115" t="s">
        <v>146</v>
      </c>
      <c r="G56" s="90" t="s">
        <v>402</v>
      </c>
      <c r="H56" s="90" t="s">
        <v>403</v>
      </c>
      <c r="I56" s="90" t="s">
        <v>104</v>
      </c>
      <c r="J56" s="64">
        <v>42801</v>
      </c>
      <c r="K56" s="90"/>
      <c r="L56" s="90" t="s">
        <v>106</v>
      </c>
      <c r="M56" s="115" t="s">
        <v>107</v>
      </c>
      <c r="N56" s="115"/>
      <c r="O56" s="122"/>
      <c r="P56" s="115"/>
      <c r="Q56" s="122"/>
      <c r="R56" s="115" t="s">
        <v>110</v>
      </c>
      <c r="S56" s="130" t="s">
        <v>170</v>
      </c>
      <c r="T56" s="130" t="s">
        <v>174</v>
      </c>
      <c r="U56" s="130"/>
      <c r="V56" s="120" t="s">
        <v>169</v>
      </c>
      <c r="W56" s="120" t="s">
        <v>169</v>
      </c>
      <c r="X56" s="90"/>
      <c r="Y56" s="122"/>
      <c r="Z56" s="115"/>
      <c r="AA56" s="64"/>
      <c r="AB56" s="90"/>
      <c r="AC56" s="64"/>
      <c r="AD56" s="109" t="e">
        <v>#VALUE!</v>
      </c>
      <c r="AE56" s="25">
        <v>1</v>
      </c>
      <c r="AF56" s="17">
        <v>1</v>
      </c>
      <c r="AG56" s="17">
        <v>0</v>
      </c>
      <c r="AH56" s="17">
        <v>0</v>
      </c>
      <c r="AI56" s="17" t="s">
        <v>167</v>
      </c>
      <c r="AJ56" s="17">
        <v>4</v>
      </c>
      <c r="AK56" s="17">
        <v>3</v>
      </c>
      <c r="AL56" s="17">
        <v>3</v>
      </c>
      <c r="AM56" s="17" t="s">
        <v>168</v>
      </c>
      <c r="AN56" s="17">
        <v>0</v>
      </c>
      <c r="AO56" s="17" t="s">
        <v>169</v>
      </c>
      <c r="AP56" s="17" t="s">
        <v>169</v>
      </c>
      <c r="AQ56" s="17" t="s">
        <v>169</v>
      </c>
      <c r="AR56" s="17">
        <v>5</v>
      </c>
      <c r="AS56" s="18"/>
      <c r="AT56" s="24"/>
      <c r="AU56" s="24"/>
      <c r="AV56" s="24"/>
      <c r="AW56" s="24"/>
      <c r="AX56" s="24"/>
      <c r="AY56" s="24"/>
      <c r="AZ56" s="18"/>
    </row>
    <row r="57" spans="1:52" ht="75" x14ac:dyDescent="0.25">
      <c r="A57" s="90" t="s">
        <v>139</v>
      </c>
      <c r="B57" s="90">
        <v>8</v>
      </c>
      <c r="C57" s="125" t="s">
        <v>404</v>
      </c>
      <c r="D57" s="115" t="s">
        <v>405</v>
      </c>
      <c r="E57" s="115" t="s">
        <v>144</v>
      </c>
      <c r="F57" s="115" t="s">
        <v>146</v>
      </c>
      <c r="G57" s="90" t="s">
        <v>406</v>
      </c>
      <c r="H57" s="133" t="s">
        <v>407</v>
      </c>
      <c r="I57" s="90" t="s">
        <v>104</v>
      </c>
      <c r="J57" s="64">
        <v>42801</v>
      </c>
      <c r="K57" s="126"/>
      <c r="L57" s="90" t="s">
        <v>106</v>
      </c>
      <c r="M57" s="115" t="s">
        <v>107</v>
      </c>
      <c r="N57" s="115"/>
      <c r="O57" s="122"/>
      <c r="P57" s="115"/>
      <c r="Q57" s="122"/>
      <c r="R57" s="115" t="s">
        <v>110</v>
      </c>
      <c r="S57" s="130" t="s">
        <v>173</v>
      </c>
      <c r="T57" s="131"/>
      <c r="U57" s="130"/>
      <c r="V57" s="120" t="s">
        <v>169</v>
      </c>
      <c r="W57" s="120" t="s">
        <v>169</v>
      </c>
      <c r="X57" s="125"/>
      <c r="Y57" s="66"/>
      <c r="Z57" s="71"/>
      <c r="AA57" s="64"/>
      <c r="AB57" s="132"/>
      <c r="AC57" s="76"/>
      <c r="AD57" s="107" t="s">
        <v>171</v>
      </c>
      <c r="AE57" s="25">
        <v>1</v>
      </c>
      <c r="AF57" s="17">
        <v>8</v>
      </c>
      <c r="AG57" s="17">
        <v>7</v>
      </c>
      <c r="AH57" s="17">
        <v>7</v>
      </c>
      <c r="AI57" s="17" t="s">
        <v>168</v>
      </c>
      <c r="AJ57" s="17" t="s">
        <v>169</v>
      </c>
      <c r="AK57" s="17" t="s">
        <v>169</v>
      </c>
      <c r="AL57" s="17" t="s">
        <v>169</v>
      </c>
      <c r="AM57" s="17" t="s">
        <v>169</v>
      </c>
      <c r="AN57" s="17">
        <v>0</v>
      </c>
      <c r="AO57" s="17" t="s">
        <v>169</v>
      </c>
      <c r="AP57" s="17" t="s">
        <v>169</v>
      </c>
      <c r="AQ57" s="17" t="s">
        <v>169</v>
      </c>
      <c r="AR57" s="17">
        <v>8</v>
      </c>
      <c r="AS57" s="18"/>
      <c r="AT57" s="24"/>
      <c r="AU57" s="24"/>
      <c r="AV57" s="24"/>
      <c r="AW57" s="24"/>
      <c r="AX57" s="24"/>
      <c r="AY57" s="24"/>
      <c r="AZ57" s="18"/>
    </row>
    <row r="58" spans="1:52" x14ac:dyDescent="0.25">
      <c r="A58" s="90" t="s">
        <v>139</v>
      </c>
      <c r="B58" s="90">
        <v>8</v>
      </c>
      <c r="C58" s="125">
        <v>842</v>
      </c>
      <c r="D58" s="115" t="s">
        <v>408</v>
      </c>
      <c r="E58" s="115" t="s">
        <v>141</v>
      </c>
      <c r="F58" s="115" t="s">
        <v>146</v>
      </c>
      <c r="G58" s="90" t="s">
        <v>409</v>
      </c>
      <c r="H58" s="90" t="s">
        <v>410</v>
      </c>
      <c r="I58" s="90" t="s">
        <v>104</v>
      </c>
      <c r="J58" s="64">
        <v>42801</v>
      </c>
      <c r="K58" s="90"/>
      <c r="L58" s="90" t="s">
        <v>106</v>
      </c>
      <c r="M58" s="115" t="s">
        <v>107</v>
      </c>
      <c r="N58" s="115"/>
      <c r="O58" s="122"/>
      <c r="P58" s="115"/>
      <c r="Q58" s="122"/>
      <c r="R58" s="115" t="s">
        <v>110</v>
      </c>
      <c r="S58" s="130"/>
      <c r="T58" s="130"/>
      <c r="U58" s="130"/>
      <c r="V58" s="120" t="s">
        <v>169</v>
      </c>
      <c r="W58" s="120" t="s">
        <v>169</v>
      </c>
      <c r="X58" s="71"/>
      <c r="Y58" s="66"/>
      <c r="Z58" s="71"/>
      <c r="AA58" s="64"/>
      <c r="AB58" s="90"/>
      <c r="AC58" s="76"/>
      <c r="AD58" s="110"/>
      <c r="AE58" s="25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8"/>
      <c r="AT58" s="24"/>
      <c r="AU58" s="24"/>
      <c r="AV58" s="24"/>
      <c r="AW58" s="24"/>
      <c r="AX58" s="24"/>
      <c r="AY58" s="24"/>
      <c r="AZ58" s="18"/>
    </row>
    <row r="59" spans="1:52" x14ac:dyDescent="0.25">
      <c r="A59" s="90" t="s">
        <v>139</v>
      </c>
      <c r="B59" s="90">
        <v>8</v>
      </c>
      <c r="C59" s="125">
        <v>4371</v>
      </c>
      <c r="D59" s="115" t="s">
        <v>256</v>
      </c>
      <c r="E59" s="115" t="s">
        <v>143</v>
      </c>
      <c r="F59" s="115" t="s">
        <v>146</v>
      </c>
      <c r="G59" s="90" t="s">
        <v>411</v>
      </c>
      <c r="H59" s="90" t="s">
        <v>412</v>
      </c>
      <c r="I59" s="90" t="s">
        <v>104</v>
      </c>
      <c r="J59" s="64">
        <v>42804</v>
      </c>
      <c r="K59" s="90"/>
      <c r="L59" s="90" t="s">
        <v>106</v>
      </c>
      <c r="M59" s="115" t="s">
        <v>107</v>
      </c>
      <c r="N59" s="115"/>
      <c r="O59" s="122"/>
      <c r="P59" s="115"/>
      <c r="Q59" s="122"/>
      <c r="R59" s="115"/>
      <c r="S59" s="130"/>
      <c r="T59" s="130"/>
      <c r="U59" s="130"/>
      <c r="V59" s="120" t="s">
        <v>169</v>
      </c>
      <c r="W59" s="120" t="s">
        <v>169</v>
      </c>
      <c r="X59" s="115"/>
      <c r="Y59" s="118"/>
      <c r="Z59" s="115"/>
      <c r="AA59" s="64"/>
      <c r="AB59" s="90" t="s">
        <v>413</v>
      </c>
      <c r="AC59" s="76"/>
      <c r="AD59" s="110"/>
      <c r="AE59" s="25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8"/>
      <c r="AT59" s="24"/>
      <c r="AU59" s="24"/>
      <c r="AV59" s="24"/>
      <c r="AW59" s="24"/>
      <c r="AX59" s="24"/>
      <c r="AY59" s="24"/>
      <c r="AZ59" s="18"/>
    </row>
    <row r="60" spans="1:52" x14ac:dyDescent="0.25">
      <c r="A60" s="90" t="s">
        <v>139</v>
      </c>
      <c r="B60" s="90">
        <v>8</v>
      </c>
      <c r="C60" s="125">
        <v>4371</v>
      </c>
      <c r="D60" s="115" t="s">
        <v>256</v>
      </c>
      <c r="E60" s="115" t="s">
        <v>143</v>
      </c>
      <c r="F60" s="115" t="s">
        <v>146</v>
      </c>
      <c r="G60" s="90" t="s">
        <v>414</v>
      </c>
      <c r="H60" s="90" t="s">
        <v>415</v>
      </c>
      <c r="I60" s="90" t="s">
        <v>104</v>
      </c>
      <c r="J60" s="64">
        <v>42804</v>
      </c>
      <c r="K60" s="90"/>
      <c r="L60" s="90" t="s">
        <v>106</v>
      </c>
      <c r="M60" s="115" t="s">
        <v>107</v>
      </c>
      <c r="N60" s="115"/>
      <c r="O60" s="122"/>
      <c r="P60" s="115"/>
      <c r="Q60" s="122"/>
      <c r="R60" s="115" t="s">
        <v>110</v>
      </c>
      <c r="S60" s="130" t="s">
        <v>170</v>
      </c>
      <c r="T60" s="130" t="s">
        <v>174</v>
      </c>
      <c r="U60" s="130"/>
      <c r="V60" s="120" t="s">
        <v>169</v>
      </c>
      <c r="W60" s="120" t="s">
        <v>169</v>
      </c>
      <c r="X60" s="71"/>
      <c r="Y60" s="66"/>
      <c r="Z60" s="71"/>
      <c r="AA60" s="64"/>
      <c r="AB60" s="90"/>
      <c r="AC60" s="76"/>
      <c r="AD60" s="25"/>
      <c r="AE60" s="25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8"/>
      <c r="AT60" s="24"/>
      <c r="AU60" s="24"/>
      <c r="AV60" s="24"/>
      <c r="AW60" s="24"/>
      <c r="AX60" s="24"/>
      <c r="AY60" s="24"/>
      <c r="AZ60" s="18"/>
    </row>
    <row r="61" spans="1:52" x14ac:dyDescent="0.25">
      <c r="A61" s="90" t="s">
        <v>139</v>
      </c>
      <c r="B61" s="90">
        <v>8</v>
      </c>
      <c r="C61" s="125">
        <v>832</v>
      </c>
      <c r="D61" s="115" t="s">
        <v>259</v>
      </c>
      <c r="E61" s="115" t="s">
        <v>141</v>
      </c>
      <c r="F61" s="115" t="s">
        <v>146</v>
      </c>
      <c r="G61" s="90" t="s">
        <v>416</v>
      </c>
      <c r="H61" s="90" t="s">
        <v>417</v>
      </c>
      <c r="I61" s="90" t="s">
        <v>104</v>
      </c>
      <c r="J61" s="64">
        <v>42805</v>
      </c>
      <c r="K61" s="90"/>
      <c r="L61" s="90" t="s">
        <v>106</v>
      </c>
      <c r="M61" s="115" t="s">
        <v>107</v>
      </c>
      <c r="N61" s="115"/>
      <c r="O61" s="122"/>
      <c r="P61" s="115"/>
      <c r="Q61" s="122"/>
      <c r="R61" s="115" t="s">
        <v>110</v>
      </c>
      <c r="S61" s="130" t="s">
        <v>175</v>
      </c>
      <c r="T61" s="130">
        <v>5394549</v>
      </c>
      <c r="U61" s="130"/>
      <c r="V61" s="120" t="s">
        <v>169</v>
      </c>
      <c r="W61" s="120" t="s">
        <v>169</v>
      </c>
      <c r="X61" s="71"/>
      <c r="Y61" s="66"/>
      <c r="Z61" s="71"/>
      <c r="AA61" s="64"/>
      <c r="AB61" s="90"/>
      <c r="AC61" s="76"/>
      <c r="AD61" s="25"/>
      <c r="AE61" s="25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8"/>
      <c r="AT61" s="24"/>
      <c r="AU61" s="24"/>
      <c r="AV61" s="24"/>
      <c r="AW61" s="24"/>
      <c r="AX61" s="24"/>
      <c r="AY61" s="24"/>
      <c r="AZ61" s="18"/>
    </row>
    <row r="62" spans="1:52" x14ac:dyDescent="0.25">
      <c r="A62" s="90" t="s">
        <v>139</v>
      </c>
      <c r="B62" s="90">
        <v>8</v>
      </c>
      <c r="C62" s="125">
        <v>3377</v>
      </c>
      <c r="D62" s="115" t="s">
        <v>418</v>
      </c>
      <c r="E62" s="115" t="s">
        <v>143</v>
      </c>
      <c r="F62" s="115" t="s">
        <v>146</v>
      </c>
      <c r="G62" s="90" t="s">
        <v>419</v>
      </c>
      <c r="H62" s="90" t="s">
        <v>420</v>
      </c>
      <c r="I62" s="90" t="s">
        <v>104</v>
      </c>
      <c r="J62" s="64"/>
      <c r="K62" s="90"/>
      <c r="L62" s="90" t="s">
        <v>106</v>
      </c>
      <c r="M62" s="115" t="s">
        <v>107</v>
      </c>
      <c r="N62" s="115"/>
      <c r="O62" s="122"/>
      <c r="P62" s="115"/>
      <c r="Q62" s="122"/>
      <c r="R62" s="115" t="s">
        <v>110</v>
      </c>
      <c r="S62" s="130" t="s">
        <v>175</v>
      </c>
      <c r="T62" s="130">
        <v>3755252</v>
      </c>
      <c r="U62" s="130"/>
      <c r="V62" s="120" t="s">
        <v>169</v>
      </c>
      <c r="W62" s="120" t="s">
        <v>169</v>
      </c>
      <c r="X62" s="71"/>
      <c r="Y62" s="66"/>
      <c r="Z62" s="71"/>
      <c r="AA62" s="64"/>
      <c r="AB62" s="90"/>
      <c r="AC62" s="76"/>
      <c r="AD62" s="25"/>
      <c r="AE62" s="25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8"/>
      <c r="AT62" s="24"/>
      <c r="AU62" s="24"/>
      <c r="AV62" s="24"/>
      <c r="AW62" s="24"/>
      <c r="AX62" s="24"/>
      <c r="AY62" s="24"/>
      <c r="AZ62" s="18"/>
    </row>
    <row r="63" spans="1:52" x14ac:dyDescent="0.25">
      <c r="A63" s="90" t="s">
        <v>139</v>
      </c>
      <c r="B63" s="90">
        <v>8</v>
      </c>
      <c r="C63" s="125" t="s">
        <v>421</v>
      </c>
      <c r="D63" s="115" t="s">
        <v>422</v>
      </c>
      <c r="E63" s="115" t="s">
        <v>143</v>
      </c>
      <c r="F63" s="115" t="s">
        <v>146</v>
      </c>
      <c r="G63" s="90" t="s">
        <v>423</v>
      </c>
      <c r="H63" s="90" t="s">
        <v>424</v>
      </c>
      <c r="I63" s="90" t="s">
        <v>103</v>
      </c>
      <c r="J63" s="64"/>
      <c r="K63" s="90"/>
      <c r="L63" s="90" t="s">
        <v>106</v>
      </c>
      <c r="M63" s="115" t="s">
        <v>107</v>
      </c>
      <c r="N63" s="115"/>
      <c r="O63" s="122"/>
      <c r="P63" s="115"/>
      <c r="Q63" s="122"/>
      <c r="R63" s="115" t="s">
        <v>110</v>
      </c>
      <c r="S63" s="130" t="s">
        <v>170</v>
      </c>
      <c r="T63" s="130" t="s">
        <v>425</v>
      </c>
      <c r="U63" s="130"/>
      <c r="V63" s="120" t="s">
        <v>169</v>
      </c>
      <c r="W63" s="120" t="s">
        <v>169</v>
      </c>
      <c r="X63" s="72"/>
      <c r="Y63" s="66"/>
      <c r="Z63" s="71"/>
      <c r="AA63" s="64"/>
      <c r="AB63" s="90"/>
      <c r="AC63" s="76"/>
      <c r="AD63" s="25"/>
      <c r="AE63" s="25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8"/>
      <c r="AT63" s="24"/>
      <c r="AU63" s="24"/>
      <c r="AV63" s="24"/>
      <c r="AW63" s="24"/>
      <c r="AX63" s="24"/>
      <c r="AY63" s="24"/>
      <c r="AZ63" s="18"/>
    </row>
    <row r="64" spans="1:52" x14ac:dyDescent="0.25">
      <c r="A64" s="16" t="s">
        <v>139</v>
      </c>
      <c r="B64" s="16">
        <v>9</v>
      </c>
      <c r="C64" s="65" t="s">
        <v>426</v>
      </c>
      <c r="D64" s="15" t="s">
        <v>141</v>
      </c>
      <c r="E64" s="15" t="s">
        <v>148</v>
      </c>
      <c r="F64" s="15"/>
      <c r="G64" s="16" t="s">
        <v>427</v>
      </c>
      <c r="H64" s="16"/>
      <c r="I64" s="16"/>
      <c r="J64" s="22" t="s">
        <v>428</v>
      </c>
      <c r="K64" s="86" t="s">
        <v>106</v>
      </c>
      <c r="L64" s="16" t="s">
        <v>107</v>
      </c>
      <c r="M64" s="15"/>
      <c r="N64" s="15"/>
      <c r="O64" s="20"/>
      <c r="P64" s="15" t="s">
        <v>112</v>
      </c>
      <c r="Q64" s="20" t="s">
        <v>429</v>
      </c>
      <c r="R64" s="15" t="s">
        <v>430</v>
      </c>
      <c r="S64" s="67"/>
      <c r="T64" s="67" t="s">
        <v>169</v>
      </c>
      <c r="U64" s="67" t="s">
        <v>169</v>
      </c>
      <c r="V64" s="17"/>
      <c r="W64" s="17"/>
      <c r="X64" s="68"/>
      <c r="Y64" s="21"/>
      <c r="Z64" s="68"/>
      <c r="AA64" s="22"/>
      <c r="AB64" s="90"/>
      <c r="AC64" s="74">
        <v>3</v>
      </c>
      <c r="AD64" s="25" t="s">
        <v>169</v>
      </c>
      <c r="AE64" s="25" t="s">
        <v>169</v>
      </c>
      <c r="AF64" s="17" t="s">
        <v>169</v>
      </c>
      <c r="AG64" s="17" t="s">
        <v>169</v>
      </c>
      <c r="AH64" s="17" t="s">
        <v>169</v>
      </c>
      <c r="AI64" s="17" t="s">
        <v>169</v>
      </c>
      <c r="AJ64" s="17" t="s">
        <v>169</v>
      </c>
      <c r="AK64" s="17" t="s">
        <v>169</v>
      </c>
      <c r="AL64" s="17">
        <v>0</v>
      </c>
      <c r="AM64" s="17" t="s">
        <v>169</v>
      </c>
      <c r="AN64" s="17" t="s">
        <v>169</v>
      </c>
      <c r="AO64" s="17" t="s">
        <v>169</v>
      </c>
      <c r="AP64" s="17">
        <v>42814</v>
      </c>
      <c r="AQ64" s="17"/>
      <c r="AR64" s="17">
        <v>0</v>
      </c>
      <c r="AS64" s="18">
        <v>0</v>
      </c>
      <c r="AT64" s="24">
        <v>1</v>
      </c>
      <c r="AU64" s="24">
        <v>0</v>
      </c>
      <c r="AV64" s="24">
        <v>0</v>
      </c>
      <c r="AW64" s="24">
        <v>0</v>
      </c>
      <c r="AX64" s="24"/>
      <c r="AY64" s="24" t="s">
        <v>431</v>
      </c>
      <c r="AZ64" s="18">
        <v>42648</v>
      </c>
    </row>
    <row r="65" spans="1:52" x14ac:dyDescent="0.25">
      <c r="A65" s="16" t="s">
        <v>139</v>
      </c>
      <c r="B65" s="16">
        <v>9</v>
      </c>
      <c r="C65" s="65" t="s">
        <v>432</v>
      </c>
      <c r="D65" s="15" t="s">
        <v>141</v>
      </c>
      <c r="E65" s="15" t="s">
        <v>148</v>
      </c>
      <c r="F65" s="15"/>
      <c r="G65" s="16" t="s">
        <v>433</v>
      </c>
      <c r="H65" s="16"/>
      <c r="I65" s="16"/>
      <c r="J65" s="22" t="s">
        <v>434</v>
      </c>
      <c r="K65" s="86" t="s">
        <v>106</v>
      </c>
      <c r="L65" s="16" t="s">
        <v>109</v>
      </c>
      <c r="M65" s="15">
        <v>42783</v>
      </c>
      <c r="N65" s="15"/>
      <c r="O65" s="20"/>
      <c r="P65" s="15" t="s">
        <v>112</v>
      </c>
      <c r="Q65" s="20" t="s">
        <v>429</v>
      </c>
      <c r="R65" s="15" t="s">
        <v>435</v>
      </c>
      <c r="S65" s="67"/>
      <c r="T65" s="67" t="s">
        <v>169</v>
      </c>
      <c r="U65" s="67" t="s">
        <v>169</v>
      </c>
      <c r="V65" s="17"/>
      <c r="W65" s="17"/>
      <c r="X65" s="70"/>
      <c r="Y65" s="21"/>
      <c r="Z65" s="68"/>
      <c r="AA65" s="22"/>
      <c r="AB65" s="90"/>
      <c r="AC65" s="74">
        <v>3</v>
      </c>
      <c r="AD65" s="25" t="s">
        <v>169</v>
      </c>
      <c r="AE65" s="25" t="s">
        <v>169</v>
      </c>
      <c r="AF65" s="17" t="s">
        <v>169</v>
      </c>
      <c r="AG65" s="17" t="s">
        <v>169</v>
      </c>
      <c r="AH65" s="17">
        <v>31</v>
      </c>
      <c r="AI65" s="17">
        <v>30</v>
      </c>
      <c r="AJ65" s="17">
        <v>30</v>
      </c>
      <c r="AK65" s="17" t="s">
        <v>168</v>
      </c>
      <c r="AL65" s="17">
        <v>0</v>
      </c>
      <c r="AM65" s="17" t="s">
        <v>169</v>
      </c>
      <c r="AN65" s="17" t="s">
        <v>169</v>
      </c>
      <c r="AO65" s="17" t="s">
        <v>169</v>
      </c>
      <c r="AP65" s="17">
        <v>42814</v>
      </c>
      <c r="AQ65" s="17"/>
      <c r="AR65" s="17">
        <v>0</v>
      </c>
      <c r="AS65" s="18">
        <v>0</v>
      </c>
      <c r="AT65" s="24">
        <v>0</v>
      </c>
      <c r="AU65" s="24">
        <v>0</v>
      </c>
      <c r="AV65" s="24">
        <v>0</v>
      </c>
      <c r="AW65" s="24">
        <v>0</v>
      </c>
      <c r="AX65" s="24"/>
      <c r="AY65" s="24" t="s">
        <v>431</v>
      </c>
      <c r="AZ65" s="18"/>
    </row>
    <row r="66" spans="1:52" x14ac:dyDescent="0.25">
      <c r="A66" s="16" t="s">
        <v>139</v>
      </c>
      <c r="B66" s="16">
        <v>9</v>
      </c>
      <c r="C66" s="65" t="s">
        <v>436</v>
      </c>
      <c r="D66" s="15" t="s">
        <v>144</v>
      </c>
      <c r="E66" s="15" t="s">
        <v>148</v>
      </c>
      <c r="F66" s="15"/>
      <c r="G66" s="16" t="s">
        <v>433</v>
      </c>
      <c r="H66" s="16"/>
      <c r="I66" s="16"/>
      <c r="J66" s="22" t="s">
        <v>434</v>
      </c>
      <c r="K66" s="86"/>
      <c r="L66" s="16" t="s">
        <v>107</v>
      </c>
      <c r="M66" s="15"/>
      <c r="N66" s="15"/>
      <c r="O66" s="20"/>
      <c r="P66" s="15" t="s">
        <v>112</v>
      </c>
      <c r="Q66" s="20" t="s">
        <v>429</v>
      </c>
      <c r="R66" s="15" t="s">
        <v>437</v>
      </c>
      <c r="S66" s="67"/>
      <c r="T66" s="67" t="s">
        <v>169</v>
      </c>
      <c r="U66" s="67" t="s">
        <v>169</v>
      </c>
      <c r="V66" s="17"/>
      <c r="W66" s="17"/>
      <c r="X66" s="68"/>
      <c r="Y66" s="21"/>
      <c r="Z66" s="68"/>
      <c r="AA66" s="22"/>
      <c r="AB66" s="90"/>
      <c r="AC66" s="74">
        <v>3</v>
      </c>
      <c r="AD66" s="25" t="s">
        <v>169</v>
      </c>
      <c r="AE66" s="25" t="s">
        <v>169</v>
      </c>
      <c r="AF66" s="17" t="s">
        <v>169</v>
      </c>
      <c r="AG66" s="17" t="s">
        <v>169</v>
      </c>
      <c r="AH66" s="17" t="s">
        <v>169</v>
      </c>
      <c r="AI66" s="17" t="s">
        <v>169</v>
      </c>
      <c r="AJ66" s="17" t="s">
        <v>169</v>
      </c>
      <c r="AK66" s="17" t="s">
        <v>169</v>
      </c>
      <c r="AL66" s="17">
        <v>0</v>
      </c>
      <c r="AM66" s="17" t="s">
        <v>169</v>
      </c>
      <c r="AN66" s="17" t="s">
        <v>169</v>
      </c>
      <c r="AO66" s="17" t="s">
        <v>169</v>
      </c>
      <c r="AP66" s="17">
        <v>42814</v>
      </c>
      <c r="AQ66" s="17"/>
      <c r="AR66" s="17">
        <v>0</v>
      </c>
      <c r="AS66" s="18">
        <v>0</v>
      </c>
      <c r="AT66" s="24">
        <v>0</v>
      </c>
      <c r="AU66" s="24">
        <v>0</v>
      </c>
      <c r="AV66" s="24">
        <v>0</v>
      </c>
      <c r="AW66" s="24">
        <v>0</v>
      </c>
      <c r="AX66" s="24"/>
      <c r="AY66" s="24" t="s">
        <v>431</v>
      </c>
      <c r="AZ66" s="18"/>
    </row>
    <row r="67" spans="1:52" x14ac:dyDescent="0.25">
      <c r="A67" s="16" t="s">
        <v>139</v>
      </c>
      <c r="B67" s="16">
        <v>9</v>
      </c>
      <c r="C67" s="65" t="s">
        <v>438</v>
      </c>
      <c r="D67" s="15" t="s">
        <v>143</v>
      </c>
      <c r="E67" s="15" t="s">
        <v>146</v>
      </c>
      <c r="F67" s="15" t="s">
        <v>439</v>
      </c>
      <c r="G67" s="16" t="s">
        <v>157</v>
      </c>
      <c r="H67" s="16" t="s">
        <v>103</v>
      </c>
      <c r="I67" s="16">
        <v>42755</v>
      </c>
      <c r="J67" s="22"/>
      <c r="K67" s="86" t="s">
        <v>106</v>
      </c>
      <c r="L67" s="16" t="s">
        <v>107</v>
      </c>
      <c r="M67" s="15">
        <v>42755</v>
      </c>
      <c r="N67" s="15"/>
      <c r="O67" s="20" t="s">
        <v>440</v>
      </c>
      <c r="P67" s="15" t="s">
        <v>110</v>
      </c>
      <c r="Q67" s="20" t="s">
        <v>193</v>
      </c>
      <c r="R67" s="15"/>
      <c r="S67" s="67" t="s">
        <v>45</v>
      </c>
      <c r="T67" s="67"/>
      <c r="U67" s="67" t="s">
        <v>72</v>
      </c>
      <c r="V67" s="17"/>
      <c r="W67" s="17"/>
      <c r="X67" s="68"/>
      <c r="Y67" s="21"/>
      <c r="Z67" s="68"/>
      <c r="AA67" s="22"/>
      <c r="AB67" s="90" t="s">
        <v>27</v>
      </c>
      <c r="AC67" s="74">
        <v>1</v>
      </c>
      <c r="AD67" s="25">
        <v>0</v>
      </c>
      <c r="AE67" s="25">
        <v>-1</v>
      </c>
      <c r="AF67" s="17">
        <v>0</v>
      </c>
      <c r="AG67" s="17" t="s">
        <v>167</v>
      </c>
      <c r="AH67" s="17">
        <v>59</v>
      </c>
      <c r="AI67" s="17">
        <v>59</v>
      </c>
      <c r="AJ67" s="17">
        <v>59</v>
      </c>
      <c r="AK67" s="17" t="s">
        <v>172</v>
      </c>
      <c r="AL67" s="17">
        <v>0</v>
      </c>
      <c r="AM67" s="17" t="s">
        <v>169</v>
      </c>
      <c r="AN67" s="17" t="s">
        <v>169</v>
      </c>
      <c r="AO67" s="17" t="s">
        <v>169</v>
      </c>
      <c r="AP67" s="17">
        <v>59</v>
      </c>
      <c r="AQ67" s="17"/>
      <c r="AR67" s="17">
        <v>0</v>
      </c>
      <c r="AS67" s="18">
        <v>0</v>
      </c>
      <c r="AT67" s="24">
        <v>1</v>
      </c>
      <c r="AU67" s="24">
        <v>0</v>
      </c>
      <c r="AV67" s="24">
        <v>0</v>
      </c>
      <c r="AW67" s="24">
        <v>0</v>
      </c>
      <c r="AX67" s="24"/>
      <c r="AY67" s="24" t="s">
        <v>441</v>
      </c>
      <c r="AZ67" s="18"/>
    </row>
    <row r="68" spans="1:52" x14ac:dyDescent="0.25">
      <c r="A68" s="16" t="s">
        <v>139</v>
      </c>
      <c r="B68" s="16">
        <v>9</v>
      </c>
      <c r="C68" s="65" t="s">
        <v>442</v>
      </c>
      <c r="D68" s="15" t="s">
        <v>143</v>
      </c>
      <c r="E68" s="15" t="s">
        <v>146</v>
      </c>
      <c r="F68" s="15" t="s">
        <v>443</v>
      </c>
      <c r="G68" s="16" t="s">
        <v>444</v>
      </c>
      <c r="H68" s="16" t="s">
        <v>103</v>
      </c>
      <c r="I68" s="16">
        <v>42756</v>
      </c>
      <c r="J68" s="22"/>
      <c r="K68" s="86" t="s">
        <v>105</v>
      </c>
      <c r="L68" s="16" t="s">
        <v>107</v>
      </c>
      <c r="M68" s="15">
        <v>42756</v>
      </c>
      <c r="N68" s="15"/>
      <c r="O68" s="20"/>
      <c r="P68" s="15" t="s">
        <v>110</v>
      </c>
      <c r="Q68" s="20" t="s">
        <v>288</v>
      </c>
      <c r="R68" s="15"/>
      <c r="S68" s="67" t="s">
        <v>80</v>
      </c>
      <c r="T68" s="67"/>
      <c r="U68" s="67" t="s">
        <v>72</v>
      </c>
      <c r="V68" s="17"/>
      <c r="W68" s="17"/>
      <c r="X68" s="68"/>
      <c r="Y68" s="21"/>
      <c r="Z68" s="68"/>
      <c r="AA68" s="22"/>
      <c r="AB68" s="90"/>
      <c r="AC68" s="74">
        <v>1</v>
      </c>
      <c r="AD68" s="25">
        <v>0</v>
      </c>
      <c r="AE68" s="25">
        <v>-1</v>
      </c>
      <c r="AF68" s="17">
        <v>0</v>
      </c>
      <c r="AG68" s="17" t="s">
        <v>167</v>
      </c>
      <c r="AH68" s="17">
        <v>58</v>
      </c>
      <c r="AI68" s="17">
        <v>58</v>
      </c>
      <c r="AJ68" s="17">
        <v>58</v>
      </c>
      <c r="AK68" s="17" t="s">
        <v>172</v>
      </c>
      <c r="AL68" s="17">
        <v>0</v>
      </c>
      <c r="AM68" s="17" t="s">
        <v>169</v>
      </c>
      <c r="AN68" s="17" t="s">
        <v>169</v>
      </c>
      <c r="AO68" s="17" t="s">
        <v>169</v>
      </c>
      <c r="AP68" s="17">
        <v>-42756</v>
      </c>
      <c r="AQ68" s="17"/>
      <c r="AR68" s="17">
        <v>0</v>
      </c>
      <c r="AS68" s="18">
        <v>0</v>
      </c>
      <c r="AT68" s="24">
        <v>0</v>
      </c>
      <c r="AU68" s="24">
        <v>0</v>
      </c>
      <c r="AV68" s="24">
        <v>0</v>
      </c>
      <c r="AW68" s="24">
        <v>0</v>
      </c>
      <c r="AX68" s="24"/>
      <c r="AY68" s="24" t="s">
        <v>441</v>
      </c>
      <c r="AZ68" s="18"/>
    </row>
    <row r="69" spans="1:52" x14ac:dyDescent="0.25">
      <c r="A69" s="16" t="s">
        <v>139</v>
      </c>
      <c r="B69" s="16">
        <v>9</v>
      </c>
      <c r="C69" s="65" t="s">
        <v>445</v>
      </c>
      <c r="D69" s="15" t="s">
        <v>144</v>
      </c>
      <c r="E69" s="15" t="s">
        <v>146</v>
      </c>
      <c r="F69" s="15" t="s">
        <v>446</v>
      </c>
      <c r="G69" s="16" t="s">
        <v>157</v>
      </c>
      <c r="H69" s="16" t="s">
        <v>103</v>
      </c>
      <c r="I69" s="16">
        <v>42756</v>
      </c>
      <c r="J69" s="22"/>
      <c r="K69" s="86" t="s">
        <v>106</v>
      </c>
      <c r="L69" s="16" t="s">
        <v>107</v>
      </c>
      <c r="M69" s="15">
        <v>42756</v>
      </c>
      <c r="N69" s="15"/>
      <c r="O69" s="20"/>
      <c r="P69" s="15" t="s">
        <v>110</v>
      </c>
      <c r="Q69" s="20" t="s">
        <v>288</v>
      </c>
      <c r="R69" s="15"/>
      <c r="S69" s="67" t="s">
        <v>49</v>
      </c>
      <c r="T69" s="67"/>
      <c r="U69" s="67" t="s">
        <v>72</v>
      </c>
      <c r="V69" s="17"/>
      <c r="W69" s="17"/>
      <c r="X69" s="68"/>
      <c r="Y69" s="21"/>
      <c r="Z69" s="68"/>
      <c r="AA69" s="22"/>
      <c r="AB69" s="90" t="s">
        <v>27</v>
      </c>
      <c r="AC69" s="74">
        <v>1</v>
      </c>
      <c r="AD69" s="25">
        <v>0</v>
      </c>
      <c r="AE69" s="25">
        <v>-1</v>
      </c>
      <c r="AF69" s="17">
        <v>0</v>
      </c>
      <c r="AG69" s="17" t="s">
        <v>167</v>
      </c>
      <c r="AH69" s="17">
        <v>58</v>
      </c>
      <c r="AI69" s="17">
        <v>58</v>
      </c>
      <c r="AJ69" s="17">
        <v>58</v>
      </c>
      <c r="AK69" s="17" t="s">
        <v>172</v>
      </c>
      <c r="AL69" s="17">
        <v>0</v>
      </c>
      <c r="AM69" s="17" t="s">
        <v>169</v>
      </c>
      <c r="AN69" s="17" t="s">
        <v>169</v>
      </c>
      <c r="AO69" s="17" t="s">
        <v>169</v>
      </c>
      <c r="AP69" s="17">
        <v>58</v>
      </c>
      <c r="AQ69" s="17"/>
      <c r="AR69" s="17">
        <v>0</v>
      </c>
      <c r="AS69" s="18">
        <v>0</v>
      </c>
      <c r="AT69" s="24">
        <v>1</v>
      </c>
      <c r="AU69" s="24">
        <v>0</v>
      </c>
      <c r="AV69" s="24">
        <v>0</v>
      </c>
      <c r="AW69" s="24">
        <v>0</v>
      </c>
      <c r="AX69" s="24"/>
      <c r="AY69" s="24" t="s">
        <v>441</v>
      </c>
      <c r="AZ69" s="18"/>
    </row>
    <row r="70" spans="1:52" x14ac:dyDescent="0.25">
      <c r="A70" s="16" t="s">
        <v>139</v>
      </c>
      <c r="B70" s="16">
        <v>9</v>
      </c>
      <c r="C70" s="65" t="s">
        <v>447</v>
      </c>
      <c r="D70" s="15" t="s">
        <v>141</v>
      </c>
      <c r="E70" s="15" t="s">
        <v>146</v>
      </c>
      <c r="F70" s="15" t="s">
        <v>448</v>
      </c>
      <c r="G70" s="16" t="s">
        <v>157</v>
      </c>
      <c r="H70" s="16" t="s">
        <v>103</v>
      </c>
      <c r="I70" s="16">
        <v>42765</v>
      </c>
      <c r="J70" s="22"/>
      <c r="K70" s="86" t="s">
        <v>105</v>
      </c>
      <c r="L70" s="16" t="s">
        <v>107</v>
      </c>
      <c r="M70" s="15">
        <v>42765</v>
      </c>
      <c r="N70" s="15"/>
      <c r="O70" s="20"/>
      <c r="P70" s="15" t="s">
        <v>110</v>
      </c>
      <c r="Q70" s="20" t="s">
        <v>193</v>
      </c>
      <c r="R70" s="15"/>
      <c r="S70" s="67" t="s">
        <v>80</v>
      </c>
      <c r="T70" s="67"/>
      <c r="U70" s="67" t="s">
        <v>72</v>
      </c>
      <c r="V70" s="17"/>
      <c r="W70" s="17"/>
      <c r="X70" s="68"/>
      <c r="Y70" s="21"/>
      <c r="Z70" s="68"/>
      <c r="AA70" s="22"/>
      <c r="AB70" s="90"/>
      <c r="AC70" s="74">
        <v>1</v>
      </c>
      <c r="AD70" s="25">
        <v>0</v>
      </c>
      <c r="AE70" s="25">
        <v>-1</v>
      </c>
      <c r="AF70" s="17">
        <v>0</v>
      </c>
      <c r="AG70" s="17" t="s">
        <v>167</v>
      </c>
      <c r="AH70" s="17">
        <v>49</v>
      </c>
      <c r="AI70" s="17">
        <v>49</v>
      </c>
      <c r="AJ70" s="17">
        <v>49</v>
      </c>
      <c r="AK70" s="17" t="s">
        <v>172</v>
      </c>
      <c r="AL70" s="17">
        <v>0</v>
      </c>
      <c r="AM70" s="17" t="s">
        <v>169</v>
      </c>
      <c r="AN70" s="17" t="s">
        <v>169</v>
      </c>
      <c r="AO70" s="17" t="s">
        <v>169</v>
      </c>
      <c r="AP70" s="17">
        <v>-42765</v>
      </c>
      <c r="AQ70" s="17"/>
      <c r="AR70" s="17">
        <v>0</v>
      </c>
      <c r="AS70" s="18">
        <v>0</v>
      </c>
      <c r="AT70" s="24">
        <v>0</v>
      </c>
      <c r="AU70" s="24">
        <v>0</v>
      </c>
      <c r="AV70" s="24">
        <v>0</v>
      </c>
      <c r="AW70" s="24">
        <v>0</v>
      </c>
      <c r="AX70" s="24"/>
      <c r="AY70" s="24" t="s">
        <v>441</v>
      </c>
      <c r="AZ70" s="18"/>
    </row>
    <row r="71" spans="1:52" x14ac:dyDescent="0.25">
      <c r="A71" s="16" t="s">
        <v>139</v>
      </c>
      <c r="B71" s="16">
        <v>9</v>
      </c>
      <c r="C71" s="65" t="s">
        <v>449</v>
      </c>
      <c r="D71" s="15" t="s">
        <v>141</v>
      </c>
      <c r="E71" s="15" t="s">
        <v>148</v>
      </c>
      <c r="F71" s="15"/>
      <c r="G71" s="16" t="s">
        <v>499</v>
      </c>
      <c r="H71" s="16" t="s">
        <v>103</v>
      </c>
      <c r="I71" s="16">
        <v>42788</v>
      </c>
      <c r="J71" s="22"/>
      <c r="K71" s="86"/>
      <c r="L71" s="16" t="s">
        <v>107</v>
      </c>
      <c r="M71" s="15"/>
      <c r="N71" s="15"/>
      <c r="O71" s="20"/>
      <c r="P71" s="15" t="s">
        <v>450</v>
      </c>
      <c r="Q71" s="20" t="s">
        <v>288</v>
      </c>
      <c r="R71" s="15"/>
      <c r="S71" s="67" t="s">
        <v>451</v>
      </c>
      <c r="T71" s="67" t="s">
        <v>169</v>
      </c>
      <c r="U71" s="67"/>
      <c r="V71" s="17"/>
      <c r="W71" s="17"/>
      <c r="X71" s="68"/>
      <c r="Y71" s="21"/>
      <c r="Z71" s="68"/>
      <c r="AA71" s="22"/>
      <c r="AB71" s="90"/>
      <c r="AC71" s="74">
        <v>3</v>
      </c>
      <c r="AD71" s="25">
        <v>26</v>
      </c>
      <c r="AE71" s="25">
        <v>23</v>
      </c>
      <c r="AF71" s="17">
        <v>23</v>
      </c>
      <c r="AG71" s="17" t="s">
        <v>168</v>
      </c>
      <c r="AH71" s="17" t="s">
        <v>169</v>
      </c>
      <c r="AI71" s="17" t="s">
        <v>169</v>
      </c>
      <c r="AJ71" s="17" t="s">
        <v>169</v>
      </c>
      <c r="AK71" s="17" t="s">
        <v>169</v>
      </c>
      <c r="AL71" s="17">
        <v>0</v>
      </c>
      <c r="AM71" s="17" t="s">
        <v>169</v>
      </c>
      <c r="AN71" s="17" t="s">
        <v>169</v>
      </c>
      <c r="AO71" s="17" t="s">
        <v>169</v>
      </c>
      <c r="AP71" s="17">
        <v>26</v>
      </c>
      <c r="AQ71" s="17"/>
      <c r="AR71" s="17">
        <v>0</v>
      </c>
      <c r="AS71" s="18">
        <v>0</v>
      </c>
      <c r="AT71" s="24">
        <v>0</v>
      </c>
      <c r="AU71" s="24">
        <v>0</v>
      </c>
      <c r="AV71" s="24">
        <v>0</v>
      </c>
      <c r="AW71" s="24">
        <v>0</v>
      </c>
      <c r="AX71" s="24"/>
      <c r="AY71" s="24" t="s">
        <v>452</v>
      </c>
      <c r="AZ71" s="18"/>
    </row>
    <row r="72" spans="1:52" x14ac:dyDescent="0.25">
      <c r="A72" s="16" t="s">
        <v>139</v>
      </c>
      <c r="B72" s="16">
        <v>9</v>
      </c>
      <c r="C72" s="65" t="s">
        <v>453</v>
      </c>
      <c r="D72" s="15" t="s">
        <v>144</v>
      </c>
      <c r="E72" s="15" t="s">
        <v>146</v>
      </c>
      <c r="F72" s="15" t="s">
        <v>500</v>
      </c>
      <c r="G72" s="16" t="s">
        <v>219</v>
      </c>
      <c r="H72" s="16" t="s">
        <v>103</v>
      </c>
      <c r="I72" s="16">
        <v>42788</v>
      </c>
      <c r="J72" s="22"/>
      <c r="K72" s="86" t="s">
        <v>105</v>
      </c>
      <c r="L72" s="16" t="s">
        <v>108</v>
      </c>
      <c r="M72" s="15"/>
      <c r="N72" s="15"/>
      <c r="O72" s="20">
        <v>42804</v>
      </c>
      <c r="P72" s="15" t="s">
        <v>450</v>
      </c>
      <c r="Q72" s="20" t="s">
        <v>209</v>
      </c>
      <c r="R72" s="15"/>
      <c r="S72" s="67" t="s">
        <v>454</v>
      </c>
      <c r="T72" s="67" t="s">
        <v>169</v>
      </c>
      <c r="U72" s="67"/>
      <c r="V72" s="17"/>
      <c r="W72" s="17"/>
      <c r="X72" s="68"/>
      <c r="Y72" s="21"/>
      <c r="Z72" s="68"/>
      <c r="AA72" s="22"/>
      <c r="AB72" s="90"/>
      <c r="AC72" s="74">
        <v>1</v>
      </c>
      <c r="AD72" s="25">
        <v>26</v>
      </c>
      <c r="AE72" s="25">
        <v>25</v>
      </c>
      <c r="AF72" s="17">
        <v>25</v>
      </c>
      <c r="AG72" s="17" t="s">
        <v>168</v>
      </c>
      <c r="AH72" s="17" t="s">
        <v>169</v>
      </c>
      <c r="AI72" s="17" t="s">
        <v>169</v>
      </c>
      <c r="AJ72" s="17" t="s">
        <v>169</v>
      </c>
      <c r="AK72" s="17" t="s">
        <v>169</v>
      </c>
      <c r="AL72" s="17">
        <v>0</v>
      </c>
      <c r="AM72" s="17" t="s">
        <v>169</v>
      </c>
      <c r="AN72" s="17" t="s">
        <v>169</v>
      </c>
      <c r="AO72" s="17" t="s">
        <v>169</v>
      </c>
      <c r="AP72" s="17">
        <v>-42788</v>
      </c>
      <c r="AQ72" s="17"/>
      <c r="AR72" s="17">
        <v>0</v>
      </c>
      <c r="AS72" s="18">
        <v>0</v>
      </c>
      <c r="AT72" s="24">
        <v>0</v>
      </c>
      <c r="AU72" s="24">
        <v>0</v>
      </c>
      <c r="AV72" s="24">
        <v>0</v>
      </c>
      <c r="AW72" s="24">
        <v>0</v>
      </c>
      <c r="AX72" s="24"/>
      <c r="AY72" s="24" t="s">
        <v>452</v>
      </c>
      <c r="AZ72" s="18"/>
    </row>
    <row r="73" spans="1:52" x14ac:dyDescent="0.25">
      <c r="A73" s="16" t="s">
        <v>139</v>
      </c>
      <c r="B73" s="16">
        <v>9</v>
      </c>
      <c r="C73" s="65" t="s">
        <v>455</v>
      </c>
      <c r="D73" s="15" t="s">
        <v>143</v>
      </c>
      <c r="E73" s="15" t="s">
        <v>148</v>
      </c>
      <c r="F73" s="15"/>
      <c r="G73" s="16" t="s">
        <v>499</v>
      </c>
      <c r="H73" s="16" t="s">
        <v>103</v>
      </c>
      <c r="I73" s="16">
        <v>42788</v>
      </c>
      <c r="J73" s="22"/>
      <c r="K73" s="86"/>
      <c r="L73" s="16" t="s">
        <v>109</v>
      </c>
      <c r="M73" s="15"/>
      <c r="N73" s="15"/>
      <c r="O73" s="20">
        <v>42802</v>
      </c>
      <c r="P73" s="15" t="s">
        <v>450</v>
      </c>
      <c r="Q73" s="20" t="s">
        <v>193</v>
      </c>
      <c r="R73" s="15"/>
      <c r="S73" s="67" t="s">
        <v>456</v>
      </c>
      <c r="T73" s="67" t="s">
        <v>169</v>
      </c>
      <c r="U73" s="67"/>
      <c r="V73" s="17"/>
      <c r="W73" s="17"/>
      <c r="X73" s="68"/>
      <c r="Y73" s="21"/>
      <c r="Z73" s="68"/>
      <c r="AA73" s="22"/>
      <c r="AB73" s="90"/>
      <c r="AC73" s="74">
        <v>3</v>
      </c>
      <c r="AD73" s="25">
        <v>26</v>
      </c>
      <c r="AE73" s="25">
        <v>23</v>
      </c>
      <c r="AF73" s="17">
        <v>23</v>
      </c>
      <c r="AG73" s="17" t="s">
        <v>168</v>
      </c>
      <c r="AH73" s="17" t="s">
        <v>169</v>
      </c>
      <c r="AI73" s="17" t="s">
        <v>169</v>
      </c>
      <c r="AJ73" s="17" t="s">
        <v>169</v>
      </c>
      <c r="AK73" s="17" t="s">
        <v>169</v>
      </c>
      <c r="AL73" s="17">
        <v>0</v>
      </c>
      <c r="AM73" s="17" t="s">
        <v>169</v>
      </c>
      <c r="AN73" s="17" t="s">
        <v>169</v>
      </c>
      <c r="AO73" s="17" t="s">
        <v>169</v>
      </c>
      <c r="AP73" s="17">
        <v>26</v>
      </c>
      <c r="AQ73" s="17"/>
      <c r="AR73" s="17">
        <v>0</v>
      </c>
      <c r="AS73" s="18">
        <v>0</v>
      </c>
      <c r="AT73" s="24">
        <v>0</v>
      </c>
      <c r="AU73" s="24">
        <v>0</v>
      </c>
      <c r="AV73" s="24">
        <v>0</v>
      </c>
      <c r="AW73" s="24">
        <v>0</v>
      </c>
      <c r="AX73" s="24"/>
      <c r="AY73" s="24" t="s">
        <v>452</v>
      </c>
      <c r="AZ73" s="18"/>
    </row>
    <row r="74" spans="1:52" x14ac:dyDescent="0.25">
      <c r="A74" s="16" t="s">
        <v>139</v>
      </c>
      <c r="B74" s="16">
        <v>9</v>
      </c>
      <c r="C74" s="65" t="s">
        <v>457</v>
      </c>
      <c r="D74" s="15" t="s">
        <v>143</v>
      </c>
      <c r="E74" s="15" t="s">
        <v>146</v>
      </c>
      <c r="F74" s="15" t="s">
        <v>501</v>
      </c>
      <c r="G74" s="16" t="s">
        <v>157</v>
      </c>
      <c r="H74" s="16" t="s">
        <v>103</v>
      </c>
      <c r="I74" s="16">
        <v>42788</v>
      </c>
      <c r="J74" s="22"/>
      <c r="K74" s="86"/>
      <c r="L74" s="16" t="s">
        <v>107</v>
      </c>
      <c r="M74" s="15"/>
      <c r="N74" s="15"/>
      <c r="O74" s="20"/>
      <c r="P74" s="15" t="s">
        <v>450</v>
      </c>
      <c r="Q74" s="20" t="s">
        <v>193</v>
      </c>
      <c r="R74" s="15"/>
      <c r="S74" s="67"/>
      <c r="T74" s="67" t="s">
        <v>169</v>
      </c>
      <c r="U74" s="67"/>
      <c r="V74" s="17"/>
      <c r="W74" s="17"/>
      <c r="X74" s="71"/>
      <c r="Y74" s="66"/>
      <c r="Z74" s="71"/>
      <c r="AA74" s="64"/>
      <c r="AB74" s="90"/>
      <c r="AC74" s="74">
        <v>1</v>
      </c>
      <c r="AD74" s="25">
        <v>26</v>
      </c>
      <c r="AE74" s="25">
        <v>25</v>
      </c>
      <c r="AF74" s="17">
        <v>25</v>
      </c>
      <c r="AG74" s="17" t="s">
        <v>168</v>
      </c>
      <c r="AH74" s="17" t="s">
        <v>169</v>
      </c>
      <c r="AI74" s="17" t="s">
        <v>169</v>
      </c>
      <c r="AJ74" s="17" t="s">
        <v>169</v>
      </c>
      <c r="AK74" s="17" t="s">
        <v>169</v>
      </c>
      <c r="AL74" s="17">
        <v>0</v>
      </c>
      <c r="AM74" s="17" t="s">
        <v>169</v>
      </c>
      <c r="AN74" s="17" t="s">
        <v>169</v>
      </c>
      <c r="AO74" s="17" t="s">
        <v>169</v>
      </c>
      <c r="AP74" s="17">
        <v>26</v>
      </c>
      <c r="AQ74" s="17"/>
      <c r="AR74" s="17">
        <v>0</v>
      </c>
      <c r="AS74" s="18">
        <v>0</v>
      </c>
      <c r="AT74" s="24">
        <v>0</v>
      </c>
      <c r="AU74" s="24">
        <v>0</v>
      </c>
      <c r="AV74" s="24">
        <v>0</v>
      </c>
      <c r="AW74" s="24">
        <v>0</v>
      </c>
      <c r="AX74" s="24"/>
      <c r="AY74" s="24" t="s">
        <v>452</v>
      </c>
      <c r="AZ74" s="18"/>
    </row>
    <row r="75" spans="1:52" x14ac:dyDescent="0.25">
      <c r="A75" s="16" t="s">
        <v>139</v>
      </c>
      <c r="B75" s="16">
        <v>9</v>
      </c>
      <c r="C75" s="65" t="s">
        <v>458</v>
      </c>
      <c r="D75" s="15" t="s">
        <v>143</v>
      </c>
      <c r="E75" s="15" t="s">
        <v>148</v>
      </c>
      <c r="F75" s="15"/>
      <c r="G75" s="16" t="s">
        <v>502</v>
      </c>
      <c r="H75" s="16" t="s">
        <v>103</v>
      </c>
      <c r="I75" s="16">
        <v>42788</v>
      </c>
      <c r="J75" s="22"/>
      <c r="K75" s="86"/>
      <c r="L75" s="16" t="s">
        <v>107</v>
      </c>
      <c r="M75" s="15"/>
      <c r="N75" s="15"/>
      <c r="O75" s="20"/>
      <c r="P75" s="15" t="s">
        <v>111</v>
      </c>
      <c r="Q75" s="20" t="s">
        <v>199</v>
      </c>
      <c r="R75" s="15"/>
      <c r="S75" s="67" t="s">
        <v>459</v>
      </c>
      <c r="T75" s="67" t="s">
        <v>169</v>
      </c>
      <c r="U75" s="67"/>
      <c r="V75" s="17"/>
      <c r="W75" s="17"/>
      <c r="X75" s="71"/>
      <c r="Y75" s="66"/>
      <c r="Z75" s="71"/>
      <c r="AA75" s="64"/>
      <c r="AB75" s="90"/>
      <c r="AC75" s="74">
        <v>3</v>
      </c>
      <c r="AD75" s="25">
        <v>26</v>
      </c>
      <c r="AE75" s="25">
        <v>23</v>
      </c>
      <c r="AF75" s="17">
        <v>23</v>
      </c>
      <c r="AG75" s="17" t="s">
        <v>168</v>
      </c>
      <c r="AH75" s="17" t="s">
        <v>169</v>
      </c>
      <c r="AI75" s="17" t="s">
        <v>169</v>
      </c>
      <c r="AJ75" s="17" t="s">
        <v>169</v>
      </c>
      <c r="AK75" s="17" t="s">
        <v>169</v>
      </c>
      <c r="AL75" s="17">
        <v>0</v>
      </c>
      <c r="AM75" s="17" t="s">
        <v>169</v>
      </c>
      <c r="AN75" s="17" t="s">
        <v>169</v>
      </c>
      <c r="AO75" s="17" t="s">
        <v>169</v>
      </c>
      <c r="AP75" s="17">
        <v>26</v>
      </c>
      <c r="AQ75" s="17"/>
      <c r="AR75" s="17">
        <v>0</v>
      </c>
      <c r="AS75" s="18">
        <v>0</v>
      </c>
      <c r="AT75" s="24">
        <v>0</v>
      </c>
      <c r="AU75" s="24">
        <v>0</v>
      </c>
      <c r="AV75" s="24">
        <v>0</v>
      </c>
      <c r="AW75" s="24">
        <v>0</v>
      </c>
      <c r="AX75" s="24"/>
      <c r="AY75" s="24" t="s">
        <v>452</v>
      </c>
      <c r="AZ75" s="18"/>
    </row>
    <row r="76" spans="1:52" x14ac:dyDescent="0.25">
      <c r="A76" s="16" t="s">
        <v>139</v>
      </c>
      <c r="B76" s="16">
        <v>9</v>
      </c>
      <c r="C76" s="65" t="s">
        <v>460</v>
      </c>
      <c r="D76" s="15" t="s">
        <v>144</v>
      </c>
      <c r="E76" s="15" t="s">
        <v>148</v>
      </c>
      <c r="F76" s="15"/>
      <c r="G76" s="16" t="s">
        <v>502</v>
      </c>
      <c r="H76" s="16" t="s">
        <v>103</v>
      </c>
      <c r="I76" s="16">
        <v>42788</v>
      </c>
      <c r="J76" s="22"/>
      <c r="K76" s="86"/>
      <c r="L76" s="16" t="s">
        <v>107</v>
      </c>
      <c r="M76" s="15"/>
      <c r="N76" s="15"/>
      <c r="O76" s="20"/>
      <c r="P76" s="15" t="s">
        <v>111</v>
      </c>
      <c r="Q76" s="20" t="s">
        <v>193</v>
      </c>
      <c r="R76" s="15"/>
      <c r="S76" s="67" t="s">
        <v>461</v>
      </c>
      <c r="T76" s="67" t="s">
        <v>169</v>
      </c>
      <c r="U76" s="67"/>
      <c r="V76" s="17"/>
      <c r="W76" s="17"/>
      <c r="X76" s="71"/>
      <c r="Y76" s="66"/>
      <c r="Z76" s="71"/>
      <c r="AA76" s="64"/>
      <c r="AB76" s="90"/>
      <c r="AC76" s="74">
        <v>3</v>
      </c>
      <c r="AD76" s="25">
        <v>26</v>
      </c>
      <c r="AE76" s="25">
        <v>23</v>
      </c>
      <c r="AF76" s="17">
        <v>23</v>
      </c>
      <c r="AG76" s="17" t="s">
        <v>168</v>
      </c>
      <c r="AH76" s="17" t="s">
        <v>169</v>
      </c>
      <c r="AI76" s="17" t="s">
        <v>169</v>
      </c>
      <c r="AJ76" s="17" t="s">
        <v>169</v>
      </c>
      <c r="AK76" s="17" t="s">
        <v>169</v>
      </c>
      <c r="AL76" s="17">
        <v>0</v>
      </c>
      <c r="AM76" s="17" t="s">
        <v>169</v>
      </c>
      <c r="AN76" s="17" t="s">
        <v>169</v>
      </c>
      <c r="AO76" s="17" t="s">
        <v>169</v>
      </c>
      <c r="AP76" s="17">
        <v>26</v>
      </c>
      <c r="AQ76" s="17"/>
      <c r="AR76" s="17">
        <v>0</v>
      </c>
      <c r="AS76" s="18">
        <v>0</v>
      </c>
      <c r="AT76" s="24">
        <v>0</v>
      </c>
      <c r="AU76" s="24">
        <v>0</v>
      </c>
      <c r="AV76" s="24">
        <v>0</v>
      </c>
      <c r="AW76" s="24">
        <v>0</v>
      </c>
      <c r="AX76" s="24"/>
      <c r="AY76" s="24" t="s">
        <v>452</v>
      </c>
      <c r="AZ76" s="18"/>
    </row>
    <row r="77" spans="1:52" x14ac:dyDescent="0.25">
      <c r="A77" s="16" t="s">
        <v>139</v>
      </c>
      <c r="B77" s="16">
        <v>9</v>
      </c>
      <c r="C77" s="65" t="s">
        <v>462</v>
      </c>
      <c r="D77" s="15" t="s">
        <v>143</v>
      </c>
      <c r="E77" s="15" t="s">
        <v>148</v>
      </c>
      <c r="F77" s="15"/>
      <c r="G77" s="16" t="s">
        <v>502</v>
      </c>
      <c r="H77" s="16" t="s">
        <v>103</v>
      </c>
      <c r="I77" s="16">
        <v>42788</v>
      </c>
      <c r="J77" s="22"/>
      <c r="K77" s="86"/>
      <c r="L77" s="16" t="s">
        <v>107</v>
      </c>
      <c r="M77" s="15"/>
      <c r="N77" s="15"/>
      <c r="O77" s="20"/>
      <c r="P77" s="15" t="s">
        <v>111</v>
      </c>
      <c r="Q77" s="20" t="s">
        <v>193</v>
      </c>
      <c r="R77" s="15"/>
      <c r="S77" s="67" t="s">
        <v>463</v>
      </c>
      <c r="T77" s="67" t="s">
        <v>169</v>
      </c>
      <c r="U77" s="67"/>
      <c r="V77" s="17"/>
      <c r="W77" s="17"/>
      <c r="X77" s="71"/>
      <c r="Y77" s="66"/>
      <c r="Z77" s="71"/>
      <c r="AA77" s="64"/>
      <c r="AB77" s="90"/>
      <c r="AC77" s="74">
        <v>3</v>
      </c>
      <c r="AD77" s="25">
        <v>26</v>
      </c>
      <c r="AE77" s="25">
        <v>23</v>
      </c>
      <c r="AF77" s="17">
        <v>23</v>
      </c>
      <c r="AG77" s="17" t="s">
        <v>168</v>
      </c>
      <c r="AH77" s="17" t="s">
        <v>169</v>
      </c>
      <c r="AI77" s="17" t="s">
        <v>169</v>
      </c>
      <c r="AJ77" s="17" t="s">
        <v>169</v>
      </c>
      <c r="AK77" s="17" t="s">
        <v>169</v>
      </c>
      <c r="AL77" s="17">
        <v>0</v>
      </c>
      <c r="AM77" s="17" t="s">
        <v>169</v>
      </c>
      <c r="AN77" s="17" t="s">
        <v>169</v>
      </c>
      <c r="AO77" s="17" t="s">
        <v>169</v>
      </c>
      <c r="AP77" s="17">
        <v>26</v>
      </c>
      <c r="AQ77" s="17"/>
      <c r="AR77" s="17">
        <v>0</v>
      </c>
      <c r="AS77" s="18">
        <v>0</v>
      </c>
      <c r="AT77" s="24">
        <v>0</v>
      </c>
      <c r="AU77" s="24">
        <v>0</v>
      </c>
      <c r="AV77" s="24">
        <v>0</v>
      </c>
      <c r="AW77" s="24">
        <v>0</v>
      </c>
      <c r="AX77" s="24"/>
      <c r="AY77" s="24" t="s">
        <v>452</v>
      </c>
      <c r="AZ77" s="18"/>
    </row>
    <row r="78" spans="1:52" x14ac:dyDescent="0.25">
      <c r="A78" s="16" t="s">
        <v>139</v>
      </c>
      <c r="B78" s="16">
        <v>9</v>
      </c>
      <c r="C78" s="65" t="s">
        <v>464</v>
      </c>
      <c r="D78" s="15" t="s">
        <v>144</v>
      </c>
      <c r="E78" s="15" t="s">
        <v>148</v>
      </c>
      <c r="F78" s="15"/>
      <c r="G78" s="16" t="s">
        <v>433</v>
      </c>
      <c r="H78" s="16" t="s">
        <v>103</v>
      </c>
      <c r="I78" s="16">
        <v>42788</v>
      </c>
      <c r="J78" s="22"/>
      <c r="K78" s="86"/>
      <c r="L78" s="16" t="s">
        <v>107</v>
      </c>
      <c r="M78" s="15"/>
      <c r="N78" s="15"/>
      <c r="O78" s="20"/>
      <c r="P78" s="15" t="s">
        <v>112</v>
      </c>
      <c r="Q78" s="20" t="s">
        <v>429</v>
      </c>
      <c r="R78" s="15"/>
      <c r="S78" s="67" t="s">
        <v>461</v>
      </c>
      <c r="T78" s="67" t="s">
        <v>169</v>
      </c>
      <c r="U78" s="67"/>
      <c r="V78" s="17"/>
      <c r="W78" s="17"/>
      <c r="X78" s="71"/>
      <c r="Y78" s="66"/>
      <c r="Z78" s="71"/>
      <c r="AA78" s="64"/>
      <c r="AB78" s="90"/>
      <c r="AC78" s="74">
        <v>3</v>
      </c>
      <c r="AD78" s="25">
        <v>26</v>
      </c>
      <c r="AE78" s="25">
        <v>23</v>
      </c>
      <c r="AF78" s="17">
        <v>23</v>
      </c>
      <c r="AG78" s="17" t="s">
        <v>168</v>
      </c>
      <c r="AH78" s="17" t="s">
        <v>169</v>
      </c>
      <c r="AI78" s="17" t="s">
        <v>169</v>
      </c>
      <c r="AJ78" s="17" t="s">
        <v>169</v>
      </c>
      <c r="AK78" s="17" t="s">
        <v>169</v>
      </c>
      <c r="AL78" s="17">
        <v>0</v>
      </c>
      <c r="AM78" s="17" t="s">
        <v>169</v>
      </c>
      <c r="AN78" s="17" t="s">
        <v>169</v>
      </c>
      <c r="AO78" s="17" t="s">
        <v>169</v>
      </c>
      <c r="AP78" s="17">
        <v>26</v>
      </c>
      <c r="AQ78" s="17"/>
      <c r="AR78" s="17">
        <v>0</v>
      </c>
      <c r="AS78" s="18">
        <v>0</v>
      </c>
      <c r="AT78" s="24">
        <v>0</v>
      </c>
      <c r="AU78" s="24">
        <v>0</v>
      </c>
      <c r="AV78" s="24">
        <v>0</v>
      </c>
      <c r="AW78" s="24">
        <v>0</v>
      </c>
      <c r="AX78" s="24"/>
      <c r="AY78" s="24" t="s">
        <v>452</v>
      </c>
      <c r="AZ78" s="18"/>
    </row>
    <row r="79" spans="1:52" x14ac:dyDescent="0.25">
      <c r="A79" s="16" t="s">
        <v>139</v>
      </c>
      <c r="B79" s="16">
        <v>9</v>
      </c>
      <c r="C79" s="65" t="s">
        <v>465</v>
      </c>
      <c r="D79" s="15" t="s">
        <v>141</v>
      </c>
      <c r="E79" s="15" t="s">
        <v>148</v>
      </c>
      <c r="F79" s="15"/>
      <c r="G79" s="16" t="s">
        <v>433</v>
      </c>
      <c r="H79" s="16" t="s">
        <v>103</v>
      </c>
      <c r="I79" s="16">
        <v>42788</v>
      </c>
      <c r="J79" s="22"/>
      <c r="K79" s="86"/>
      <c r="L79" s="16" t="s">
        <v>109</v>
      </c>
      <c r="M79" s="15"/>
      <c r="N79" s="15"/>
      <c r="O79" s="20">
        <v>42802</v>
      </c>
      <c r="P79" s="15" t="s">
        <v>112</v>
      </c>
      <c r="Q79" s="20" t="s">
        <v>429</v>
      </c>
      <c r="R79" s="15"/>
      <c r="S79" s="67" t="s">
        <v>461</v>
      </c>
      <c r="T79" s="67" t="s">
        <v>169</v>
      </c>
      <c r="U79" s="67"/>
      <c r="V79" s="17"/>
      <c r="W79" s="17"/>
      <c r="X79" s="71"/>
      <c r="Y79" s="66"/>
      <c r="Z79" s="71"/>
      <c r="AA79" s="64"/>
      <c r="AB79" s="90"/>
      <c r="AC79" s="74">
        <v>3</v>
      </c>
      <c r="AD79" s="25">
        <v>26</v>
      </c>
      <c r="AE79" s="25">
        <v>23</v>
      </c>
      <c r="AF79" s="17">
        <v>23</v>
      </c>
      <c r="AG79" s="17" t="s">
        <v>168</v>
      </c>
      <c r="AH79" s="17" t="s">
        <v>169</v>
      </c>
      <c r="AI79" s="17" t="s">
        <v>169</v>
      </c>
      <c r="AJ79" s="17" t="s">
        <v>169</v>
      </c>
      <c r="AK79" s="17" t="s">
        <v>169</v>
      </c>
      <c r="AL79" s="17">
        <v>0</v>
      </c>
      <c r="AM79" s="17" t="s">
        <v>169</v>
      </c>
      <c r="AN79" s="17" t="s">
        <v>169</v>
      </c>
      <c r="AO79" s="17" t="s">
        <v>169</v>
      </c>
      <c r="AP79" s="17">
        <v>26</v>
      </c>
      <c r="AQ79" s="17"/>
      <c r="AR79" s="17">
        <v>0</v>
      </c>
      <c r="AS79" s="18">
        <v>0</v>
      </c>
      <c r="AT79" s="24">
        <v>0</v>
      </c>
      <c r="AU79" s="24">
        <v>0</v>
      </c>
      <c r="AV79" s="24">
        <v>0</v>
      </c>
      <c r="AW79" s="24">
        <v>0</v>
      </c>
      <c r="AX79" s="24"/>
      <c r="AY79" s="24" t="s">
        <v>452</v>
      </c>
      <c r="AZ79" s="18"/>
    </row>
    <row r="80" spans="1:52" x14ac:dyDescent="0.25">
      <c r="A80" s="16" t="s">
        <v>139</v>
      </c>
      <c r="B80" s="16">
        <v>9</v>
      </c>
      <c r="C80" s="65" t="s">
        <v>466</v>
      </c>
      <c r="D80" s="15" t="s">
        <v>144</v>
      </c>
      <c r="E80" s="15" t="s">
        <v>148</v>
      </c>
      <c r="F80" s="15"/>
      <c r="G80" s="16" t="s">
        <v>433</v>
      </c>
      <c r="H80" s="16" t="s">
        <v>103</v>
      </c>
      <c r="I80" s="16">
        <v>42788</v>
      </c>
      <c r="J80" s="22"/>
      <c r="K80" s="86"/>
      <c r="L80" s="16" t="s">
        <v>107</v>
      </c>
      <c r="M80" s="15"/>
      <c r="N80" s="15"/>
      <c r="O80" s="20"/>
      <c r="P80" s="15" t="s">
        <v>112</v>
      </c>
      <c r="Q80" s="20" t="s">
        <v>429</v>
      </c>
      <c r="R80" s="15"/>
      <c r="S80" s="67" t="s">
        <v>467</v>
      </c>
      <c r="T80" s="67" t="s">
        <v>169</v>
      </c>
      <c r="U80" s="67"/>
      <c r="V80" s="17"/>
      <c r="W80" s="17"/>
      <c r="X80" s="71"/>
      <c r="Y80" s="74"/>
      <c r="Z80" s="71"/>
      <c r="AA80" s="74"/>
      <c r="AB80" s="90"/>
      <c r="AC80" s="74">
        <v>3</v>
      </c>
      <c r="AD80" s="25">
        <v>26</v>
      </c>
      <c r="AE80" s="25">
        <v>23</v>
      </c>
      <c r="AF80" s="17">
        <v>23</v>
      </c>
      <c r="AG80" s="17" t="s">
        <v>168</v>
      </c>
      <c r="AH80" s="17" t="s">
        <v>169</v>
      </c>
      <c r="AI80" s="17" t="s">
        <v>169</v>
      </c>
      <c r="AJ80" s="17" t="s">
        <v>169</v>
      </c>
      <c r="AK80" s="17" t="s">
        <v>169</v>
      </c>
      <c r="AL80" s="17">
        <v>0</v>
      </c>
      <c r="AM80" s="17" t="s">
        <v>169</v>
      </c>
      <c r="AN80" s="17" t="s">
        <v>169</v>
      </c>
      <c r="AO80" s="17" t="s">
        <v>169</v>
      </c>
      <c r="AP80" s="17">
        <v>26</v>
      </c>
      <c r="AQ80" s="17"/>
      <c r="AR80" s="17">
        <v>0</v>
      </c>
      <c r="AS80" s="18">
        <v>0</v>
      </c>
      <c r="AT80" s="24">
        <v>0</v>
      </c>
      <c r="AU80" s="24">
        <v>0</v>
      </c>
      <c r="AV80" s="24">
        <v>0</v>
      </c>
      <c r="AW80" s="24">
        <v>0</v>
      </c>
      <c r="AX80" s="24"/>
      <c r="AY80" s="24" t="s">
        <v>452</v>
      </c>
      <c r="AZ80" s="18"/>
    </row>
    <row r="81" spans="1:52" x14ac:dyDescent="0.25">
      <c r="A81" s="16" t="s">
        <v>139</v>
      </c>
      <c r="B81" s="16">
        <v>9</v>
      </c>
      <c r="C81" s="65" t="s">
        <v>468</v>
      </c>
      <c r="D81" s="15" t="s">
        <v>144</v>
      </c>
      <c r="E81" s="15" t="s">
        <v>148</v>
      </c>
      <c r="F81" s="15"/>
      <c r="G81" s="16" t="s">
        <v>433</v>
      </c>
      <c r="H81" s="16" t="s">
        <v>103</v>
      </c>
      <c r="I81" s="16">
        <v>42788</v>
      </c>
      <c r="J81" s="22"/>
      <c r="K81" s="86"/>
      <c r="L81" s="16" t="s">
        <v>107</v>
      </c>
      <c r="M81" s="15"/>
      <c r="N81" s="15"/>
      <c r="O81" s="20"/>
      <c r="P81" s="15" t="s">
        <v>112</v>
      </c>
      <c r="Q81" s="20" t="s">
        <v>429</v>
      </c>
      <c r="R81" s="15"/>
      <c r="S81" s="67" t="s">
        <v>469</v>
      </c>
      <c r="T81" s="67" t="s">
        <v>169</v>
      </c>
      <c r="U81" s="67"/>
      <c r="V81" s="17"/>
      <c r="W81" s="17"/>
      <c r="X81" s="16"/>
      <c r="Y81" s="20"/>
      <c r="Z81" s="15"/>
      <c r="AA81" s="22"/>
      <c r="AB81" s="90"/>
      <c r="AC81" s="22">
        <v>3</v>
      </c>
      <c r="AD81" s="25">
        <v>26</v>
      </c>
      <c r="AE81" s="25">
        <v>23</v>
      </c>
      <c r="AF81" s="17">
        <v>23</v>
      </c>
      <c r="AG81" s="17" t="s">
        <v>168</v>
      </c>
      <c r="AH81" s="17" t="s">
        <v>169</v>
      </c>
      <c r="AI81" s="17" t="s">
        <v>169</v>
      </c>
      <c r="AJ81" s="17" t="s">
        <v>169</v>
      </c>
      <c r="AK81" s="17" t="s">
        <v>169</v>
      </c>
      <c r="AL81" s="17">
        <v>0</v>
      </c>
      <c r="AM81" s="17" t="s">
        <v>169</v>
      </c>
      <c r="AN81" s="17" t="s">
        <v>169</v>
      </c>
      <c r="AO81" s="17" t="s">
        <v>169</v>
      </c>
      <c r="AP81" s="17">
        <v>26</v>
      </c>
      <c r="AQ81" s="17"/>
      <c r="AR81" s="17">
        <v>0</v>
      </c>
      <c r="AS81" s="18">
        <v>0</v>
      </c>
      <c r="AT81" s="24">
        <v>0</v>
      </c>
      <c r="AU81" s="24">
        <v>0</v>
      </c>
      <c r="AV81" s="24">
        <v>0</v>
      </c>
      <c r="AW81" s="24">
        <v>0</v>
      </c>
      <c r="AX81" s="24"/>
      <c r="AY81" s="24" t="s">
        <v>452</v>
      </c>
      <c r="AZ81" s="18"/>
    </row>
    <row r="82" spans="1:52" x14ac:dyDescent="0.25">
      <c r="A82" s="16" t="s">
        <v>139</v>
      </c>
      <c r="B82" s="16">
        <v>9</v>
      </c>
      <c r="C82" s="65" t="s">
        <v>452</v>
      </c>
      <c r="D82" s="15" t="s">
        <v>143</v>
      </c>
      <c r="E82" s="15" t="s">
        <v>148</v>
      </c>
      <c r="F82" s="15"/>
      <c r="G82" s="16" t="s">
        <v>433</v>
      </c>
      <c r="H82" s="16" t="s">
        <v>103</v>
      </c>
      <c r="I82" s="16">
        <v>42788</v>
      </c>
      <c r="J82" s="22"/>
      <c r="K82" s="86"/>
      <c r="L82" s="16" t="s">
        <v>107</v>
      </c>
      <c r="M82" s="15"/>
      <c r="N82" s="15"/>
      <c r="O82" s="20"/>
      <c r="P82" s="15" t="s">
        <v>112</v>
      </c>
      <c r="Q82" s="20" t="s">
        <v>429</v>
      </c>
      <c r="R82" s="15"/>
      <c r="S82" s="67" t="s">
        <v>469</v>
      </c>
      <c r="T82" s="67" t="s">
        <v>169</v>
      </c>
      <c r="U82" s="67"/>
      <c r="V82" s="17"/>
      <c r="W82" s="17"/>
      <c r="X82" s="16"/>
      <c r="Y82" s="20"/>
      <c r="Z82" s="15"/>
      <c r="AA82" s="22"/>
      <c r="AB82" s="90"/>
      <c r="AC82" s="22">
        <v>3</v>
      </c>
      <c r="AD82" s="25">
        <v>26</v>
      </c>
      <c r="AE82" s="25">
        <v>23</v>
      </c>
      <c r="AF82" s="17">
        <v>23</v>
      </c>
      <c r="AG82" s="17" t="s">
        <v>168</v>
      </c>
      <c r="AH82" s="17" t="s">
        <v>169</v>
      </c>
      <c r="AI82" s="17" t="s">
        <v>169</v>
      </c>
      <c r="AJ82" s="17" t="s">
        <v>169</v>
      </c>
      <c r="AK82" s="17" t="s">
        <v>169</v>
      </c>
      <c r="AL82" s="17">
        <v>0</v>
      </c>
      <c r="AM82" s="17" t="s">
        <v>169</v>
      </c>
      <c r="AN82" s="17" t="s">
        <v>169</v>
      </c>
      <c r="AO82" s="17" t="s">
        <v>169</v>
      </c>
      <c r="AP82" s="17">
        <v>26</v>
      </c>
      <c r="AQ82" s="17"/>
      <c r="AR82" s="17">
        <v>0</v>
      </c>
      <c r="AS82" s="18">
        <v>0</v>
      </c>
      <c r="AT82" s="24">
        <v>0</v>
      </c>
      <c r="AU82" s="24">
        <v>0</v>
      </c>
      <c r="AV82" s="24">
        <v>0</v>
      </c>
      <c r="AW82" s="24">
        <v>0</v>
      </c>
      <c r="AX82" s="24"/>
      <c r="AY82" s="24" t="s">
        <v>452</v>
      </c>
      <c r="AZ82" s="18"/>
    </row>
    <row r="83" spans="1:52" x14ac:dyDescent="0.25">
      <c r="A83" s="16" t="s">
        <v>139</v>
      </c>
      <c r="B83" s="16">
        <v>9</v>
      </c>
      <c r="C83" s="65" t="s">
        <v>470</v>
      </c>
      <c r="D83" s="15" t="s">
        <v>141</v>
      </c>
      <c r="E83" s="15"/>
      <c r="F83" s="15"/>
      <c r="G83" s="16" t="s">
        <v>502</v>
      </c>
      <c r="H83" s="16" t="s">
        <v>103</v>
      </c>
      <c r="I83" s="16">
        <v>42788</v>
      </c>
      <c r="J83" s="22"/>
      <c r="K83" s="86"/>
      <c r="L83" s="16" t="s">
        <v>107</v>
      </c>
      <c r="M83" s="15"/>
      <c r="N83" s="15"/>
      <c r="O83" s="20"/>
      <c r="P83" s="15" t="s">
        <v>111</v>
      </c>
      <c r="Q83" s="20"/>
      <c r="R83" s="15"/>
      <c r="S83" s="67" t="s">
        <v>471</v>
      </c>
      <c r="T83" s="67" t="s">
        <v>169</v>
      </c>
      <c r="U83" s="67"/>
      <c r="V83" s="17"/>
      <c r="W83" s="17"/>
      <c r="X83" s="16"/>
      <c r="Y83" s="20"/>
      <c r="Z83" s="15"/>
      <c r="AA83" s="22"/>
      <c r="AB83" s="90"/>
      <c r="AC83" s="22" t="s">
        <v>169</v>
      </c>
      <c r="AD83" s="25">
        <v>26</v>
      </c>
      <c r="AE83" s="25" t="s">
        <v>169</v>
      </c>
      <c r="AF83" s="17" t="s">
        <v>169</v>
      </c>
      <c r="AG83" s="17" t="s">
        <v>169</v>
      </c>
      <c r="AH83" s="17" t="s">
        <v>169</v>
      </c>
      <c r="AI83" s="17" t="s">
        <v>169</v>
      </c>
      <c r="AJ83" s="17" t="s">
        <v>169</v>
      </c>
      <c r="AK83" s="17" t="s">
        <v>169</v>
      </c>
      <c r="AL83" s="17">
        <v>0</v>
      </c>
      <c r="AM83" s="17" t="s">
        <v>169</v>
      </c>
      <c r="AN83" s="17" t="s">
        <v>169</v>
      </c>
      <c r="AO83" s="17" t="s">
        <v>169</v>
      </c>
      <c r="AP83" s="17">
        <v>26</v>
      </c>
      <c r="AQ83" s="17"/>
      <c r="AR83" s="17">
        <v>0</v>
      </c>
      <c r="AS83" s="18">
        <v>0</v>
      </c>
      <c r="AT83" s="24">
        <v>0</v>
      </c>
      <c r="AU83" s="24">
        <v>0</v>
      </c>
      <c r="AV83" s="24">
        <v>0</v>
      </c>
      <c r="AW83" s="24">
        <v>0</v>
      </c>
      <c r="AX83" s="24"/>
      <c r="AY83" s="24" t="s">
        <v>452</v>
      </c>
      <c r="AZ83" s="18"/>
    </row>
    <row r="84" spans="1:52" x14ac:dyDescent="0.25">
      <c r="A84" s="16" t="s">
        <v>139</v>
      </c>
      <c r="B84" s="16">
        <v>9</v>
      </c>
      <c r="C84" s="65" t="s">
        <v>453</v>
      </c>
      <c r="D84" s="15" t="s">
        <v>144</v>
      </c>
      <c r="E84" s="15"/>
      <c r="F84" s="15"/>
      <c r="G84" s="16" t="s">
        <v>502</v>
      </c>
      <c r="H84" s="16" t="s">
        <v>103</v>
      </c>
      <c r="I84" s="16">
        <v>42788</v>
      </c>
      <c r="J84" s="22"/>
      <c r="K84" s="86"/>
      <c r="L84" s="16" t="s">
        <v>107</v>
      </c>
      <c r="M84" s="15"/>
      <c r="N84" s="15"/>
      <c r="O84" s="20"/>
      <c r="P84" s="15" t="s">
        <v>111</v>
      </c>
      <c r="Q84" s="20"/>
      <c r="R84" s="15"/>
      <c r="S84" s="67"/>
      <c r="T84" s="67" t="s">
        <v>169</v>
      </c>
      <c r="U84" s="67"/>
      <c r="V84" s="17"/>
      <c r="W84" s="17"/>
      <c r="X84" s="16"/>
      <c r="Y84" s="20"/>
      <c r="Z84" s="15"/>
      <c r="AA84" s="22"/>
      <c r="AB84" s="90"/>
      <c r="AC84" s="22" t="s">
        <v>169</v>
      </c>
      <c r="AD84" s="25">
        <v>26</v>
      </c>
      <c r="AE84" s="25" t="s">
        <v>169</v>
      </c>
      <c r="AF84" s="17" t="s">
        <v>169</v>
      </c>
      <c r="AG84" s="17" t="s">
        <v>169</v>
      </c>
      <c r="AH84" s="17" t="s">
        <v>169</v>
      </c>
      <c r="AI84" s="17" t="s">
        <v>169</v>
      </c>
      <c r="AJ84" s="17" t="s">
        <v>169</v>
      </c>
      <c r="AK84" s="17" t="s">
        <v>169</v>
      </c>
      <c r="AL84" s="17">
        <v>0</v>
      </c>
      <c r="AM84" s="17" t="s">
        <v>169</v>
      </c>
      <c r="AN84" s="17" t="s">
        <v>169</v>
      </c>
      <c r="AO84" s="17" t="s">
        <v>169</v>
      </c>
      <c r="AP84" s="17">
        <v>26</v>
      </c>
      <c r="AQ84" s="17"/>
      <c r="AR84" s="17">
        <v>0</v>
      </c>
      <c r="AS84" s="18">
        <v>0</v>
      </c>
      <c r="AT84" s="24">
        <v>0</v>
      </c>
      <c r="AU84" s="24">
        <v>0</v>
      </c>
      <c r="AV84" s="24">
        <v>0</v>
      </c>
      <c r="AW84" s="24">
        <v>0</v>
      </c>
      <c r="AX84" s="24"/>
      <c r="AY84" s="24" t="s">
        <v>452</v>
      </c>
      <c r="AZ84" s="18"/>
    </row>
    <row r="85" spans="1:52" x14ac:dyDescent="0.25">
      <c r="A85" s="16" t="s">
        <v>139</v>
      </c>
      <c r="B85" s="16">
        <v>9</v>
      </c>
      <c r="C85" s="65" t="s">
        <v>464</v>
      </c>
      <c r="D85" s="15" t="s">
        <v>144</v>
      </c>
      <c r="E85" s="15"/>
      <c r="F85" s="15"/>
      <c r="G85" s="16" t="s">
        <v>502</v>
      </c>
      <c r="H85" s="16" t="s">
        <v>103</v>
      </c>
      <c r="I85" s="16">
        <v>42788</v>
      </c>
      <c r="J85" s="22"/>
      <c r="K85" s="86"/>
      <c r="L85" s="16" t="s">
        <v>107</v>
      </c>
      <c r="M85" s="15"/>
      <c r="N85" s="15"/>
      <c r="O85" s="20"/>
      <c r="P85" s="15" t="s">
        <v>111</v>
      </c>
      <c r="Q85" s="20"/>
      <c r="R85" s="15"/>
      <c r="S85" s="67"/>
      <c r="T85" s="67" t="s">
        <v>169</v>
      </c>
      <c r="U85" s="67"/>
      <c r="V85" s="17"/>
      <c r="W85" s="17"/>
      <c r="X85" s="16"/>
      <c r="Y85" s="20"/>
      <c r="Z85" s="15"/>
      <c r="AA85" s="22"/>
      <c r="AB85" s="90"/>
      <c r="AC85" s="22" t="s">
        <v>169</v>
      </c>
      <c r="AD85" s="25">
        <v>26</v>
      </c>
      <c r="AE85" s="25" t="s">
        <v>169</v>
      </c>
      <c r="AF85" s="17" t="s">
        <v>169</v>
      </c>
      <c r="AG85" s="17" t="s">
        <v>169</v>
      </c>
      <c r="AH85" s="17" t="s">
        <v>169</v>
      </c>
      <c r="AI85" s="17" t="s">
        <v>169</v>
      </c>
      <c r="AJ85" s="17" t="s">
        <v>169</v>
      </c>
      <c r="AK85" s="17" t="s">
        <v>169</v>
      </c>
      <c r="AL85" s="17">
        <v>0</v>
      </c>
      <c r="AM85" s="17" t="s">
        <v>169</v>
      </c>
      <c r="AN85" s="17" t="s">
        <v>169</v>
      </c>
      <c r="AO85" s="17" t="s">
        <v>169</v>
      </c>
      <c r="AP85" s="17">
        <v>26</v>
      </c>
      <c r="AQ85" s="17"/>
      <c r="AR85" s="17">
        <v>0</v>
      </c>
      <c r="AS85" s="18">
        <v>0</v>
      </c>
      <c r="AT85" s="24">
        <v>0</v>
      </c>
      <c r="AU85" s="24">
        <v>0</v>
      </c>
      <c r="AV85" s="24">
        <v>0</v>
      </c>
      <c r="AW85" s="24">
        <v>0</v>
      </c>
      <c r="AX85" s="24"/>
      <c r="AY85" s="24" t="s">
        <v>452</v>
      </c>
      <c r="AZ85" s="18"/>
    </row>
    <row r="86" spans="1:52" x14ac:dyDescent="0.25">
      <c r="A86" s="16" t="s">
        <v>139</v>
      </c>
      <c r="B86" s="16">
        <v>9</v>
      </c>
      <c r="C86" s="65" t="s">
        <v>472</v>
      </c>
      <c r="D86" s="15" t="s">
        <v>143</v>
      </c>
      <c r="E86" s="15"/>
      <c r="F86" s="15"/>
      <c r="G86" s="16" t="s">
        <v>502</v>
      </c>
      <c r="H86" s="16" t="s">
        <v>103</v>
      </c>
      <c r="I86" s="16">
        <v>42788</v>
      </c>
      <c r="J86" s="22"/>
      <c r="K86" s="86"/>
      <c r="L86" s="16" t="s">
        <v>107</v>
      </c>
      <c r="M86" s="15"/>
      <c r="N86" s="15"/>
      <c r="O86" s="20"/>
      <c r="P86" s="15" t="s">
        <v>111</v>
      </c>
      <c r="Q86" s="20"/>
      <c r="R86" s="15"/>
      <c r="S86" s="67"/>
      <c r="T86" s="67" t="s">
        <v>169</v>
      </c>
      <c r="U86" s="67"/>
      <c r="V86" s="17"/>
      <c r="W86" s="17"/>
      <c r="X86" s="16"/>
      <c r="Y86" s="20"/>
      <c r="Z86" s="15"/>
      <c r="AA86" s="22"/>
      <c r="AB86" s="90"/>
      <c r="AC86" s="22" t="s">
        <v>169</v>
      </c>
      <c r="AD86" s="25">
        <v>26</v>
      </c>
      <c r="AE86" s="25" t="s">
        <v>169</v>
      </c>
      <c r="AF86" s="17" t="s">
        <v>169</v>
      </c>
      <c r="AG86" s="17" t="s">
        <v>169</v>
      </c>
      <c r="AH86" s="17" t="s">
        <v>169</v>
      </c>
      <c r="AI86" s="17" t="s">
        <v>169</v>
      </c>
      <c r="AJ86" s="17" t="s">
        <v>169</v>
      </c>
      <c r="AK86" s="17" t="s">
        <v>169</v>
      </c>
      <c r="AL86" s="17">
        <v>0</v>
      </c>
      <c r="AM86" s="17" t="s">
        <v>169</v>
      </c>
      <c r="AN86" s="17" t="s">
        <v>169</v>
      </c>
      <c r="AO86" s="17" t="s">
        <v>169</v>
      </c>
      <c r="AP86" s="17">
        <v>26</v>
      </c>
      <c r="AQ86" s="17"/>
      <c r="AR86" s="17">
        <v>0</v>
      </c>
      <c r="AS86" s="18">
        <v>0</v>
      </c>
      <c r="AT86" s="24">
        <v>0</v>
      </c>
      <c r="AU86" s="24">
        <v>0</v>
      </c>
      <c r="AV86" s="24">
        <v>0</v>
      </c>
      <c r="AW86" s="24">
        <v>0</v>
      </c>
      <c r="AX86" s="24"/>
      <c r="AY86" s="24" t="s">
        <v>452</v>
      </c>
      <c r="AZ86" s="18"/>
    </row>
    <row r="87" spans="1:52" x14ac:dyDescent="0.25">
      <c r="A87" s="16" t="s">
        <v>139</v>
      </c>
      <c r="B87" s="16">
        <v>9</v>
      </c>
      <c r="C87" s="65" t="s">
        <v>472</v>
      </c>
      <c r="D87" s="15" t="s">
        <v>143</v>
      </c>
      <c r="E87" s="15" t="s">
        <v>148</v>
      </c>
      <c r="F87" s="15"/>
      <c r="G87" s="16" t="s">
        <v>499</v>
      </c>
      <c r="H87" s="16" t="s">
        <v>103</v>
      </c>
      <c r="I87" s="16">
        <v>42788</v>
      </c>
      <c r="J87" s="22"/>
      <c r="K87" s="86"/>
      <c r="L87" s="16" t="s">
        <v>107</v>
      </c>
      <c r="M87" s="15"/>
      <c r="N87" s="15"/>
      <c r="O87" s="20"/>
      <c r="P87" s="15" t="s">
        <v>450</v>
      </c>
      <c r="Q87" s="20"/>
      <c r="R87" s="15"/>
      <c r="S87" s="67" t="s">
        <v>473</v>
      </c>
      <c r="T87" s="67" t="s">
        <v>169</v>
      </c>
      <c r="U87" s="67"/>
      <c r="V87" s="17"/>
      <c r="W87" s="17"/>
      <c r="X87" s="16"/>
      <c r="Y87" s="20"/>
      <c r="Z87" s="15"/>
      <c r="AA87" s="22"/>
      <c r="AB87" s="90"/>
      <c r="AC87" s="22">
        <v>3</v>
      </c>
      <c r="AD87" s="25">
        <v>26</v>
      </c>
      <c r="AE87" s="25">
        <v>23</v>
      </c>
      <c r="AF87" s="17">
        <v>23</v>
      </c>
      <c r="AG87" s="17" t="s">
        <v>168</v>
      </c>
      <c r="AH87" s="17" t="s">
        <v>169</v>
      </c>
      <c r="AI87" s="17" t="s">
        <v>169</v>
      </c>
      <c r="AJ87" s="17" t="s">
        <v>169</v>
      </c>
      <c r="AK87" s="17" t="s">
        <v>169</v>
      </c>
      <c r="AL87" s="17">
        <v>0</v>
      </c>
      <c r="AM87" s="17" t="s">
        <v>169</v>
      </c>
      <c r="AN87" s="17" t="s">
        <v>169</v>
      </c>
      <c r="AO87" s="17" t="s">
        <v>169</v>
      </c>
      <c r="AP87" s="17">
        <v>26</v>
      </c>
      <c r="AQ87" s="17"/>
      <c r="AR87" s="17">
        <v>0</v>
      </c>
      <c r="AS87" s="18">
        <v>0</v>
      </c>
      <c r="AT87" s="24">
        <v>0</v>
      </c>
      <c r="AU87" s="24">
        <v>0</v>
      </c>
      <c r="AV87" s="24">
        <v>0</v>
      </c>
      <c r="AW87" s="24">
        <v>0</v>
      </c>
      <c r="AX87" s="24"/>
      <c r="AY87" s="24" t="s">
        <v>452</v>
      </c>
      <c r="AZ87" s="18"/>
    </row>
    <row r="88" spans="1:52" x14ac:dyDescent="0.25">
      <c r="A88" s="16" t="s">
        <v>139</v>
      </c>
      <c r="B88" s="16">
        <v>9</v>
      </c>
      <c r="C88" s="65" t="s">
        <v>470</v>
      </c>
      <c r="D88" s="15" t="s">
        <v>141</v>
      </c>
      <c r="E88" s="15" t="s">
        <v>148</v>
      </c>
      <c r="F88" s="15"/>
      <c r="G88" s="16" t="s">
        <v>499</v>
      </c>
      <c r="H88" s="16" t="s">
        <v>103</v>
      </c>
      <c r="I88" s="16">
        <v>42788</v>
      </c>
      <c r="J88" s="22"/>
      <c r="K88" s="86"/>
      <c r="L88" s="16" t="s">
        <v>107</v>
      </c>
      <c r="M88" s="15"/>
      <c r="N88" s="15"/>
      <c r="O88" s="20"/>
      <c r="P88" s="15" t="s">
        <v>450</v>
      </c>
      <c r="Q88" s="20"/>
      <c r="R88" s="15"/>
      <c r="S88" s="67" t="s">
        <v>473</v>
      </c>
      <c r="T88" s="67" t="s">
        <v>169</v>
      </c>
      <c r="U88" s="67"/>
      <c r="V88" s="17"/>
      <c r="W88" s="17"/>
      <c r="X88" s="16"/>
      <c r="Y88" s="20"/>
      <c r="Z88" s="15"/>
      <c r="AA88" s="22"/>
      <c r="AB88" s="90"/>
      <c r="AC88" s="22">
        <v>3</v>
      </c>
      <c r="AD88" s="25">
        <v>26</v>
      </c>
      <c r="AE88" s="25">
        <v>23</v>
      </c>
      <c r="AF88" s="17">
        <v>23</v>
      </c>
      <c r="AG88" s="17" t="s">
        <v>168</v>
      </c>
      <c r="AH88" s="17" t="s">
        <v>169</v>
      </c>
      <c r="AI88" s="17" t="s">
        <v>169</v>
      </c>
      <c r="AJ88" s="17" t="s">
        <v>169</v>
      </c>
      <c r="AK88" s="17" t="s">
        <v>169</v>
      </c>
      <c r="AL88" s="17">
        <v>0</v>
      </c>
      <c r="AM88" s="17" t="s">
        <v>169</v>
      </c>
      <c r="AN88" s="17" t="s">
        <v>169</v>
      </c>
      <c r="AO88" s="17" t="s">
        <v>169</v>
      </c>
      <c r="AP88" s="17">
        <v>26</v>
      </c>
      <c r="AQ88" s="17"/>
      <c r="AR88" s="17">
        <v>0</v>
      </c>
      <c r="AS88" s="18">
        <v>0</v>
      </c>
      <c r="AT88" s="24">
        <v>0</v>
      </c>
      <c r="AU88" s="24">
        <v>0</v>
      </c>
      <c r="AV88" s="24">
        <v>0</v>
      </c>
      <c r="AW88" s="24">
        <v>0</v>
      </c>
      <c r="AX88" s="24"/>
      <c r="AY88" s="24" t="s">
        <v>452</v>
      </c>
      <c r="AZ88" s="18"/>
    </row>
    <row r="89" spans="1:52" x14ac:dyDescent="0.25">
      <c r="A89" s="16" t="s">
        <v>139</v>
      </c>
      <c r="B89" s="16">
        <v>9</v>
      </c>
      <c r="C89" s="65" t="s">
        <v>474</v>
      </c>
      <c r="D89" s="15" t="s">
        <v>143</v>
      </c>
      <c r="E89" s="15" t="s">
        <v>148</v>
      </c>
      <c r="F89" s="15"/>
      <c r="G89" s="16" t="s">
        <v>475</v>
      </c>
      <c r="H89" s="16" t="s">
        <v>103</v>
      </c>
      <c r="I89" s="16"/>
      <c r="J89" s="22" t="s">
        <v>72</v>
      </c>
      <c r="K89" s="86" t="s">
        <v>106</v>
      </c>
      <c r="L89" s="16" t="s">
        <v>107</v>
      </c>
      <c r="M89" s="15"/>
      <c r="N89" s="15"/>
      <c r="O89" s="20"/>
      <c r="P89" s="15" t="s">
        <v>110</v>
      </c>
      <c r="Q89" s="20" t="s">
        <v>288</v>
      </c>
      <c r="R89" s="15">
        <v>718060067</v>
      </c>
      <c r="S89" s="67" t="s">
        <v>36</v>
      </c>
      <c r="T89" s="67" t="s">
        <v>169</v>
      </c>
      <c r="U89" s="67" t="s">
        <v>169</v>
      </c>
      <c r="V89" s="17"/>
      <c r="W89" s="17"/>
      <c r="X89" s="16"/>
      <c r="Y89" s="20"/>
      <c r="Z89" s="15"/>
      <c r="AA89" s="22"/>
      <c r="AB89" s="90" t="s">
        <v>171</v>
      </c>
      <c r="AC89" s="22">
        <v>3</v>
      </c>
      <c r="AD89" s="25" t="s">
        <v>169</v>
      </c>
      <c r="AE89" s="25" t="s">
        <v>169</v>
      </c>
      <c r="AF89" s="17" t="s">
        <v>169</v>
      </c>
      <c r="AG89" s="17" t="s">
        <v>169</v>
      </c>
      <c r="AH89" s="17" t="s">
        <v>169</v>
      </c>
      <c r="AI89" s="17" t="s">
        <v>169</v>
      </c>
      <c r="AJ89" s="17" t="s">
        <v>169</v>
      </c>
      <c r="AK89" s="17" t="s">
        <v>169</v>
      </c>
      <c r="AL89" s="17">
        <v>0</v>
      </c>
      <c r="AM89" s="17" t="s">
        <v>169</v>
      </c>
      <c r="AN89" s="17" t="s">
        <v>169</v>
      </c>
      <c r="AO89" s="17" t="s">
        <v>169</v>
      </c>
      <c r="AP89" s="17">
        <v>42814</v>
      </c>
      <c r="AQ89" s="17"/>
      <c r="AR89" s="17">
        <v>0</v>
      </c>
      <c r="AS89" s="18">
        <v>0</v>
      </c>
      <c r="AT89" s="24">
        <v>1</v>
      </c>
      <c r="AU89" s="24">
        <v>0</v>
      </c>
      <c r="AV89" s="24">
        <v>0</v>
      </c>
      <c r="AW89" s="24">
        <v>0</v>
      </c>
      <c r="AX89" s="24"/>
      <c r="AY89" s="24" t="s">
        <v>431</v>
      </c>
      <c r="AZ89" s="18"/>
    </row>
    <row r="90" spans="1:52" x14ac:dyDescent="0.25">
      <c r="A90" s="16" t="s">
        <v>139</v>
      </c>
      <c r="B90" s="16">
        <v>9</v>
      </c>
      <c r="C90" s="65" t="s">
        <v>476</v>
      </c>
      <c r="D90" s="15" t="s">
        <v>141</v>
      </c>
      <c r="E90" s="15" t="s">
        <v>148</v>
      </c>
      <c r="F90" s="15"/>
      <c r="G90" s="16" t="s">
        <v>475</v>
      </c>
      <c r="H90" s="16" t="s">
        <v>103</v>
      </c>
      <c r="I90" s="16"/>
      <c r="J90" s="22" t="s">
        <v>72</v>
      </c>
      <c r="K90" s="86" t="s">
        <v>106</v>
      </c>
      <c r="L90" s="16" t="s">
        <v>107</v>
      </c>
      <c r="M90" s="15"/>
      <c r="N90" s="15"/>
      <c r="O90" s="20"/>
      <c r="P90" s="15" t="s">
        <v>110</v>
      </c>
      <c r="Q90" s="20" t="s">
        <v>193</v>
      </c>
      <c r="R90" s="15" t="s">
        <v>477</v>
      </c>
      <c r="S90" s="67" t="s">
        <v>36</v>
      </c>
      <c r="T90" s="67" t="s">
        <v>169</v>
      </c>
      <c r="U90" s="67" t="s">
        <v>169</v>
      </c>
      <c r="V90" s="17"/>
      <c r="W90" s="17"/>
      <c r="X90" s="16"/>
      <c r="Y90" s="20"/>
      <c r="Z90" s="15"/>
      <c r="AA90" s="22"/>
      <c r="AB90" s="90" t="s">
        <v>171</v>
      </c>
      <c r="AC90" s="22">
        <v>3</v>
      </c>
      <c r="AD90" s="25" t="s">
        <v>169</v>
      </c>
      <c r="AE90" s="25" t="s">
        <v>169</v>
      </c>
      <c r="AF90" s="17" t="s">
        <v>169</v>
      </c>
      <c r="AG90" s="17" t="s">
        <v>169</v>
      </c>
      <c r="AH90" s="17" t="s">
        <v>169</v>
      </c>
      <c r="AI90" s="17" t="s">
        <v>169</v>
      </c>
      <c r="AJ90" s="17" t="s">
        <v>169</v>
      </c>
      <c r="AK90" s="17" t="s">
        <v>169</v>
      </c>
      <c r="AL90" s="17">
        <v>0</v>
      </c>
      <c r="AM90" s="17" t="s">
        <v>169</v>
      </c>
      <c r="AN90" s="17" t="s">
        <v>169</v>
      </c>
      <c r="AO90" s="17" t="s">
        <v>169</v>
      </c>
      <c r="AP90" s="17">
        <v>42814</v>
      </c>
      <c r="AQ90" s="17"/>
      <c r="AR90" s="17">
        <v>0</v>
      </c>
      <c r="AS90" s="18">
        <v>0</v>
      </c>
      <c r="AT90" s="24">
        <v>1</v>
      </c>
      <c r="AU90" s="24">
        <v>0</v>
      </c>
      <c r="AV90" s="24">
        <v>0</v>
      </c>
      <c r="AW90" s="24">
        <v>0</v>
      </c>
      <c r="AX90" s="24"/>
      <c r="AY90" s="24" t="s">
        <v>431</v>
      </c>
      <c r="AZ90" s="18"/>
    </row>
    <row r="91" spans="1:52" x14ac:dyDescent="0.25">
      <c r="A91" s="16" t="s">
        <v>139</v>
      </c>
      <c r="B91" s="16">
        <v>9</v>
      </c>
      <c r="C91" s="65" t="s">
        <v>478</v>
      </c>
      <c r="D91" s="15" t="s">
        <v>144</v>
      </c>
      <c r="E91" s="15" t="s">
        <v>148</v>
      </c>
      <c r="F91" s="15"/>
      <c r="G91" s="16" t="s">
        <v>475</v>
      </c>
      <c r="H91" s="16" t="s">
        <v>103</v>
      </c>
      <c r="I91" s="16"/>
      <c r="J91" s="22" t="s">
        <v>72</v>
      </c>
      <c r="K91" s="86" t="s">
        <v>106</v>
      </c>
      <c r="L91" s="16" t="s">
        <v>107</v>
      </c>
      <c r="M91" s="15"/>
      <c r="N91" s="15"/>
      <c r="O91" s="20"/>
      <c r="P91" s="15" t="s">
        <v>110</v>
      </c>
      <c r="Q91" s="20" t="s">
        <v>193</v>
      </c>
      <c r="R91" s="15" t="s">
        <v>479</v>
      </c>
      <c r="S91" s="67" t="s">
        <v>36</v>
      </c>
      <c r="T91" s="67" t="s">
        <v>169</v>
      </c>
      <c r="U91" s="67" t="s">
        <v>169</v>
      </c>
      <c r="V91" s="17"/>
      <c r="W91" s="17"/>
      <c r="X91" s="16"/>
      <c r="Y91" s="20"/>
      <c r="Z91" s="15"/>
      <c r="AA91" s="22"/>
      <c r="AB91" s="90" t="s">
        <v>171</v>
      </c>
      <c r="AC91" s="22">
        <v>3</v>
      </c>
      <c r="AD91" s="25" t="s">
        <v>169</v>
      </c>
      <c r="AE91" s="25" t="s">
        <v>169</v>
      </c>
      <c r="AF91" s="17" t="s">
        <v>169</v>
      </c>
      <c r="AG91" s="17" t="s">
        <v>169</v>
      </c>
      <c r="AH91" s="17" t="s">
        <v>169</v>
      </c>
      <c r="AI91" s="17" t="s">
        <v>169</v>
      </c>
      <c r="AJ91" s="17" t="s">
        <v>169</v>
      </c>
      <c r="AK91" s="17" t="s">
        <v>169</v>
      </c>
      <c r="AL91" s="17">
        <v>0</v>
      </c>
      <c r="AM91" s="17" t="s">
        <v>169</v>
      </c>
      <c r="AN91" s="17" t="s">
        <v>169</v>
      </c>
      <c r="AO91" s="17" t="s">
        <v>169</v>
      </c>
      <c r="AP91" s="17">
        <v>42814</v>
      </c>
      <c r="AQ91" s="17"/>
      <c r="AR91" s="17">
        <v>0</v>
      </c>
      <c r="AS91" s="18">
        <v>0</v>
      </c>
      <c r="AT91" s="24">
        <v>1</v>
      </c>
      <c r="AU91" s="24">
        <v>0</v>
      </c>
      <c r="AV91" s="24">
        <v>0</v>
      </c>
      <c r="AW91" s="24">
        <v>0</v>
      </c>
      <c r="AX91" s="24"/>
      <c r="AY91" s="24" t="s">
        <v>431</v>
      </c>
      <c r="AZ91" s="18"/>
    </row>
    <row r="92" spans="1:52" x14ac:dyDescent="0.25">
      <c r="A92" s="16" t="s">
        <v>139</v>
      </c>
      <c r="B92" s="16">
        <v>9</v>
      </c>
      <c r="C92" s="65" t="s">
        <v>480</v>
      </c>
      <c r="D92" s="15" t="s">
        <v>143</v>
      </c>
      <c r="E92" s="15" t="s">
        <v>148</v>
      </c>
      <c r="F92" s="15"/>
      <c r="G92" s="16" t="s">
        <v>475</v>
      </c>
      <c r="H92" s="16" t="s">
        <v>103</v>
      </c>
      <c r="I92" s="16"/>
      <c r="J92" s="22" t="s">
        <v>72</v>
      </c>
      <c r="K92" s="86" t="s">
        <v>106</v>
      </c>
      <c r="L92" s="16" t="s">
        <v>107</v>
      </c>
      <c r="M92" s="15"/>
      <c r="N92" s="15"/>
      <c r="O92" s="20"/>
      <c r="P92" s="15" t="s">
        <v>110</v>
      </c>
      <c r="Q92" s="20" t="s">
        <v>193</v>
      </c>
      <c r="R92" s="15" t="s">
        <v>481</v>
      </c>
      <c r="S92" s="67" t="s">
        <v>36</v>
      </c>
      <c r="T92" s="67" t="s">
        <v>169</v>
      </c>
      <c r="U92" s="67" t="s">
        <v>169</v>
      </c>
      <c r="V92" s="17"/>
      <c r="W92" s="17"/>
      <c r="X92" s="16"/>
      <c r="Y92" s="20"/>
      <c r="Z92" s="15"/>
      <c r="AA92" s="22"/>
      <c r="AB92" s="90" t="s">
        <v>171</v>
      </c>
      <c r="AC92" s="22">
        <v>3</v>
      </c>
      <c r="AD92" s="25" t="s">
        <v>169</v>
      </c>
      <c r="AE92" s="25" t="s">
        <v>169</v>
      </c>
      <c r="AF92" s="17" t="s">
        <v>169</v>
      </c>
      <c r="AG92" s="17" t="s">
        <v>169</v>
      </c>
      <c r="AH92" s="17" t="s">
        <v>169</v>
      </c>
      <c r="AI92" s="17" t="s">
        <v>169</v>
      </c>
      <c r="AJ92" s="17" t="s">
        <v>169</v>
      </c>
      <c r="AK92" s="17" t="s">
        <v>169</v>
      </c>
      <c r="AL92" s="17">
        <v>0</v>
      </c>
      <c r="AM92" s="17" t="s">
        <v>169</v>
      </c>
      <c r="AN92" s="17" t="s">
        <v>169</v>
      </c>
      <c r="AO92" s="17" t="s">
        <v>169</v>
      </c>
      <c r="AP92" s="17">
        <v>42814</v>
      </c>
      <c r="AQ92" s="17"/>
      <c r="AR92" s="17">
        <v>0</v>
      </c>
      <c r="AS92" s="18">
        <v>0</v>
      </c>
      <c r="AT92" s="24">
        <v>1</v>
      </c>
      <c r="AU92" s="24">
        <v>0</v>
      </c>
      <c r="AV92" s="24">
        <v>0</v>
      </c>
      <c r="AW92" s="24">
        <v>0</v>
      </c>
      <c r="AX92" s="24"/>
      <c r="AY92" s="24" t="s">
        <v>431</v>
      </c>
      <c r="AZ92" s="18"/>
    </row>
    <row r="93" spans="1:52" x14ac:dyDescent="0.25">
      <c r="A93" s="16" t="s">
        <v>139</v>
      </c>
      <c r="B93" s="16">
        <v>9</v>
      </c>
      <c r="C93" s="65" t="s">
        <v>482</v>
      </c>
      <c r="D93" s="15" t="s">
        <v>144</v>
      </c>
      <c r="E93" s="15" t="s">
        <v>148</v>
      </c>
      <c r="F93" s="15"/>
      <c r="G93" s="16" t="s">
        <v>461</v>
      </c>
      <c r="H93" s="16" t="s">
        <v>103</v>
      </c>
      <c r="I93" s="16"/>
      <c r="J93" s="22" t="s">
        <v>72</v>
      </c>
      <c r="K93" s="86" t="s">
        <v>106</v>
      </c>
      <c r="L93" s="16" t="s">
        <v>107</v>
      </c>
      <c r="M93" s="15"/>
      <c r="N93" s="15"/>
      <c r="O93" s="20"/>
      <c r="P93" s="15" t="s">
        <v>111</v>
      </c>
      <c r="Q93" s="20" t="s">
        <v>199</v>
      </c>
      <c r="R93" s="15">
        <v>9575</v>
      </c>
      <c r="S93" s="67" t="s">
        <v>66</v>
      </c>
      <c r="T93" s="67" t="s">
        <v>169</v>
      </c>
      <c r="U93" s="67" t="s">
        <v>169</v>
      </c>
      <c r="V93" s="17"/>
      <c r="W93" s="17"/>
      <c r="X93" s="16"/>
      <c r="Y93" s="20"/>
      <c r="Z93" s="15"/>
      <c r="AA93" s="22"/>
      <c r="AB93" s="90" t="s">
        <v>171</v>
      </c>
      <c r="AC93" s="22">
        <v>3</v>
      </c>
      <c r="AD93" s="25" t="s">
        <v>169</v>
      </c>
      <c r="AE93" s="25" t="s">
        <v>169</v>
      </c>
      <c r="AF93" s="17" t="s">
        <v>169</v>
      </c>
      <c r="AG93" s="17" t="s">
        <v>169</v>
      </c>
      <c r="AH93" s="17" t="s">
        <v>169</v>
      </c>
      <c r="AI93" s="17" t="s">
        <v>169</v>
      </c>
      <c r="AJ93" s="17" t="s">
        <v>169</v>
      </c>
      <c r="AK93" s="17" t="s">
        <v>169</v>
      </c>
      <c r="AL93" s="17">
        <v>0</v>
      </c>
      <c r="AM93" s="17" t="s">
        <v>169</v>
      </c>
      <c r="AN93" s="17" t="s">
        <v>169</v>
      </c>
      <c r="AO93" s="17" t="s">
        <v>169</v>
      </c>
      <c r="AP93" s="17">
        <v>42814</v>
      </c>
      <c r="AQ93" s="17"/>
      <c r="AR93" s="17">
        <v>0</v>
      </c>
      <c r="AS93" s="18">
        <v>0</v>
      </c>
      <c r="AT93" s="24">
        <v>1</v>
      </c>
      <c r="AU93" s="24">
        <v>0</v>
      </c>
      <c r="AV93" s="24">
        <v>0</v>
      </c>
      <c r="AW93" s="24">
        <v>0</v>
      </c>
      <c r="AX93" s="24"/>
      <c r="AY93" s="24" t="s">
        <v>431</v>
      </c>
      <c r="AZ93" s="18"/>
    </row>
    <row r="94" spans="1:52" x14ac:dyDescent="0.25">
      <c r="A94" s="16" t="s">
        <v>139</v>
      </c>
      <c r="B94" s="16">
        <v>9</v>
      </c>
      <c r="C94" s="65" t="s">
        <v>483</v>
      </c>
      <c r="D94" s="15" t="s">
        <v>143</v>
      </c>
      <c r="E94" s="15" t="s">
        <v>148</v>
      </c>
      <c r="F94" s="15"/>
      <c r="G94" s="16" t="s">
        <v>461</v>
      </c>
      <c r="H94" s="16" t="s">
        <v>103</v>
      </c>
      <c r="I94" s="16"/>
      <c r="J94" s="22" t="s">
        <v>72</v>
      </c>
      <c r="K94" s="86" t="s">
        <v>106</v>
      </c>
      <c r="L94" s="16" t="s">
        <v>107</v>
      </c>
      <c r="M94" s="15"/>
      <c r="N94" s="15"/>
      <c r="O94" s="20"/>
      <c r="P94" s="15" t="s">
        <v>111</v>
      </c>
      <c r="Q94" s="20" t="s">
        <v>199</v>
      </c>
      <c r="R94" s="15">
        <v>10135</v>
      </c>
      <c r="S94" s="67" t="s">
        <v>66</v>
      </c>
      <c r="T94" s="67" t="s">
        <v>169</v>
      </c>
      <c r="U94" s="67" t="s">
        <v>169</v>
      </c>
      <c r="V94" s="17"/>
      <c r="W94" s="17"/>
      <c r="X94" s="65"/>
      <c r="Y94" s="20"/>
      <c r="Z94" s="15"/>
      <c r="AA94" s="22"/>
      <c r="AB94" s="90" t="s">
        <v>171</v>
      </c>
      <c r="AC94" s="22">
        <v>3</v>
      </c>
      <c r="AD94" s="25" t="s">
        <v>169</v>
      </c>
      <c r="AE94" s="25" t="s">
        <v>169</v>
      </c>
      <c r="AF94" s="17" t="s">
        <v>169</v>
      </c>
      <c r="AG94" s="17" t="s">
        <v>169</v>
      </c>
      <c r="AH94" s="17" t="s">
        <v>169</v>
      </c>
      <c r="AI94" s="17" t="s">
        <v>169</v>
      </c>
      <c r="AJ94" s="17" t="s">
        <v>169</v>
      </c>
      <c r="AK94" s="17" t="s">
        <v>169</v>
      </c>
      <c r="AL94" s="17">
        <v>0</v>
      </c>
      <c r="AM94" s="17" t="s">
        <v>169</v>
      </c>
      <c r="AN94" s="17" t="s">
        <v>169</v>
      </c>
      <c r="AO94" s="17" t="s">
        <v>169</v>
      </c>
      <c r="AP94" s="17">
        <v>42814</v>
      </c>
      <c r="AQ94" s="17"/>
      <c r="AR94" s="17">
        <v>0</v>
      </c>
      <c r="AS94" s="18">
        <v>0</v>
      </c>
      <c r="AT94" s="24">
        <v>1</v>
      </c>
      <c r="AU94" s="24">
        <v>0</v>
      </c>
      <c r="AV94" s="24">
        <v>0</v>
      </c>
      <c r="AW94" s="24">
        <v>0</v>
      </c>
      <c r="AX94" s="24"/>
      <c r="AY94" s="24" t="s">
        <v>431</v>
      </c>
      <c r="AZ94" s="18"/>
    </row>
    <row r="95" spans="1:52" x14ac:dyDescent="0.25">
      <c r="A95" s="16" t="s">
        <v>139</v>
      </c>
      <c r="B95" s="16">
        <v>9</v>
      </c>
      <c r="C95" s="65" t="s">
        <v>484</v>
      </c>
      <c r="D95" s="15" t="s">
        <v>141</v>
      </c>
      <c r="E95" s="15" t="s">
        <v>148</v>
      </c>
      <c r="F95" s="15"/>
      <c r="G95" s="16" t="s">
        <v>461</v>
      </c>
      <c r="H95" s="16" t="s">
        <v>103</v>
      </c>
      <c r="I95" s="16"/>
      <c r="J95" s="22" t="s">
        <v>72</v>
      </c>
      <c r="K95" s="86" t="s">
        <v>106</v>
      </c>
      <c r="L95" s="16" t="s">
        <v>107</v>
      </c>
      <c r="M95" s="15"/>
      <c r="N95" s="15"/>
      <c r="O95" s="20"/>
      <c r="P95" s="15" t="s">
        <v>111</v>
      </c>
      <c r="Q95" s="20" t="s">
        <v>199</v>
      </c>
      <c r="R95" s="15">
        <v>10662</v>
      </c>
      <c r="S95" s="67" t="s">
        <v>66</v>
      </c>
      <c r="T95" s="67" t="s">
        <v>169</v>
      </c>
      <c r="U95" s="67" t="s">
        <v>169</v>
      </c>
      <c r="V95" s="17"/>
      <c r="W95" s="17"/>
      <c r="X95" s="16"/>
      <c r="Y95" s="20"/>
      <c r="Z95" s="15"/>
      <c r="AA95" s="22"/>
      <c r="AB95" s="90" t="s">
        <v>171</v>
      </c>
      <c r="AC95" s="22">
        <v>3</v>
      </c>
      <c r="AD95" s="25" t="s">
        <v>169</v>
      </c>
      <c r="AE95" s="25" t="s">
        <v>169</v>
      </c>
      <c r="AF95" s="17" t="s">
        <v>169</v>
      </c>
      <c r="AG95" s="17" t="s">
        <v>169</v>
      </c>
      <c r="AH95" s="17" t="s">
        <v>169</v>
      </c>
      <c r="AI95" s="17" t="s">
        <v>169</v>
      </c>
      <c r="AJ95" s="17" t="s">
        <v>169</v>
      </c>
      <c r="AK95" s="17" t="s">
        <v>169</v>
      </c>
      <c r="AL95" s="17">
        <v>0</v>
      </c>
      <c r="AM95" s="17" t="s">
        <v>169</v>
      </c>
      <c r="AN95" s="17" t="s">
        <v>169</v>
      </c>
      <c r="AO95" s="17" t="s">
        <v>169</v>
      </c>
      <c r="AP95" s="17">
        <v>42814</v>
      </c>
      <c r="AQ95" s="17"/>
      <c r="AR95" s="17">
        <v>0</v>
      </c>
      <c r="AS95" s="18">
        <v>0</v>
      </c>
      <c r="AT95" s="24">
        <v>1</v>
      </c>
      <c r="AU95" s="24">
        <v>0</v>
      </c>
      <c r="AV95" s="24">
        <v>0</v>
      </c>
      <c r="AW95" s="24">
        <v>0</v>
      </c>
      <c r="AX95" s="24"/>
      <c r="AY95" s="24" t="s">
        <v>431</v>
      </c>
      <c r="AZ95" s="18"/>
    </row>
    <row r="96" spans="1:52" x14ac:dyDescent="0.25">
      <c r="A96" s="16" t="s">
        <v>139</v>
      </c>
      <c r="B96" s="16">
        <v>9</v>
      </c>
      <c r="C96" s="65" t="s">
        <v>485</v>
      </c>
      <c r="D96" s="15" t="s">
        <v>144</v>
      </c>
      <c r="E96" s="15" t="s">
        <v>148</v>
      </c>
      <c r="F96" s="15"/>
      <c r="G96" s="16" t="s">
        <v>461</v>
      </c>
      <c r="H96" s="16" t="s">
        <v>103</v>
      </c>
      <c r="I96" s="16"/>
      <c r="J96" s="22" t="s">
        <v>72</v>
      </c>
      <c r="K96" s="86" t="s">
        <v>106</v>
      </c>
      <c r="L96" s="16" t="s">
        <v>107</v>
      </c>
      <c r="M96" s="15"/>
      <c r="N96" s="15"/>
      <c r="O96" s="20"/>
      <c r="P96" s="15" t="s">
        <v>111</v>
      </c>
      <c r="Q96" s="20" t="s">
        <v>199</v>
      </c>
      <c r="R96" s="15">
        <v>11485</v>
      </c>
      <c r="S96" s="15" t="s">
        <v>66</v>
      </c>
      <c r="T96" s="15" t="s">
        <v>169</v>
      </c>
      <c r="U96" s="15" t="s">
        <v>169</v>
      </c>
      <c r="V96" s="17"/>
      <c r="W96" s="17"/>
      <c r="X96" s="16"/>
      <c r="Y96" s="20"/>
      <c r="Z96" s="15"/>
      <c r="AA96" s="22"/>
      <c r="AB96" s="90" t="s">
        <v>171</v>
      </c>
      <c r="AC96" s="74">
        <v>3</v>
      </c>
      <c r="AD96" s="25" t="s">
        <v>169</v>
      </c>
      <c r="AE96" s="25" t="s">
        <v>169</v>
      </c>
      <c r="AF96" s="17" t="s">
        <v>169</v>
      </c>
      <c r="AG96" s="17" t="s">
        <v>169</v>
      </c>
      <c r="AH96" s="17" t="s">
        <v>169</v>
      </c>
      <c r="AI96" s="17" t="s">
        <v>169</v>
      </c>
      <c r="AJ96" s="17" t="s">
        <v>169</v>
      </c>
      <c r="AK96" s="17" t="s">
        <v>169</v>
      </c>
      <c r="AL96" s="17">
        <v>0</v>
      </c>
      <c r="AM96" s="17" t="s">
        <v>169</v>
      </c>
      <c r="AN96" s="17" t="s">
        <v>169</v>
      </c>
      <c r="AO96" s="17" t="s">
        <v>169</v>
      </c>
      <c r="AP96" s="17">
        <v>42814</v>
      </c>
      <c r="AQ96" s="17"/>
      <c r="AR96" s="17">
        <v>0</v>
      </c>
      <c r="AS96" s="18">
        <v>0</v>
      </c>
      <c r="AT96" s="24">
        <v>1</v>
      </c>
      <c r="AU96" s="24">
        <v>0</v>
      </c>
      <c r="AV96" s="24">
        <v>0</v>
      </c>
      <c r="AW96" s="24">
        <v>0</v>
      </c>
      <c r="AX96" s="24"/>
      <c r="AY96" s="24" t="s">
        <v>431</v>
      </c>
      <c r="AZ96" s="18"/>
    </row>
    <row r="97" spans="1:52" x14ac:dyDescent="0.25">
      <c r="A97" s="16" t="s">
        <v>139</v>
      </c>
      <c r="B97" s="16">
        <v>9</v>
      </c>
      <c r="C97" s="65" t="s">
        <v>486</v>
      </c>
      <c r="D97" s="15" t="s">
        <v>143</v>
      </c>
      <c r="E97" s="15" t="s">
        <v>148</v>
      </c>
      <c r="F97" s="15"/>
      <c r="G97" s="16" t="s">
        <v>461</v>
      </c>
      <c r="H97" s="16" t="s">
        <v>103</v>
      </c>
      <c r="I97" s="16"/>
      <c r="J97" s="22" t="s">
        <v>72</v>
      </c>
      <c r="K97" s="86" t="s">
        <v>106</v>
      </c>
      <c r="L97" s="16" t="s">
        <v>107</v>
      </c>
      <c r="M97" s="15"/>
      <c r="N97" s="15"/>
      <c r="O97" s="20"/>
      <c r="P97" s="15" t="s">
        <v>111</v>
      </c>
      <c r="Q97" s="20" t="s">
        <v>199</v>
      </c>
      <c r="R97" s="15">
        <v>11529</v>
      </c>
      <c r="S97" s="15" t="s">
        <v>66</v>
      </c>
      <c r="T97" s="15" t="s">
        <v>169</v>
      </c>
      <c r="U97" s="15" t="s">
        <v>169</v>
      </c>
      <c r="V97" s="17"/>
      <c r="W97" s="17"/>
      <c r="X97" s="16"/>
      <c r="Y97" s="20"/>
      <c r="Z97" s="15"/>
      <c r="AA97" s="22"/>
      <c r="AB97" s="90" t="s">
        <v>171</v>
      </c>
      <c r="AC97" s="74">
        <v>3</v>
      </c>
      <c r="AD97" s="25" t="s">
        <v>169</v>
      </c>
      <c r="AE97" s="25" t="s">
        <v>169</v>
      </c>
      <c r="AF97" s="17" t="s">
        <v>169</v>
      </c>
      <c r="AG97" s="17" t="s">
        <v>169</v>
      </c>
      <c r="AH97" s="17" t="s">
        <v>169</v>
      </c>
      <c r="AI97" s="17" t="s">
        <v>169</v>
      </c>
      <c r="AJ97" s="17" t="s">
        <v>169</v>
      </c>
      <c r="AK97" s="17" t="s">
        <v>169</v>
      </c>
      <c r="AL97" s="17">
        <v>0</v>
      </c>
      <c r="AM97" s="17" t="s">
        <v>169</v>
      </c>
      <c r="AN97" s="17" t="s">
        <v>169</v>
      </c>
      <c r="AO97" s="17" t="s">
        <v>169</v>
      </c>
      <c r="AP97" s="17">
        <v>42814</v>
      </c>
      <c r="AQ97" s="17"/>
      <c r="AR97" s="17">
        <v>0</v>
      </c>
      <c r="AS97" s="18">
        <v>0</v>
      </c>
      <c r="AT97" s="24">
        <v>1</v>
      </c>
      <c r="AU97" s="24">
        <v>0</v>
      </c>
      <c r="AV97" s="24">
        <v>0</v>
      </c>
      <c r="AW97" s="24">
        <v>0</v>
      </c>
      <c r="AX97" s="24"/>
      <c r="AY97" s="24" t="s">
        <v>431</v>
      </c>
      <c r="AZ97" s="18"/>
    </row>
    <row r="98" spans="1:52" x14ac:dyDescent="0.25">
      <c r="A98" s="16" t="s">
        <v>139</v>
      </c>
      <c r="B98" s="16">
        <v>9</v>
      </c>
      <c r="C98" s="65" t="s">
        <v>487</v>
      </c>
      <c r="D98" s="15" t="s">
        <v>143</v>
      </c>
      <c r="E98" s="15" t="s">
        <v>148</v>
      </c>
      <c r="F98" s="15"/>
      <c r="G98" s="16" t="s">
        <v>461</v>
      </c>
      <c r="H98" s="16" t="s">
        <v>103</v>
      </c>
      <c r="I98" s="16"/>
      <c r="J98" s="22" t="s">
        <v>72</v>
      </c>
      <c r="K98" s="86" t="s">
        <v>106</v>
      </c>
      <c r="L98" s="16" t="s">
        <v>107</v>
      </c>
      <c r="M98" s="15"/>
      <c r="N98" s="15"/>
      <c r="O98" s="20"/>
      <c r="P98" s="15" t="s">
        <v>111</v>
      </c>
      <c r="Q98" s="20" t="s">
        <v>199</v>
      </c>
      <c r="R98" s="15">
        <v>11543</v>
      </c>
      <c r="S98" s="15" t="s">
        <v>66</v>
      </c>
      <c r="T98" s="15" t="s">
        <v>169</v>
      </c>
      <c r="U98" s="15" t="s">
        <v>169</v>
      </c>
      <c r="V98" s="17"/>
      <c r="W98" s="17"/>
      <c r="X98" s="16"/>
      <c r="Y98" s="20"/>
      <c r="Z98" s="15"/>
      <c r="AA98" s="22"/>
      <c r="AB98" s="90" t="s">
        <v>171</v>
      </c>
      <c r="AC98" s="74">
        <v>3</v>
      </c>
      <c r="AD98" s="25" t="s">
        <v>169</v>
      </c>
      <c r="AE98" s="25" t="s">
        <v>169</v>
      </c>
      <c r="AF98" s="17" t="s">
        <v>169</v>
      </c>
      <c r="AG98" s="17" t="s">
        <v>169</v>
      </c>
      <c r="AH98" s="17" t="s">
        <v>169</v>
      </c>
      <c r="AI98" s="17" t="s">
        <v>169</v>
      </c>
      <c r="AJ98" s="17" t="s">
        <v>169</v>
      </c>
      <c r="AK98" s="17" t="s">
        <v>169</v>
      </c>
      <c r="AL98" s="17">
        <v>0</v>
      </c>
      <c r="AM98" s="17" t="s">
        <v>169</v>
      </c>
      <c r="AN98" s="17" t="s">
        <v>169</v>
      </c>
      <c r="AO98" s="17" t="s">
        <v>169</v>
      </c>
      <c r="AP98" s="17">
        <v>42814</v>
      </c>
      <c r="AQ98" s="17"/>
      <c r="AR98" s="17">
        <v>0</v>
      </c>
      <c r="AS98" s="18">
        <v>0</v>
      </c>
      <c r="AT98" s="24">
        <v>1</v>
      </c>
      <c r="AU98" s="24">
        <v>0</v>
      </c>
      <c r="AV98" s="24">
        <v>0</v>
      </c>
      <c r="AW98" s="24">
        <v>0</v>
      </c>
      <c r="AX98" s="24"/>
      <c r="AY98" s="24" t="s">
        <v>431</v>
      </c>
      <c r="AZ98" s="18"/>
    </row>
    <row r="99" spans="1:52" x14ac:dyDescent="0.25">
      <c r="A99" s="16" t="s">
        <v>139</v>
      </c>
      <c r="B99" s="16">
        <v>9</v>
      </c>
      <c r="C99" s="65" t="s">
        <v>488</v>
      </c>
      <c r="D99" s="15" t="s">
        <v>141</v>
      </c>
      <c r="E99" s="15" t="s">
        <v>148</v>
      </c>
      <c r="F99" s="15"/>
      <c r="G99" s="16" t="s">
        <v>461</v>
      </c>
      <c r="H99" s="16" t="s">
        <v>103</v>
      </c>
      <c r="I99" s="16"/>
      <c r="J99" s="22" t="s">
        <v>72</v>
      </c>
      <c r="K99" s="86" t="s">
        <v>106</v>
      </c>
      <c r="L99" s="16" t="s">
        <v>107</v>
      </c>
      <c r="M99" s="15"/>
      <c r="N99" s="15"/>
      <c r="O99" s="20"/>
      <c r="P99" s="15" t="s">
        <v>111</v>
      </c>
      <c r="Q99" s="20" t="s">
        <v>199</v>
      </c>
      <c r="R99" s="15">
        <v>11568</v>
      </c>
      <c r="S99" s="15" t="s">
        <v>66</v>
      </c>
      <c r="T99" s="15" t="s">
        <v>169</v>
      </c>
      <c r="U99" s="15" t="s">
        <v>169</v>
      </c>
      <c r="V99" s="17"/>
      <c r="W99" s="17"/>
      <c r="X99" s="16"/>
      <c r="Y99" s="20"/>
      <c r="Z99" s="15"/>
      <c r="AA99" s="22"/>
      <c r="AB99" s="90" t="s">
        <v>171</v>
      </c>
      <c r="AC99" s="74">
        <v>3</v>
      </c>
      <c r="AD99" s="25" t="s">
        <v>169</v>
      </c>
      <c r="AE99" s="25" t="s">
        <v>169</v>
      </c>
      <c r="AF99" s="17" t="s">
        <v>169</v>
      </c>
      <c r="AG99" s="17" t="s">
        <v>169</v>
      </c>
      <c r="AH99" s="17" t="s">
        <v>169</v>
      </c>
      <c r="AI99" s="17" t="s">
        <v>169</v>
      </c>
      <c r="AJ99" s="17" t="s">
        <v>169</v>
      </c>
      <c r="AK99" s="17" t="s">
        <v>169</v>
      </c>
      <c r="AL99" s="17">
        <v>0</v>
      </c>
      <c r="AM99" s="17" t="s">
        <v>169</v>
      </c>
      <c r="AN99" s="17" t="s">
        <v>169</v>
      </c>
      <c r="AO99" s="17" t="s">
        <v>169</v>
      </c>
      <c r="AP99" s="17">
        <v>42814</v>
      </c>
      <c r="AQ99" s="17"/>
      <c r="AR99" s="17">
        <v>0</v>
      </c>
      <c r="AS99" s="18">
        <v>0</v>
      </c>
      <c r="AT99" s="24">
        <v>1</v>
      </c>
      <c r="AU99" s="24">
        <v>0</v>
      </c>
      <c r="AV99" s="24">
        <v>0</v>
      </c>
      <c r="AW99" s="24">
        <v>0</v>
      </c>
      <c r="AX99" s="24"/>
      <c r="AY99" s="24" t="s">
        <v>431</v>
      </c>
      <c r="AZ99" s="18"/>
    </row>
    <row r="100" spans="1:52" x14ac:dyDescent="0.25">
      <c r="A100" s="16" t="s">
        <v>139</v>
      </c>
      <c r="B100" s="16">
        <v>9</v>
      </c>
      <c r="C100" s="65" t="s">
        <v>478</v>
      </c>
      <c r="D100" s="15" t="s">
        <v>144</v>
      </c>
      <c r="E100" s="15" t="s">
        <v>148</v>
      </c>
      <c r="F100" s="15"/>
      <c r="G100" s="16" t="s">
        <v>461</v>
      </c>
      <c r="H100" s="16" t="s">
        <v>103</v>
      </c>
      <c r="I100" s="16"/>
      <c r="J100" s="22" t="s">
        <v>72</v>
      </c>
      <c r="K100" s="86" t="s">
        <v>106</v>
      </c>
      <c r="L100" s="16" t="s">
        <v>107</v>
      </c>
      <c r="M100" s="15"/>
      <c r="N100" s="15"/>
      <c r="O100" s="20"/>
      <c r="P100" s="15" t="s">
        <v>111</v>
      </c>
      <c r="Q100" s="20" t="s">
        <v>199</v>
      </c>
      <c r="R100" s="15">
        <v>909330</v>
      </c>
      <c r="S100" s="15" t="s">
        <v>66</v>
      </c>
      <c r="T100" s="15" t="s">
        <v>169</v>
      </c>
      <c r="U100" s="15" t="s">
        <v>169</v>
      </c>
      <c r="V100" s="17"/>
      <c r="W100" s="17"/>
      <c r="X100" s="16"/>
      <c r="Y100" s="20"/>
      <c r="Z100" s="15"/>
      <c r="AA100" s="22"/>
      <c r="AB100" s="90" t="s">
        <v>171</v>
      </c>
      <c r="AC100" s="74">
        <v>3</v>
      </c>
      <c r="AD100" s="25" t="s">
        <v>169</v>
      </c>
      <c r="AE100" s="25" t="s">
        <v>169</v>
      </c>
      <c r="AF100" s="17" t="s">
        <v>169</v>
      </c>
      <c r="AG100" s="17" t="s">
        <v>169</v>
      </c>
      <c r="AH100" s="17" t="s">
        <v>169</v>
      </c>
      <c r="AI100" s="17" t="s">
        <v>169</v>
      </c>
      <c r="AJ100" s="17" t="s">
        <v>169</v>
      </c>
      <c r="AK100" s="17" t="s">
        <v>169</v>
      </c>
      <c r="AL100" s="17">
        <v>0</v>
      </c>
      <c r="AM100" s="17" t="s">
        <v>169</v>
      </c>
      <c r="AN100" s="17" t="s">
        <v>169</v>
      </c>
      <c r="AO100" s="17" t="s">
        <v>169</v>
      </c>
      <c r="AP100" s="17">
        <v>42814</v>
      </c>
      <c r="AQ100" s="17"/>
      <c r="AR100" s="17">
        <v>0</v>
      </c>
      <c r="AS100" s="18">
        <v>0</v>
      </c>
      <c r="AT100" s="24">
        <v>1</v>
      </c>
      <c r="AU100" s="24">
        <v>0</v>
      </c>
      <c r="AV100" s="24">
        <v>0</v>
      </c>
      <c r="AW100" s="24">
        <v>0</v>
      </c>
      <c r="AX100" s="24"/>
      <c r="AY100" s="24" t="s">
        <v>431</v>
      </c>
      <c r="AZ100" s="18"/>
    </row>
    <row r="101" spans="1:52" x14ac:dyDescent="0.25">
      <c r="A101" s="16" t="s">
        <v>139</v>
      </c>
      <c r="B101" s="16">
        <v>9</v>
      </c>
      <c r="C101" s="65" t="s">
        <v>489</v>
      </c>
      <c r="D101" s="15" t="s">
        <v>143</v>
      </c>
      <c r="E101" s="15" t="s">
        <v>148</v>
      </c>
      <c r="F101" s="15"/>
      <c r="G101" s="16" t="s">
        <v>461</v>
      </c>
      <c r="H101" s="16" t="s">
        <v>103</v>
      </c>
      <c r="I101" s="16"/>
      <c r="J101" s="22" t="s">
        <v>72</v>
      </c>
      <c r="K101" s="86" t="s">
        <v>106</v>
      </c>
      <c r="L101" s="16" t="s">
        <v>107</v>
      </c>
      <c r="M101" s="15"/>
      <c r="N101" s="15"/>
      <c r="O101" s="20"/>
      <c r="P101" s="15" t="s">
        <v>111</v>
      </c>
      <c r="Q101" s="20" t="s">
        <v>199</v>
      </c>
      <c r="R101" s="15">
        <v>909501</v>
      </c>
      <c r="S101" s="15" t="s">
        <v>66</v>
      </c>
      <c r="T101" s="15" t="s">
        <v>169</v>
      </c>
      <c r="U101" s="15" t="s">
        <v>169</v>
      </c>
      <c r="V101" s="17"/>
      <c r="W101" s="17"/>
      <c r="X101" s="16"/>
      <c r="Y101" s="20"/>
      <c r="Z101" s="15"/>
      <c r="AA101" s="22"/>
      <c r="AB101" s="90" t="s">
        <v>171</v>
      </c>
      <c r="AC101" s="74">
        <v>3</v>
      </c>
      <c r="AD101" s="25" t="s">
        <v>169</v>
      </c>
      <c r="AE101" s="25" t="s">
        <v>169</v>
      </c>
      <c r="AF101" s="17" t="s">
        <v>169</v>
      </c>
      <c r="AG101" s="17" t="s">
        <v>169</v>
      </c>
      <c r="AH101" s="17" t="s">
        <v>169</v>
      </c>
      <c r="AI101" s="17" t="s">
        <v>169</v>
      </c>
      <c r="AJ101" s="17" t="s">
        <v>169</v>
      </c>
      <c r="AK101" s="17" t="s">
        <v>169</v>
      </c>
      <c r="AL101" s="17">
        <v>0</v>
      </c>
      <c r="AM101" s="17" t="s">
        <v>169</v>
      </c>
      <c r="AN101" s="17" t="s">
        <v>169</v>
      </c>
      <c r="AO101" s="17" t="s">
        <v>169</v>
      </c>
      <c r="AP101" s="17">
        <v>42814</v>
      </c>
      <c r="AQ101" s="17"/>
      <c r="AR101" s="17">
        <v>0</v>
      </c>
      <c r="AS101" s="18">
        <v>0</v>
      </c>
      <c r="AT101" s="24">
        <v>1</v>
      </c>
      <c r="AU101" s="24">
        <v>0</v>
      </c>
      <c r="AV101" s="24">
        <v>0</v>
      </c>
      <c r="AW101" s="24">
        <v>0</v>
      </c>
      <c r="AX101" s="24"/>
      <c r="AY101" s="24" t="s">
        <v>431</v>
      </c>
      <c r="AZ101" s="18"/>
    </row>
    <row r="102" spans="1:52" x14ac:dyDescent="0.25">
      <c r="A102" s="16" t="s">
        <v>139</v>
      </c>
      <c r="B102" s="16">
        <v>9</v>
      </c>
      <c r="C102" s="65" t="s">
        <v>490</v>
      </c>
      <c r="D102" s="15" t="s">
        <v>141</v>
      </c>
      <c r="E102" s="15" t="s">
        <v>148</v>
      </c>
      <c r="F102" s="15"/>
      <c r="G102" s="16" t="s">
        <v>461</v>
      </c>
      <c r="H102" s="16" t="s">
        <v>103</v>
      </c>
      <c r="I102" s="16"/>
      <c r="J102" s="22" t="s">
        <v>72</v>
      </c>
      <c r="K102" s="86" t="s">
        <v>106</v>
      </c>
      <c r="L102" s="16" t="s">
        <v>107</v>
      </c>
      <c r="M102" s="15"/>
      <c r="N102" s="15"/>
      <c r="O102" s="20"/>
      <c r="P102" s="15" t="s">
        <v>111</v>
      </c>
      <c r="Q102" s="20" t="s">
        <v>199</v>
      </c>
      <c r="R102" s="15">
        <v>1008571</v>
      </c>
      <c r="S102" s="15" t="s">
        <v>66</v>
      </c>
      <c r="T102" s="15" t="s">
        <v>169</v>
      </c>
      <c r="U102" s="15" t="s">
        <v>169</v>
      </c>
      <c r="V102" s="17"/>
      <c r="W102" s="17"/>
      <c r="X102" s="16"/>
      <c r="Y102" s="20"/>
      <c r="Z102" s="15"/>
      <c r="AA102" s="22"/>
      <c r="AB102" s="90" t="s">
        <v>171</v>
      </c>
      <c r="AC102" s="74">
        <v>3</v>
      </c>
      <c r="AD102" s="25" t="s">
        <v>169</v>
      </c>
      <c r="AE102" s="25" t="s">
        <v>169</v>
      </c>
      <c r="AF102" s="17" t="s">
        <v>169</v>
      </c>
      <c r="AG102" s="17" t="s">
        <v>169</v>
      </c>
      <c r="AH102" s="17" t="s">
        <v>169</v>
      </c>
      <c r="AI102" s="17" t="s">
        <v>169</v>
      </c>
      <c r="AJ102" s="17" t="s">
        <v>169</v>
      </c>
      <c r="AK102" s="17" t="s">
        <v>169</v>
      </c>
      <c r="AL102" s="17">
        <v>0</v>
      </c>
      <c r="AM102" s="17" t="s">
        <v>169</v>
      </c>
      <c r="AN102" s="17" t="s">
        <v>169</v>
      </c>
      <c r="AO102" s="17" t="s">
        <v>169</v>
      </c>
      <c r="AP102" s="17">
        <v>42814</v>
      </c>
      <c r="AQ102" s="17"/>
      <c r="AR102" s="17">
        <v>0</v>
      </c>
      <c r="AS102" s="18">
        <v>0</v>
      </c>
      <c r="AT102" s="24">
        <v>1</v>
      </c>
      <c r="AU102" s="24">
        <v>0</v>
      </c>
      <c r="AV102" s="24">
        <v>0</v>
      </c>
      <c r="AW102" s="24">
        <v>0</v>
      </c>
      <c r="AX102" s="24"/>
      <c r="AY102" s="24" t="s">
        <v>431</v>
      </c>
      <c r="AZ102" s="18"/>
    </row>
    <row r="103" spans="1:52" x14ac:dyDescent="0.25">
      <c r="A103" s="16" t="s">
        <v>139</v>
      </c>
      <c r="B103" s="16">
        <v>9</v>
      </c>
      <c r="C103" s="65" t="s">
        <v>491</v>
      </c>
      <c r="D103" s="15" t="s">
        <v>143</v>
      </c>
      <c r="E103" s="15" t="s">
        <v>148</v>
      </c>
      <c r="F103" s="15"/>
      <c r="G103" s="16" t="s">
        <v>461</v>
      </c>
      <c r="H103" s="16" t="s">
        <v>103</v>
      </c>
      <c r="I103" s="16"/>
      <c r="J103" s="22" t="s">
        <v>72</v>
      </c>
      <c r="K103" s="86" t="s">
        <v>106</v>
      </c>
      <c r="L103" s="16" t="s">
        <v>107</v>
      </c>
      <c r="M103" s="15"/>
      <c r="N103" s="15"/>
      <c r="O103" s="20"/>
      <c r="P103" s="15" t="s">
        <v>111</v>
      </c>
      <c r="Q103" s="20" t="s">
        <v>199</v>
      </c>
      <c r="R103" s="15">
        <v>1008582</v>
      </c>
      <c r="S103" s="15" t="s">
        <v>66</v>
      </c>
      <c r="T103" s="15" t="s">
        <v>169</v>
      </c>
      <c r="U103" s="15" t="s">
        <v>169</v>
      </c>
      <c r="V103" s="17"/>
      <c r="W103" s="17"/>
      <c r="X103" s="16"/>
      <c r="Y103" s="20"/>
      <c r="Z103" s="15"/>
      <c r="AA103" s="22"/>
      <c r="AB103" s="90" t="s">
        <v>171</v>
      </c>
      <c r="AC103" s="74">
        <v>3</v>
      </c>
      <c r="AD103" s="25" t="s">
        <v>169</v>
      </c>
      <c r="AE103" s="25" t="s">
        <v>169</v>
      </c>
      <c r="AF103" s="17" t="s">
        <v>169</v>
      </c>
      <c r="AG103" s="17" t="s">
        <v>169</v>
      </c>
      <c r="AH103" s="17" t="s">
        <v>169</v>
      </c>
      <c r="AI103" s="17" t="s">
        <v>169</v>
      </c>
      <c r="AJ103" s="17" t="s">
        <v>169</v>
      </c>
      <c r="AK103" s="17" t="s">
        <v>169</v>
      </c>
      <c r="AL103" s="17">
        <v>0</v>
      </c>
      <c r="AM103" s="17" t="s">
        <v>169</v>
      </c>
      <c r="AN103" s="17" t="s">
        <v>169</v>
      </c>
      <c r="AO103" s="17" t="s">
        <v>169</v>
      </c>
      <c r="AP103" s="17">
        <v>42814</v>
      </c>
      <c r="AQ103" s="17"/>
      <c r="AR103" s="17">
        <v>0</v>
      </c>
      <c r="AS103" s="18">
        <v>0</v>
      </c>
      <c r="AT103" s="24">
        <v>1</v>
      </c>
      <c r="AU103" s="24">
        <v>0</v>
      </c>
      <c r="AV103" s="24">
        <v>0</v>
      </c>
      <c r="AW103" s="24">
        <v>0</v>
      </c>
      <c r="AX103" s="24"/>
      <c r="AY103" s="24" t="s">
        <v>431</v>
      </c>
      <c r="AZ103" s="18"/>
    </row>
    <row r="104" spans="1:52" x14ac:dyDescent="0.25">
      <c r="A104" s="16" t="s">
        <v>139</v>
      </c>
      <c r="B104" s="16">
        <v>9</v>
      </c>
      <c r="C104" s="65" t="s">
        <v>492</v>
      </c>
      <c r="D104" s="15" t="s">
        <v>140</v>
      </c>
      <c r="E104" s="15" t="s">
        <v>148</v>
      </c>
      <c r="F104" s="15"/>
      <c r="G104" s="16" t="s">
        <v>461</v>
      </c>
      <c r="H104" s="16" t="s">
        <v>103</v>
      </c>
      <c r="I104" s="16"/>
      <c r="J104" s="22" t="s">
        <v>72</v>
      </c>
      <c r="K104" s="86" t="s">
        <v>106</v>
      </c>
      <c r="L104" s="16" t="s">
        <v>107</v>
      </c>
      <c r="M104" s="15"/>
      <c r="N104" s="15"/>
      <c r="O104" s="20"/>
      <c r="P104" s="15" t="s">
        <v>111</v>
      </c>
      <c r="Q104" s="20" t="s">
        <v>199</v>
      </c>
      <c r="R104" s="15">
        <v>11010044</v>
      </c>
      <c r="S104" s="15" t="s">
        <v>66</v>
      </c>
      <c r="T104" s="15" t="s">
        <v>169</v>
      </c>
      <c r="U104" s="15" t="s">
        <v>169</v>
      </c>
      <c r="V104" s="17"/>
      <c r="W104" s="17"/>
      <c r="X104" s="16"/>
      <c r="Y104" s="20"/>
      <c r="Z104" s="15"/>
      <c r="AA104" s="22"/>
      <c r="AB104" s="90" t="s">
        <v>171</v>
      </c>
      <c r="AC104" s="76">
        <v>3</v>
      </c>
      <c r="AD104" s="25" t="s">
        <v>169</v>
      </c>
      <c r="AE104" s="25" t="s">
        <v>169</v>
      </c>
      <c r="AF104" s="17" t="s">
        <v>169</v>
      </c>
      <c r="AG104" s="17" t="s">
        <v>169</v>
      </c>
      <c r="AH104" s="17" t="s">
        <v>169</v>
      </c>
      <c r="AI104" s="17" t="s">
        <v>169</v>
      </c>
      <c r="AJ104" s="17" t="s">
        <v>169</v>
      </c>
      <c r="AK104" s="17" t="s">
        <v>169</v>
      </c>
      <c r="AL104" s="17">
        <v>0</v>
      </c>
      <c r="AM104" s="17" t="s">
        <v>169</v>
      </c>
      <c r="AN104" s="17" t="s">
        <v>169</v>
      </c>
      <c r="AO104" s="17" t="s">
        <v>169</v>
      </c>
      <c r="AP104" s="17">
        <v>42814</v>
      </c>
      <c r="AQ104" s="17"/>
      <c r="AR104" s="17">
        <v>0</v>
      </c>
      <c r="AS104" s="18">
        <v>0</v>
      </c>
      <c r="AT104" s="24">
        <v>1</v>
      </c>
      <c r="AU104" s="24">
        <v>0</v>
      </c>
      <c r="AV104" s="24">
        <v>0</v>
      </c>
      <c r="AW104" s="24">
        <v>0</v>
      </c>
      <c r="AX104" s="24"/>
      <c r="AY104" s="24" t="s">
        <v>431</v>
      </c>
      <c r="AZ104" s="18"/>
    </row>
    <row r="105" spans="1:52" x14ac:dyDescent="0.25">
      <c r="A105" s="16" t="s">
        <v>139</v>
      </c>
      <c r="B105" s="16">
        <v>9</v>
      </c>
      <c r="C105" s="65" t="s">
        <v>426</v>
      </c>
      <c r="D105" s="15" t="s">
        <v>141</v>
      </c>
      <c r="E105" s="15" t="s">
        <v>148</v>
      </c>
      <c r="F105" s="15"/>
      <c r="G105" s="16" t="s">
        <v>493</v>
      </c>
      <c r="H105" s="16" t="s">
        <v>103</v>
      </c>
      <c r="I105" s="16"/>
      <c r="J105" s="22" t="s">
        <v>72</v>
      </c>
      <c r="K105" s="86" t="s">
        <v>106</v>
      </c>
      <c r="L105" s="16" t="s">
        <v>107</v>
      </c>
      <c r="M105" s="15"/>
      <c r="N105" s="15"/>
      <c r="O105" s="20"/>
      <c r="P105" s="15" t="s">
        <v>111</v>
      </c>
      <c r="Q105" s="20" t="s">
        <v>199</v>
      </c>
      <c r="R105" s="15">
        <v>11538</v>
      </c>
      <c r="S105" s="15" t="s">
        <v>66</v>
      </c>
      <c r="T105" s="15" t="s">
        <v>169</v>
      </c>
      <c r="U105" s="15" t="s">
        <v>169</v>
      </c>
      <c r="V105" s="17"/>
      <c r="W105" s="17"/>
      <c r="X105" s="16"/>
      <c r="Y105" s="20"/>
      <c r="Z105" s="15"/>
      <c r="AA105" s="22"/>
      <c r="AB105" s="90" t="s">
        <v>171</v>
      </c>
      <c r="AC105" s="76">
        <v>3</v>
      </c>
      <c r="AD105" s="25" t="s">
        <v>169</v>
      </c>
      <c r="AE105" s="25" t="s">
        <v>169</v>
      </c>
      <c r="AF105" s="17" t="s">
        <v>169</v>
      </c>
      <c r="AG105" s="17" t="s">
        <v>169</v>
      </c>
      <c r="AH105" s="17" t="s">
        <v>169</v>
      </c>
      <c r="AI105" s="17" t="s">
        <v>169</v>
      </c>
      <c r="AJ105" s="17" t="s">
        <v>169</v>
      </c>
      <c r="AK105" s="17" t="s">
        <v>169</v>
      </c>
      <c r="AL105" s="17">
        <v>0</v>
      </c>
      <c r="AM105" s="17" t="s">
        <v>169</v>
      </c>
      <c r="AN105" s="17" t="s">
        <v>169</v>
      </c>
      <c r="AO105" s="17" t="s">
        <v>169</v>
      </c>
      <c r="AP105" s="17">
        <v>42814</v>
      </c>
      <c r="AQ105" s="17"/>
      <c r="AR105" s="17">
        <v>0</v>
      </c>
      <c r="AS105" s="18">
        <v>0</v>
      </c>
      <c r="AT105" s="24">
        <v>1</v>
      </c>
      <c r="AU105" s="24">
        <v>0</v>
      </c>
      <c r="AV105" s="24">
        <v>0</v>
      </c>
      <c r="AW105" s="24">
        <v>0</v>
      </c>
      <c r="AX105" s="24"/>
      <c r="AY105" s="24" t="s">
        <v>431</v>
      </c>
      <c r="AZ105" s="18"/>
    </row>
    <row r="106" spans="1:52" x14ac:dyDescent="0.25">
      <c r="A106" s="16" t="s">
        <v>139</v>
      </c>
      <c r="B106" s="16">
        <v>9</v>
      </c>
      <c r="C106" s="65" t="s">
        <v>489</v>
      </c>
      <c r="D106" s="15" t="s">
        <v>143</v>
      </c>
      <c r="E106" s="15" t="s">
        <v>148</v>
      </c>
      <c r="F106" s="15"/>
      <c r="G106" s="16" t="s">
        <v>494</v>
      </c>
      <c r="H106" s="16" t="s">
        <v>103</v>
      </c>
      <c r="I106" s="16"/>
      <c r="J106" s="22" t="s">
        <v>72</v>
      </c>
      <c r="K106" s="86" t="s">
        <v>106</v>
      </c>
      <c r="L106" s="16" t="s">
        <v>107</v>
      </c>
      <c r="M106" s="15"/>
      <c r="N106" s="15"/>
      <c r="O106" s="20"/>
      <c r="P106" s="15" t="s">
        <v>110</v>
      </c>
      <c r="Q106" s="20" t="s">
        <v>193</v>
      </c>
      <c r="R106" s="15" t="s">
        <v>495</v>
      </c>
      <c r="S106" s="15" t="s">
        <v>36</v>
      </c>
      <c r="T106" s="15" t="s">
        <v>169</v>
      </c>
      <c r="U106" s="15" t="s">
        <v>169</v>
      </c>
      <c r="V106" s="17"/>
      <c r="W106" s="17"/>
      <c r="X106" s="16"/>
      <c r="Y106" s="20"/>
      <c r="Z106" s="15"/>
      <c r="AA106" s="22"/>
      <c r="AB106" s="90" t="s">
        <v>171</v>
      </c>
      <c r="AC106" s="76">
        <v>3</v>
      </c>
      <c r="AD106" s="25" t="s">
        <v>169</v>
      </c>
      <c r="AE106" s="25" t="s">
        <v>169</v>
      </c>
      <c r="AF106" s="17" t="s">
        <v>169</v>
      </c>
      <c r="AG106" s="17" t="s">
        <v>169</v>
      </c>
      <c r="AH106" s="17" t="s">
        <v>169</v>
      </c>
      <c r="AI106" s="17" t="s">
        <v>169</v>
      </c>
      <c r="AJ106" s="17" t="s">
        <v>169</v>
      </c>
      <c r="AK106" s="17" t="s">
        <v>169</v>
      </c>
      <c r="AL106" s="17">
        <v>0</v>
      </c>
      <c r="AM106" s="17" t="s">
        <v>169</v>
      </c>
      <c r="AN106" s="17" t="s">
        <v>169</v>
      </c>
      <c r="AO106" s="17" t="s">
        <v>169</v>
      </c>
      <c r="AP106" s="17">
        <v>42814</v>
      </c>
      <c r="AQ106" s="17"/>
      <c r="AR106" s="17">
        <v>0</v>
      </c>
      <c r="AS106" s="18">
        <v>0</v>
      </c>
      <c r="AT106" s="24">
        <v>1</v>
      </c>
      <c r="AU106" s="24">
        <v>0</v>
      </c>
      <c r="AV106" s="24">
        <v>0</v>
      </c>
      <c r="AW106" s="24">
        <v>0</v>
      </c>
      <c r="AX106" s="24"/>
      <c r="AY106" s="24" t="s">
        <v>431</v>
      </c>
      <c r="AZ106" s="18"/>
    </row>
    <row r="107" spans="1:52" x14ac:dyDescent="0.25">
      <c r="A107" s="16" t="s">
        <v>139</v>
      </c>
      <c r="B107" s="16">
        <v>9</v>
      </c>
      <c r="C107" s="65" t="s">
        <v>496</v>
      </c>
      <c r="D107" s="15" t="s">
        <v>143</v>
      </c>
      <c r="E107" s="15" t="s">
        <v>148</v>
      </c>
      <c r="F107" s="15"/>
      <c r="G107" s="16" t="s">
        <v>494</v>
      </c>
      <c r="H107" s="16" t="s">
        <v>103</v>
      </c>
      <c r="I107" s="16"/>
      <c r="J107" s="22" t="s">
        <v>72</v>
      </c>
      <c r="K107" s="86" t="s">
        <v>106</v>
      </c>
      <c r="L107" s="16" t="s">
        <v>107</v>
      </c>
      <c r="M107" s="15"/>
      <c r="N107" s="15"/>
      <c r="O107" s="20"/>
      <c r="P107" s="15" t="s">
        <v>110</v>
      </c>
      <c r="Q107" s="20" t="s">
        <v>193</v>
      </c>
      <c r="R107" s="15" t="s">
        <v>497</v>
      </c>
      <c r="S107" s="15" t="s">
        <v>36</v>
      </c>
      <c r="T107" s="15" t="s">
        <v>169</v>
      </c>
      <c r="U107" s="15" t="s">
        <v>169</v>
      </c>
      <c r="V107" s="17"/>
      <c r="W107" s="17"/>
      <c r="X107" s="16"/>
      <c r="Y107" s="20"/>
      <c r="Z107" s="15"/>
      <c r="AA107" s="22"/>
      <c r="AB107" s="90" t="s">
        <v>171</v>
      </c>
      <c r="AC107" s="76">
        <v>3</v>
      </c>
      <c r="AD107" s="25" t="s">
        <v>169</v>
      </c>
      <c r="AE107" s="25" t="s">
        <v>169</v>
      </c>
      <c r="AF107" s="17" t="s">
        <v>169</v>
      </c>
      <c r="AG107" s="17" t="s">
        <v>169</v>
      </c>
      <c r="AH107" s="17" t="s">
        <v>169</v>
      </c>
      <c r="AI107" s="17" t="s">
        <v>169</v>
      </c>
      <c r="AJ107" s="17" t="s">
        <v>169</v>
      </c>
      <c r="AK107" s="17" t="s">
        <v>169</v>
      </c>
      <c r="AL107" s="17">
        <v>0</v>
      </c>
      <c r="AM107" s="17" t="s">
        <v>169</v>
      </c>
      <c r="AN107" s="17" t="s">
        <v>169</v>
      </c>
      <c r="AO107" s="17" t="s">
        <v>169</v>
      </c>
      <c r="AP107" s="17">
        <v>42814</v>
      </c>
      <c r="AQ107" s="17"/>
      <c r="AR107" s="17">
        <v>0</v>
      </c>
      <c r="AS107" s="18">
        <v>0</v>
      </c>
      <c r="AT107" s="24">
        <v>1</v>
      </c>
      <c r="AU107" s="24">
        <v>0</v>
      </c>
      <c r="AV107" s="24">
        <v>0</v>
      </c>
      <c r="AW107" s="24">
        <v>0</v>
      </c>
      <c r="AX107" s="24"/>
      <c r="AY107" s="24" t="s">
        <v>431</v>
      </c>
      <c r="AZ107" s="18"/>
    </row>
    <row r="108" spans="1:52" x14ac:dyDescent="0.25">
      <c r="A108" s="16" t="s">
        <v>139</v>
      </c>
      <c r="B108" s="16">
        <v>9</v>
      </c>
      <c r="C108" s="65" t="s">
        <v>496</v>
      </c>
      <c r="D108" s="15" t="s">
        <v>143</v>
      </c>
      <c r="E108" s="15" t="s">
        <v>148</v>
      </c>
      <c r="F108" s="15"/>
      <c r="G108" s="16" t="s">
        <v>494</v>
      </c>
      <c r="H108" s="16" t="s">
        <v>103</v>
      </c>
      <c r="I108" s="16"/>
      <c r="J108" s="22" t="s">
        <v>72</v>
      </c>
      <c r="K108" s="86" t="s">
        <v>106</v>
      </c>
      <c r="L108" s="16" t="s">
        <v>107</v>
      </c>
      <c r="M108" s="15"/>
      <c r="N108" s="15"/>
      <c r="O108" s="20"/>
      <c r="P108" s="15" t="s">
        <v>110</v>
      </c>
      <c r="Q108" s="20" t="s">
        <v>193</v>
      </c>
      <c r="R108" s="15" t="s">
        <v>498</v>
      </c>
      <c r="S108" s="15" t="s">
        <v>36</v>
      </c>
      <c r="T108" s="15" t="s">
        <v>169</v>
      </c>
      <c r="U108" s="15" t="s">
        <v>169</v>
      </c>
      <c r="V108" s="17"/>
      <c r="W108" s="17"/>
      <c r="X108" s="16"/>
      <c r="Y108" s="20"/>
      <c r="Z108" s="15"/>
      <c r="AA108" s="22"/>
      <c r="AB108" s="90" t="s">
        <v>171</v>
      </c>
      <c r="AC108" s="76">
        <v>3</v>
      </c>
      <c r="AD108" s="25" t="s">
        <v>169</v>
      </c>
      <c r="AE108" s="25" t="s">
        <v>169</v>
      </c>
      <c r="AF108" s="17" t="s">
        <v>169</v>
      </c>
      <c r="AG108" s="17" t="s">
        <v>169</v>
      </c>
      <c r="AH108" s="17" t="s">
        <v>169</v>
      </c>
      <c r="AI108" s="17" t="s">
        <v>169</v>
      </c>
      <c r="AJ108" s="17" t="s">
        <v>169</v>
      </c>
      <c r="AK108" s="17" t="s">
        <v>169</v>
      </c>
      <c r="AL108" s="17">
        <v>0</v>
      </c>
      <c r="AM108" s="17" t="s">
        <v>169</v>
      </c>
      <c r="AN108" s="17" t="s">
        <v>169</v>
      </c>
      <c r="AO108" s="17" t="s">
        <v>169</v>
      </c>
      <c r="AP108" s="17">
        <v>42814</v>
      </c>
      <c r="AQ108" s="17"/>
      <c r="AR108" s="17">
        <v>0</v>
      </c>
      <c r="AS108" s="18">
        <v>0</v>
      </c>
      <c r="AT108" s="24">
        <v>1</v>
      </c>
      <c r="AU108" s="24">
        <v>0</v>
      </c>
      <c r="AV108" s="24">
        <v>0</v>
      </c>
      <c r="AW108" s="24">
        <v>0</v>
      </c>
      <c r="AX108" s="24"/>
      <c r="AY108" s="24" t="s">
        <v>431</v>
      </c>
      <c r="AZ108" s="18"/>
    </row>
    <row r="109" spans="1:52" x14ac:dyDescent="0.25">
      <c r="A109" s="16" t="s">
        <v>139</v>
      </c>
      <c r="B109" s="16">
        <v>9</v>
      </c>
      <c r="C109" s="65" t="s">
        <v>484</v>
      </c>
      <c r="D109" s="15" t="s">
        <v>141</v>
      </c>
      <c r="E109" s="15" t="s">
        <v>148</v>
      </c>
      <c r="F109" s="15"/>
      <c r="G109" s="16" t="s">
        <v>494</v>
      </c>
      <c r="H109" s="16" t="s">
        <v>103</v>
      </c>
      <c r="I109" s="16"/>
      <c r="J109" s="22" t="s">
        <v>72</v>
      </c>
      <c r="K109" s="86" t="s">
        <v>106</v>
      </c>
      <c r="L109" s="16" t="s">
        <v>107</v>
      </c>
      <c r="M109" s="15"/>
      <c r="N109" s="15"/>
      <c r="O109" s="20"/>
      <c r="P109" s="15" t="s">
        <v>110</v>
      </c>
      <c r="Q109" s="20" t="s">
        <v>209</v>
      </c>
      <c r="R109" s="15">
        <v>3755284</v>
      </c>
      <c r="S109" s="15" t="s">
        <v>36</v>
      </c>
      <c r="T109" s="15" t="s">
        <v>169</v>
      </c>
      <c r="U109" s="15" t="s">
        <v>169</v>
      </c>
      <c r="V109" s="17"/>
      <c r="W109" s="17"/>
      <c r="X109" s="16"/>
      <c r="Y109" s="20"/>
      <c r="Z109" s="15"/>
      <c r="AA109" s="22"/>
      <c r="AB109" s="90" t="s">
        <v>171</v>
      </c>
      <c r="AC109" s="76">
        <v>3</v>
      </c>
      <c r="AD109" s="25" t="s">
        <v>169</v>
      </c>
      <c r="AE109" s="25" t="s">
        <v>169</v>
      </c>
      <c r="AF109" s="17" t="s">
        <v>169</v>
      </c>
      <c r="AG109" s="17" t="s">
        <v>169</v>
      </c>
      <c r="AH109" s="17" t="s">
        <v>169</v>
      </c>
      <c r="AI109" s="17" t="s">
        <v>169</v>
      </c>
      <c r="AJ109" s="17" t="s">
        <v>169</v>
      </c>
      <c r="AK109" s="17" t="s">
        <v>169</v>
      </c>
      <c r="AL109" s="17">
        <v>0</v>
      </c>
      <c r="AM109" s="17" t="s">
        <v>169</v>
      </c>
      <c r="AN109" s="17" t="s">
        <v>169</v>
      </c>
      <c r="AO109" s="17" t="s">
        <v>169</v>
      </c>
      <c r="AP109" s="17">
        <v>42814</v>
      </c>
      <c r="AQ109" s="17"/>
      <c r="AR109" s="17">
        <v>0</v>
      </c>
      <c r="AS109" s="18">
        <v>0</v>
      </c>
      <c r="AT109" s="24">
        <v>1</v>
      </c>
      <c r="AU109" s="24">
        <v>0</v>
      </c>
      <c r="AV109" s="24">
        <v>0</v>
      </c>
      <c r="AW109" s="24">
        <v>0</v>
      </c>
      <c r="AX109" s="24"/>
      <c r="AY109" s="24" t="s">
        <v>431</v>
      </c>
      <c r="AZ109" s="18"/>
    </row>
    <row r="110" spans="1:52" x14ac:dyDescent="0.25">
      <c r="A110" s="16"/>
      <c r="B110" s="16"/>
      <c r="C110" s="65"/>
      <c r="D110" s="15"/>
      <c r="E110" s="15"/>
      <c r="F110" s="15"/>
      <c r="G110" s="16"/>
      <c r="H110" s="16"/>
      <c r="I110" s="16"/>
      <c r="J110" s="22"/>
      <c r="K110" s="86"/>
      <c r="L110" s="16"/>
      <c r="M110" s="15"/>
      <c r="N110" s="15"/>
      <c r="O110" s="20"/>
      <c r="P110" s="15"/>
      <c r="Q110" s="20"/>
      <c r="R110" s="15"/>
      <c r="S110" s="15"/>
      <c r="T110" s="15"/>
      <c r="U110" s="15"/>
      <c r="V110" s="17"/>
      <c r="W110" s="17"/>
      <c r="X110" s="16"/>
      <c r="Y110" s="20"/>
      <c r="Z110" s="15"/>
      <c r="AA110" s="22"/>
      <c r="AB110" s="90"/>
      <c r="AC110" s="76"/>
      <c r="AD110" s="25"/>
      <c r="AE110" s="25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8"/>
      <c r="AT110" s="24"/>
      <c r="AU110" s="24"/>
      <c r="AV110" s="24"/>
      <c r="AW110" s="24"/>
      <c r="AX110" s="24"/>
      <c r="AY110" s="24"/>
      <c r="AZ110" s="18"/>
    </row>
    <row r="111" spans="1:52" x14ac:dyDescent="0.25">
      <c r="A111" s="16"/>
      <c r="B111" s="16"/>
      <c r="C111" s="65"/>
      <c r="D111" s="15"/>
      <c r="E111" s="15"/>
      <c r="F111" s="15"/>
      <c r="G111" s="16"/>
      <c r="H111" s="16"/>
      <c r="I111" s="16"/>
      <c r="J111" s="22"/>
      <c r="K111" s="86"/>
      <c r="L111" s="16"/>
      <c r="M111" s="15"/>
      <c r="N111" s="15"/>
      <c r="O111" s="20"/>
      <c r="P111" s="15"/>
      <c r="Q111" s="20"/>
      <c r="R111" s="15"/>
      <c r="S111" s="15"/>
      <c r="T111" s="15"/>
      <c r="U111" s="15"/>
      <c r="V111" s="17"/>
      <c r="W111" s="17"/>
      <c r="X111" s="16"/>
      <c r="Y111" s="20"/>
      <c r="Z111" s="15"/>
      <c r="AA111" s="22"/>
      <c r="AB111" s="90"/>
      <c r="AC111" s="76"/>
      <c r="AD111" s="25"/>
      <c r="AE111" s="25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8"/>
      <c r="AT111" s="24"/>
      <c r="AU111" s="24"/>
      <c r="AV111" s="24"/>
      <c r="AW111" s="24"/>
      <c r="AX111" s="24"/>
      <c r="AY111" s="24"/>
      <c r="AZ111" s="18"/>
    </row>
    <row r="112" spans="1:52" x14ac:dyDescent="0.25">
      <c r="A112" s="16"/>
      <c r="B112" s="16"/>
      <c r="C112" s="65"/>
      <c r="D112" s="15"/>
      <c r="E112" s="15"/>
      <c r="F112" s="15"/>
      <c r="G112" s="16"/>
      <c r="H112" s="16"/>
      <c r="I112" s="16"/>
      <c r="J112" s="22"/>
      <c r="K112" s="86"/>
      <c r="L112" s="16"/>
      <c r="M112" s="15"/>
      <c r="N112" s="15"/>
      <c r="O112" s="20"/>
      <c r="P112" s="15"/>
      <c r="Q112" s="20"/>
      <c r="R112" s="15"/>
      <c r="S112" s="15"/>
      <c r="T112" s="15"/>
      <c r="U112" s="15"/>
      <c r="V112" s="17"/>
      <c r="W112" s="17"/>
      <c r="X112" s="16"/>
      <c r="Y112" s="20"/>
      <c r="Z112" s="15"/>
      <c r="AA112" s="22"/>
      <c r="AB112" s="90"/>
      <c r="AC112" s="76"/>
      <c r="AD112" s="25"/>
      <c r="AE112" s="25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  <c r="AR112" s="17"/>
      <c r="AS112" s="18"/>
      <c r="AT112" s="24"/>
      <c r="AU112" s="24"/>
      <c r="AV112" s="24"/>
      <c r="AW112" s="24"/>
      <c r="AX112" s="24"/>
      <c r="AY112" s="24"/>
      <c r="AZ112" s="18"/>
    </row>
    <row r="113" spans="1:52" x14ac:dyDescent="0.25">
      <c r="A113" s="16"/>
      <c r="B113" s="16"/>
      <c r="C113" s="65"/>
      <c r="D113" s="15"/>
      <c r="E113" s="15"/>
      <c r="F113" s="15"/>
      <c r="G113" s="16"/>
      <c r="H113" s="16"/>
      <c r="I113" s="16"/>
      <c r="J113" s="22"/>
      <c r="K113" s="86"/>
      <c r="L113" s="16"/>
      <c r="M113" s="15"/>
      <c r="N113" s="15"/>
      <c r="O113" s="20"/>
      <c r="P113" s="15"/>
      <c r="Q113" s="20"/>
      <c r="R113" s="15"/>
      <c r="S113" s="15"/>
      <c r="T113" s="15"/>
      <c r="U113" s="15"/>
      <c r="V113" s="17"/>
      <c r="W113" s="17"/>
      <c r="X113" s="16"/>
      <c r="Y113" s="20"/>
      <c r="Z113" s="15"/>
      <c r="AA113" s="22"/>
      <c r="AB113" s="90"/>
      <c r="AC113" s="76"/>
      <c r="AD113" s="25"/>
      <c r="AE113" s="25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  <c r="AR113" s="17"/>
      <c r="AS113" s="18"/>
      <c r="AT113" s="24"/>
      <c r="AU113" s="24"/>
      <c r="AV113" s="24"/>
      <c r="AW113" s="24"/>
      <c r="AX113" s="24"/>
      <c r="AY113" s="24"/>
      <c r="AZ113" s="18"/>
    </row>
    <row r="114" spans="1:52" x14ac:dyDescent="0.25">
      <c r="A114" s="16"/>
      <c r="B114" s="16"/>
      <c r="C114" s="65"/>
      <c r="D114" s="15"/>
      <c r="E114" s="15"/>
      <c r="F114" s="15"/>
      <c r="G114" s="16"/>
      <c r="H114" s="16"/>
      <c r="I114" s="16"/>
      <c r="J114" s="22"/>
      <c r="K114" s="86"/>
      <c r="L114" s="16"/>
      <c r="M114" s="15"/>
      <c r="N114" s="15"/>
      <c r="O114" s="20"/>
      <c r="P114" s="15"/>
      <c r="Q114" s="20"/>
      <c r="R114" s="15"/>
      <c r="S114" s="15"/>
      <c r="T114" s="15"/>
      <c r="U114" s="15"/>
      <c r="V114" s="17"/>
      <c r="W114" s="17"/>
      <c r="X114" s="16"/>
      <c r="Y114" s="20"/>
      <c r="Z114" s="15"/>
      <c r="AA114" s="22"/>
      <c r="AB114" s="90"/>
      <c r="AC114" s="76"/>
      <c r="AD114" s="25"/>
      <c r="AE114" s="25">
        <v>1</v>
      </c>
      <c r="AF114" s="17">
        <v>17</v>
      </c>
      <c r="AG114" s="17">
        <v>16</v>
      </c>
      <c r="AH114" s="17">
        <v>16</v>
      </c>
      <c r="AI114" s="17" t="s">
        <v>168</v>
      </c>
      <c r="AJ114" s="17">
        <v>4</v>
      </c>
      <c r="AK114" s="17">
        <v>3</v>
      </c>
      <c r="AL114" s="17">
        <v>3</v>
      </c>
      <c r="AM114" s="17" t="s">
        <v>168</v>
      </c>
      <c r="AN114" s="17">
        <v>0</v>
      </c>
      <c r="AO114" s="17" t="s">
        <v>169</v>
      </c>
      <c r="AP114" s="17" t="s">
        <v>169</v>
      </c>
      <c r="AQ114" s="17" t="s">
        <v>169</v>
      </c>
      <c r="AR114" s="17">
        <v>-42751</v>
      </c>
      <c r="AS114" s="18"/>
      <c r="AT114" s="24">
        <v>0</v>
      </c>
      <c r="AU114" s="24">
        <v>0</v>
      </c>
      <c r="AV114" s="24">
        <v>0</v>
      </c>
      <c r="AW114" s="24">
        <v>0</v>
      </c>
      <c r="AX114" s="24">
        <v>0</v>
      </c>
      <c r="AY114" s="24">
        <v>0</v>
      </c>
      <c r="AZ114" s="18"/>
    </row>
    <row r="115" spans="1:52" x14ac:dyDescent="0.25">
      <c r="A115" s="16"/>
      <c r="B115" s="16"/>
      <c r="C115" s="65"/>
      <c r="D115" s="15"/>
      <c r="E115" s="15"/>
      <c r="F115" s="15"/>
      <c r="G115" s="16"/>
      <c r="H115" s="16"/>
      <c r="I115" s="16"/>
      <c r="J115" s="22"/>
      <c r="K115" s="86"/>
      <c r="L115" s="16"/>
      <c r="M115" s="15"/>
      <c r="N115" s="15"/>
      <c r="O115" s="20"/>
      <c r="P115" s="15"/>
      <c r="Q115" s="20"/>
      <c r="R115" s="15"/>
      <c r="S115" s="15"/>
      <c r="T115" s="15"/>
      <c r="U115" s="15"/>
      <c r="V115" s="17"/>
      <c r="W115" s="17"/>
      <c r="X115" s="16"/>
      <c r="Y115" s="20"/>
      <c r="Z115" s="15"/>
      <c r="AA115" s="22"/>
      <c r="AB115" s="90"/>
      <c r="AC115" s="76"/>
      <c r="AD115" s="25"/>
      <c r="AE115" s="25">
        <v>1</v>
      </c>
      <c r="AF115" s="17">
        <v>17</v>
      </c>
      <c r="AG115" s="17">
        <v>16</v>
      </c>
      <c r="AH115" s="17">
        <v>16</v>
      </c>
      <c r="AI115" s="17" t="s">
        <v>168</v>
      </c>
      <c r="AJ115" s="17">
        <v>4</v>
      </c>
      <c r="AK115" s="17">
        <v>3</v>
      </c>
      <c r="AL115" s="17">
        <v>3</v>
      </c>
      <c r="AM115" s="17" t="s">
        <v>168</v>
      </c>
      <c r="AN115" s="17">
        <v>0</v>
      </c>
      <c r="AO115" s="17" t="s">
        <v>169</v>
      </c>
      <c r="AP115" s="17" t="s">
        <v>169</v>
      </c>
      <c r="AQ115" s="17" t="s">
        <v>169</v>
      </c>
      <c r="AR115" s="17">
        <v>-42751</v>
      </c>
      <c r="AS115" s="18"/>
      <c r="AT115" s="24">
        <v>0</v>
      </c>
      <c r="AU115" s="24">
        <v>0</v>
      </c>
      <c r="AV115" s="24">
        <v>0</v>
      </c>
      <c r="AW115" s="24">
        <v>0</v>
      </c>
      <c r="AX115" s="24">
        <v>0</v>
      </c>
      <c r="AY115" s="24">
        <v>0</v>
      </c>
      <c r="AZ115" s="18"/>
    </row>
    <row r="116" spans="1:52" x14ac:dyDescent="0.25">
      <c r="A116" s="16"/>
      <c r="B116" s="16"/>
      <c r="C116" s="65"/>
      <c r="D116" s="15"/>
      <c r="E116" s="15"/>
      <c r="F116" s="15"/>
      <c r="G116" s="16"/>
      <c r="H116" s="16"/>
      <c r="I116" s="16"/>
      <c r="J116" s="22"/>
      <c r="K116" s="86"/>
      <c r="L116" s="16"/>
      <c r="M116" s="15"/>
      <c r="N116" s="15"/>
      <c r="O116" s="20"/>
      <c r="P116" s="15"/>
      <c r="Q116" s="20"/>
      <c r="R116" s="15"/>
      <c r="S116" s="15"/>
      <c r="T116" s="15"/>
      <c r="U116" s="15"/>
      <c r="V116" s="17"/>
      <c r="W116" s="17"/>
      <c r="X116" s="16"/>
      <c r="Y116" s="20"/>
      <c r="Z116" s="15"/>
      <c r="AA116" s="22"/>
      <c r="AB116" s="90"/>
      <c r="AC116" s="76"/>
      <c r="AD116" s="25"/>
      <c r="AE116" s="25">
        <v>1</v>
      </c>
      <c r="AF116" s="17">
        <v>17</v>
      </c>
      <c r="AG116" s="17">
        <v>16</v>
      </c>
      <c r="AH116" s="17">
        <v>16</v>
      </c>
      <c r="AI116" s="17" t="s">
        <v>168</v>
      </c>
      <c r="AJ116" s="17">
        <v>4</v>
      </c>
      <c r="AK116" s="17">
        <v>3</v>
      </c>
      <c r="AL116" s="17">
        <v>3</v>
      </c>
      <c r="AM116" s="17" t="s">
        <v>168</v>
      </c>
      <c r="AN116" s="17">
        <v>0</v>
      </c>
      <c r="AO116" s="17" t="s">
        <v>169</v>
      </c>
      <c r="AP116" s="17" t="s">
        <v>169</v>
      </c>
      <c r="AQ116" s="17" t="s">
        <v>169</v>
      </c>
      <c r="AR116" s="17">
        <v>-42751</v>
      </c>
      <c r="AS116" s="18"/>
      <c r="AT116" s="24">
        <v>0</v>
      </c>
      <c r="AU116" s="24">
        <v>0</v>
      </c>
      <c r="AV116" s="24">
        <v>0</v>
      </c>
      <c r="AW116" s="24">
        <v>0</v>
      </c>
      <c r="AX116" s="24">
        <v>0</v>
      </c>
      <c r="AY116" s="24">
        <v>0</v>
      </c>
      <c r="AZ116" s="18"/>
    </row>
    <row r="117" spans="1:52" x14ac:dyDescent="0.25">
      <c r="A117" s="16"/>
      <c r="B117" s="16"/>
      <c r="C117" s="65"/>
      <c r="D117" s="15"/>
      <c r="E117" s="15"/>
      <c r="F117" s="15"/>
      <c r="G117" s="16"/>
      <c r="H117" s="16"/>
      <c r="I117" s="16"/>
      <c r="J117" s="22"/>
      <c r="K117" s="86"/>
      <c r="L117" s="16"/>
      <c r="M117" s="15"/>
      <c r="N117" s="15"/>
      <c r="O117" s="20"/>
      <c r="P117" s="15"/>
      <c r="Q117" s="20"/>
      <c r="R117" s="15"/>
      <c r="S117" s="15"/>
      <c r="T117" s="15"/>
      <c r="U117" s="15"/>
      <c r="V117" s="17"/>
      <c r="W117" s="17"/>
      <c r="X117" s="16"/>
      <c r="Y117" s="20"/>
      <c r="Z117" s="15"/>
      <c r="AA117" s="22"/>
      <c r="AB117" s="90"/>
      <c r="AC117" s="76"/>
      <c r="AD117" s="25"/>
      <c r="AE117" s="25">
        <v>1</v>
      </c>
      <c r="AF117" s="17">
        <v>17</v>
      </c>
      <c r="AG117" s="17">
        <v>16</v>
      </c>
      <c r="AH117" s="17">
        <v>16</v>
      </c>
      <c r="AI117" s="17" t="s">
        <v>168</v>
      </c>
      <c r="AJ117" s="17">
        <v>4</v>
      </c>
      <c r="AK117" s="17">
        <v>3</v>
      </c>
      <c r="AL117" s="17">
        <v>3</v>
      </c>
      <c r="AM117" s="17" t="s">
        <v>168</v>
      </c>
      <c r="AN117" s="17">
        <v>0</v>
      </c>
      <c r="AO117" s="17" t="s">
        <v>169</v>
      </c>
      <c r="AP117" s="17" t="s">
        <v>169</v>
      </c>
      <c r="AQ117" s="17" t="s">
        <v>169</v>
      </c>
      <c r="AR117" s="17">
        <v>-42751</v>
      </c>
      <c r="AS117" s="18"/>
      <c r="AT117" s="24">
        <v>0</v>
      </c>
      <c r="AU117" s="24">
        <v>0</v>
      </c>
      <c r="AV117" s="24">
        <v>0</v>
      </c>
      <c r="AW117" s="24">
        <v>0</v>
      </c>
      <c r="AX117" s="24">
        <v>0</v>
      </c>
      <c r="AY117" s="24">
        <v>0</v>
      </c>
      <c r="AZ117" s="18"/>
    </row>
    <row r="118" spans="1:52" x14ac:dyDescent="0.25">
      <c r="A118" s="16"/>
      <c r="B118" s="16"/>
      <c r="C118" s="65"/>
      <c r="D118" s="15"/>
      <c r="E118" s="15"/>
      <c r="F118" s="15"/>
      <c r="G118" s="16"/>
      <c r="H118" s="16"/>
      <c r="I118" s="16"/>
      <c r="J118" s="22"/>
      <c r="K118" s="86"/>
      <c r="L118" s="16"/>
      <c r="M118" s="15"/>
      <c r="N118" s="15"/>
      <c r="O118" s="20"/>
      <c r="P118" s="15"/>
      <c r="Q118" s="20"/>
      <c r="R118" s="15"/>
      <c r="S118" s="15"/>
      <c r="T118" s="15"/>
      <c r="U118" s="15"/>
      <c r="V118" s="17"/>
      <c r="W118" s="17"/>
      <c r="X118" s="16"/>
      <c r="Y118" s="20"/>
      <c r="Z118" s="15"/>
      <c r="AA118" s="22"/>
      <c r="AB118" s="90"/>
      <c r="AC118" s="76"/>
      <c r="AD118" s="25"/>
      <c r="AE118" s="25">
        <v>1</v>
      </c>
      <c r="AF118" s="17">
        <v>17</v>
      </c>
      <c r="AG118" s="17">
        <v>16</v>
      </c>
      <c r="AH118" s="17">
        <v>16</v>
      </c>
      <c r="AI118" s="17" t="s">
        <v>168</v>
      </c>
      <c r="AJ118" s="17">
        <v>4</v>
      </c>
      <c r="AK118" s="17">
        <v>3</v>
      </c>
      <c r="AL118" s="17">
        <v>3</v>
      </c>
      <c r="AM118" s="17" t="s">
        <v>168</v>
      </c>
      <c r="AN118" s="17">
        <v>0</v>
      </c>
      <c r="AO118" s="17" t="s">
        <v>169</v>
      </c>
      <c r="AP118" s="17" t="s">
        <v>169</v>
      </c>
      <c r="AQ118" s="17" t="s">
        <v>169</v>
      </c>
      <c r="AR118" s="17">
        <v>-42751</v>
      </c>
      <c r="AS118" s="18"/>
      <c r="AT118" s="24">
        <v>0</v>
      </c>
      <c r="AU118" s="24">
        <v>0</v>
      </c>
      <c r="AV118" s="24">
        <v>0</v>
      </c>
      <c r="AW118" s="24">
        <v>0</v>
      </c>
      <c r="AX118" s="24">
        <v>0</v>
      </c>
      <c r="AY118" s="24">
        <v>0</v>
      </c>
      <c r="AZ118" s="18"/>
    </row>
    <row r="119" spans="1:52" x14ac:dyDescent="0.25">
      <c r="A119" s="16"/>
      <c r="B119" s="16"/>
      <c r="C119" s="65"/>
      <c r="D119" s="15"/>
      <c r="E119" s="15"/>
      <c r="F119" s="15"/>
      <c r="G119" s="16"/>
      <c r="H119" s="16"/>
      <c r="I119" s="16"/>
      <c r="J119" s="22"/>
      <c r="K119" s="86"/>
      <c r="L119" s="16"/>
      <c r="M119" s="15"/>
      <c r="N119" s="15"/>
      <c r="O119" s="20"/>
      <c r="P119" s="15"/>
      <c r="Q119" s="20"/>
      <c r="R119" s="15"/>
      <c r="S119" s="15"/>
      <c r="T119" s="15"/>
      <c r="U119" s="15"/>
      <c r="V119" s="17"/>
      <c r="W119" s="17"/>
      <c r="X119" s="16"/>
      <c r="Y119" s="20"/>
      <c r="Z119" s="15"/>
      <c r="AA119" s="22"/>
      <c r="AB119" s="90"/>
      <c r="AC119" s="76"/>
      <c r="AD119" s="25"/>
      <c r="AE119" s="25">
        <v>1</v>
      </c>
      <c r="AF119" s="17">
        <v>17</v>
      </c>
      <c r="AG119" s="17">
        <v>16</v>
      </c>
      <c r="AH119" s="17">
        <v>16</v>
      </c>
      <c r="AI119" s="17" t="s">
        <v>168</v>
      </c>
      <c r="AJ119" s="17">
        <v>4</v>
      </c>
      <c r="AK119" s="17">
        <v>3</v>
      </c>
      <c r="AL119" s="17">
        <v>3</v>
      </c>
      <c r="AM119" s="17" t="s">
        <v>168</v>
      </c>
      <c r="AN119" s="17">
        <v>0</v>
      </c>
      <c r="AO119" s="17" t="s">
        <v>169</v>
      </c>
      <c r="AP119" s="17" t="s">
        <v>169</v>
      </c>
      <c r="AQ119" s="17" t="s">
        <v>169</v>
      </c>
      <c r="AR119" s="17">
        <v>-42751</v>
      </c>
      <c r="AS119" s="18"/>
      <c r="AT119" s="24">
        <v>0</v>
      </c>
      <c r="AU119" s="24">
        <v>0</v>
      </c>
      <c r="AV119" s="24">
        <v>0</v>
      </c>
      <c r="AW119" s="24">
        <v>0</v>
      </c>
      <c r="AX119" s="24">
        <v>0</v>
      </c>
      <c r="AY119" s="24">
        <v>0</v>
      </c>
      <c r="AZ119" s="18"/>
    </row>
    <row r="120" spans="1:52" x14ac:dyDescent="0.25">
      <c r="A120" s="16"/>
      <c r="B120" s="16"/>
      <c r="C120" s="65"/>
      <c r="D120" s="15"/>
      <c r="E120" s="15"/>
      <c r="F120" s="15"/>
      <c r="G120" s="16"/>
      <c r="H120" s="16"/>
      <c r="I120" s="16"/>
      <c r="J120" s="22"/>
      <c r="K120" s="86"/>
      <c r="L120" s="16"/>
      <c r="M120" s="15"/>
      <c r="N120" s="15"/>
      <c r="O120" s="20"/>
      <c r="P120" s="15"/>
      <c r="Q120" s="20"/>
      <c r="R120" s="15"/>
      <c r="S120" s="15"/>
      <c r="T120" s="15"/>
      <c r="U120" s="15"/>
      <c r="V120" s="17"/>
      <c r="W120" s="17"/>
      <c r="X120" s="16"/>
      <c r="Y120" s="20"/>
      <c r="Z120" s="15"/>
      <c r="AA120" s="22"/>
      <c r="AB120" s="90"/>
      <c r="AC120" s="76"/>
      <c r="AD120" s="25"/>
      <c r="AE120" s="25">
        <v>1</v>
      </c>
      <c r="AF120" s="17">
        <v>17</v>
      </c>
      <c r="AG120" s="17">
        <v>16</v>
      </c>
      <c r="AH120" s="17">
        <v>16</v>
      </c>
      <c r="AI120" s="17" t="s">
        <v>168</v>
      </c>
      <c r="AJ120" s="17">
        <v>4</v>
      </c>
      <c r="AK120" s="17">
        <v>3</v>
      </c>
      <c r="AL120" s="17">
        <v>3</v>
      </c>
      <c r="AM120" s="17" t="s">
        <v>168</v>
      </c>
      <c r="AN120" s="17">
        <v>0</v>
      </c>
      <c r="AO120" s="17" t="s">
        <v>169</v>
      </c>
      <c r="AP120" s="17" t="s">
        <v>169</v>
      </c>
      <c r="AQ120" s="17" t="s">
        <v>169</v>
      </c>
      <c r="AR120" s="17">
        <v>-42751</v>
      </c>
      <c r="AS120" s="18"/>
      <c r="AT120" s="24">
        <v>0</v>
      </c>
      <c r="AU120" s="24">
        <v>0</v>
      </c>
      <c r="AV120" s="24">
        <v>0</v>
      </c>
      <c r="AW120" s="24">
        <v>0</v>
      </c>
      <c r="AX120" s="24">
        <v>0</v>
      </c>
      <c r="AY120" s="24">
        <v>0</v>
      </c>
      <c r="AZ120" s="18"/>
    </row>
    <row r="121" spans="1:52" x14ac:dyDescent="0.25">
      <c r="A121" s="16"/>
      <c r="B121" s="16"/>
      <c r="C121" s="65"/>
      <c r="D121" s="15"/>
      <c r="E121" s="15"/>
      <c r="F121" s="15"/>
      <c r="G121" s="16"/>
      <c r="H121" s="16"/>
      <c r="I121" s="16"/>
      <c r="J121" s="22"/>
      <c r="K121" s="86"/>
      <c r="L121" s="16"/>
      <c r="M121" s="15"/>
      <c r="N121" s="15"/>
      <c r="O121" s="20"/>
      <c r="P121" s="15"/>
      <c r="Q121" s="20"/>
      <c r="R121" s="15"/>
      <c r="S121" s="15"/>
      <c r="T121" s="15"/>
      <c r="U121" s="15"/>
      <c r="V121" s="17"/>
      <c r="W121" s="17"/>
      <c r="X121" s="16"/>
      <c r="Y121" s="20"/>
      <c r="Z121" s="15"/>
      <c r="AA121" s="22"/>
      <c r="AB121" s="90"/>
      <c r="AC121" s="76"/>
      <c r="AD121" s="25"/>
      <c r="AE121" s="25">
        <v>1</v>
      </c>
      <c r="AF121" s="17">
        <v>17</v>
      </c>
      <c r="AG121" s="17">
        <v>16</v>
      </c>
      <c r="AH121" s="17">
        <v>16</v>
      </c>
      <c r="AI121" s="17" t="s">
        <v>168</v>
      </c>
      <c r="AJ121" s="17">
        <v>4</v>
      </c>
      <c r="AK121" s="17">
        <v>3</v>
      </c>
      <c r="AL121" s="17">
        <v>3</v>
      </c>
      <c r="AM121" s="17" t="s">
        <v>168</v>
      </c>
      <c r="AN121" s="17">
        <v>0</v>
      </c>
      <c r="AO121" s="17" t="s">
        <v>169</v>
      </c>
      <c r="AP121" s="17" t="s">
        <v>169</v>
      </c>
      <c r="AQ121" s="17" t="s">
        <v>169</v>
      </c>
      <c r="AR121" s="17">
        <v>-42751</v>
      </c>
      <c r="AS121" s="18"/>
      <c r="AT121" s="24">
        <v>0</v>
      </c>
      <c r="AU121" s="24">
        <v>0</v>
      </c>
      <c r="AV121" s="24">
        <v>0</v>
      </c>
      <c r="AW121" s="24">
        <v>0</v>
      </c>
      <c r="AX121" s="24">
        <v>0</v>
      </c>
      <c r="AY121" s="24">
        <v>0</v>
      </c>
      <c r="AZ121" s="18"/>
    </row>
    <row r="122" spans="1:52" x14ac:dyDescent="0.25">
      <c r="A122" s="16"/>
      <c r="B122" s="16"/>
      <c r="C122" s="65"/>
      <c r="D122" s="15"/>
      <c r="E122" s="15"/>
      <c r="F122" s="15"/>
      <c r="G122" s="16"/>
      <c r="H122" s="16"/>
      <c r="I122" s="16"/>
      <c r="J122" s="22"/>
      <c r="K122" s="86"/>
      <c r="L122" s="16"/>
      <c r="M122" s="15"/>
      <c r="N122" s="15"/>
      <c r="O122" s="20"/>
      <c r="P122" s="15"/>
      <c r="Q122" s="20"/>
      <c r="R122" s="15"/>
      <c r="S122" s="15"/>
      <c r="T122" s="15"/>
      <c r="U122" s="15"/>
      <c r="V122" s="17"/>
      <c r="W122" s="17"/>
      <c r="X122" s="16"/>
      <c r="Y122" s="20"/>
      <c r="Z122" s="15"/>
      <c r="AA122" s="22"/>
      <c r="AB122" s="90"/>
      <c r="AC122" s="76"/>
      <c r="AD122" s="25"/>
      <c r="AE122" s="25">
        <v>1</v>
      </c>
      <c r="AF122" s="17">
        <v>17</v>
      </c>
      <c r="AG122" s="17">
        <v>16</v>
      </c>
      <c r="AH122" s="17">
        <v>16</v>
      </c>
      <c r="AI122" s="17" t="s">
        <v>168</v>
      </c>
      <c r="AJ122" s="17">
        <v>4</v>
      </c>
      <c r="AK122" s="17">
        <v>3</v>
      </c>
      <c r="AL122" s="17">
        <v>3</v>
      </c>
      <c r="AM122" s="17" t="s">
        <v>168</v>
      </c>
      <c r="AN122" s="17">
        <v>0</v>
      </c>
      <c r="AO122" s="17" t="s">
        <v>169</v>
      </c>
      <c r="AP122" s="17" t="s">
        <v>169</v>
      </c>
      <c r="AQ122" s="17" t="s">
        <v>169</v>
      </c>
      <c r="AR122" s="17">
        <v>-42751</v>
      </c>
      <c r="AS122" s="18"/>
      <c r="AT122" s="24">
        <v>0</v>
      </c>
      <c r="AU122" s="24">
        <v>0</v>
      </c>
      <c r="AV122" s="24">
        <v>0</v>
      </c>
      <c r="AW122" s="24">
        <v>0</v>
      </c>
      <c r="AX122" s="24">
        <v>0</v>
      </c>
      <c r="AY122" s="24">
        <v>0</v>
      </c>
      <c r="AZ122" s="18"/>
    </row>
    <row r="123" spans="1:52" x14ac:dyDescent="0.25">
      <c r="A123" s="16"/>
      <c r="B123" s="16"/>
      <c r="C123" s="65"/>
      <c r="D123" s="15"/>
      <c r="E123" s="15"/>
      <c r="F123" s="15"/>
      <c r="G123" s="16"/>
      <c r="H123" s="16"/>
      <c r="I123" s="16"/>
      <c r="J123" s="22"/>
      <c r="K123" s="86"/>
      <c r="L123" s="16"/>
      <c r="M123" s="15"/>
      <c r="N123" s="15"/>
      <c r="O123" s="20"/>
      <c r="P123" s="15"/>
      <c r="Q123" s="20"/>
      <c r="R123" s="15"/>
      <c r="S123" s="15"/>
      <c r="T123" s="15"/>
      <c r="U123" s="15"/>
      <c r="V123" s="17"/>
      <c r="W123" s="17"/>
      <c r="X123" s="16"/>
      <c r="Y123" s="20"/>
      <c r="Z123" s="15"/>
      <c r="AA123" s="22"/>
      <c r="AB123" s="90"/>
      <c r="AC123" s="76"/>
      <c r="AD123" s="25"/>
      <c r="AE123" s="25">
        <v>1</v>
      </c>
      <c r="AF123" s="17">
        <v>17</v>
      </c>
      <c r="AG123" s="17">
        <v>16</v>
      </c>
      <c r="AH123" s="17">
        <v>16</v>
      </c>
      <c r="AI123" s="17" t="s">
        <v>168</v>
      </c>
      <c r="AJ123" s="17">
        <v>4</v>
      </c>
      <c r="AK123" s="17">
        <v>3</v>
      </c>
      <c r="AL123" s="17">
        <v>3</v>
      </c>
      <c r="AM123" s="17" t="s">
        <v>168</v>
      </c>
      <c r="AN123" s="17">
        <v>0</v>
      </c>
      <c r="AO123" s="17" t="s">
        <v>169</v>
      </c>
      <c r="AP123" s="17" t="s">
        <v>169</v>
      </c>
      <c r="AQ123" s="17" t="s">
        <v>169</v>
      </c>
      <c r="AR123" s="17">
        <v>-42751</v>
      </c>
      <c r="AS123" s="18"/>
      <c r="AT123" s="24">
        <v>0</v>
      </c>
      <c r="AU123" s="24">
        <v>0</v>
      </c>
      <c r="AV123" s="24">
        <v>0</v>
      </c>
      <c r="AW123" s="24">
        <v>0</v>
      </c>
      <c r="AX123" s="24">
        <v>0</v>
      </c>
      <c r="AY123" s="24">
        <v>0</v>
      </c>
      <c r="AZ123" s="18"/>
    </row>
    <row r="124" spans="1:52" x14ac:dyDescent="0.25">
      <c r="A124" s="16"/>
      <c r="B124" s="16"/>
      <c r="C124" s="65"/>
      <c r="D124" s="15"/>
      <c r="E124" s="15"/>
      <c r="F124" s="15"/>
      <c r="G124" s="16"/>
      <c r="H124" s="16"/>
      <c r="I124" s="16"/>
      <c r="J124" s="22"/>
      <c r="K124" s="86"/>
      <c r="L124" s="16"/>
      <c r="M124" s="15"/>
      <c r="N124" s="15"/>
      <c r="O124" s="20"/>
      <c r="P124" s="15"/>
      <c r="Q124" s="20"/>
      <c r="R124" s="15"/>
      <c r="S124" s="15"/>
      <c r="T124" s="15"/>
      <c r="U124" s="15"/>
      <c r="V124" s="17"/>
      <c r="W124" s="17"/>
      <c r="X124" s="16"/>
      <c r="Y124" s="20"/>
      <c r="Z124" s="15"/>
      <c r="AA124" s="22"/>
      <c r="AB124" s="90"/>
      <c r="AC124" s="76"/>
      <c r="AD124" s="25"/>
      <c r="AE124" s="25">
        <v>1</v>
      </c>
      <c r="AF124" s="17">
        <v>17</v>
      </c>
      <c r="AG124" s="17">
        <v>16</v>
      </c>
      <c r="AH124" s="17">
        <v>16</v>
      </c>
      <c r="AI124" s="17" t="s">
        <v>168</v>
      </c>
      <c r="AJ124" s="17">
        <v>4</v>
      </c>
      <c r="AK124" s="17">
        <v>3</v>
      </c>
      <c r="AL124" s="17">
        <v>3</v>
      </c>
      <c r="AM124" s="17" t="s">
        <v>168</v>
      </c>
      <c r="AN124" s="17">
        <v>0</v>
      </c>
      <c r="AO124" s="17" t="s">
        <v>169</v>
      </c>
      <c r="AP124" s="17" t="s">
        <v>169</v>
      </c>
      <c r="AQ124" s="17" t="s">
        <v>169</v>
      </c>
      <c r="AR124" s="17">
        <v>-42751</v>
      </c>
      <c r="AS124" s="18"/>
      <c r="AT124" s="24">
        <v>0</v>
      </c>
      <c r="AU124" s="24">
        <v>0</v>
      </c>
      <c r="AV124" s="24">
        <v>0</v>
      </c>
      <c r="AW124" s="24">
        <v>0</v>
      </c>
      <c r="AX124" s="24">
        <v>0</v>
      </c>
      <c r="AY124" s="24">
        <v>0</v>
      </c>
      <c r="AZ124" s="18"/>
    </row>
    <row r="125" spans="1:52" x14ac:dyDescent="0.25">
      <c r="A125" s="16"/>
      <c r="B125" s="16"/>
      <c r="C125" s="65"/>
      <c r="D125" s="15"/>
      <c r="E125" s="15"/>
      <c r="F125" s="15"/>
      <c r="G125" s="16"/>
      <c r="H125" s="16"/>
      <c r="I125" s="16"/>
      <c r="J125" s="22"/>
      <c r="K125" s="86"/>
      <c r="L125" s="16"/>
      <c r="M125" s="15"/>
      <c r="N125" s="15"/>
      <c r="O125" s="20"/>
      <c r="P125" s="15"/>
      <c r="Q125" s="20"/>
      <c r="R125" s="15"/>
      <c r="S125" s="15"/>
      <c r="T125" s="15"/>
      <c r="U125" s="15"/>
      <c r="V125" s="17"/>
      <c r="W125" s="17"/>
      <c r="X125" s="16"/>
      <c r="Y125" s="20"/>
      <c r="Z125" s="15"/>
      <c r="AA125" s="22"/>
      <c r="AB125" s="90"/>
      <c r="AC125" s="22"/>
      <c r="AD125" s="25"/>
      <c r="AE125" s="25">
        <v>1</v>
      </c>
      <c r="AF125" s="17">
        <v>17</v>
      </c>
      <c r="AG125" s="17">
        <v>16</v>
      </c>
      <c r="AH125" s="17">
        <v>16</v>
      </c>
      <c r="AI125" s="17" t="s">
        <v>168</v>
      </c>
      <c r="AJ125" s="17">
        <v>4</v>
      </c>
      <c r="AK125" s="17">
        <v>3</v>
      </c>
      <c r="AL125" s="17">
        <v>3</v>
      </c>
      <c r="AM125" s="17" t="s">
        <v>168</v>
      </c>
      <c r="AN125" s="17">
        <v>0</v>
      </c>
      <c r="AO125" s="17" t="s">
        <v>169</v>
      </c>
      <c r="AP125" s="17" t="s">
        <v>169</v>
      </c>
      <c r="AQ125" s="17" t="s">
        <v>169</v>
      </c>
      <c r="AR125" s="17">
        <v>-42751</v>
      </c>
      <c r="AS125" s="18"/>
      <c r="AT125" s="24">
        <v>0</v>
      </c>
      <c r="AU125" s="24">
        <v>0</v>
      </c>
      <c r="AV125" s="24">
        <v>0</v>
      </c>
      <c r="AW125" s="24">
        <v>0</v>
      </c>
      <c r="AX125" s="24">
        <v>0</v>
      </c>
      <c r="AY125" s="24">
        <v>0</v>
      </c>
      <c r="AZ125" s="18"/>
    </row>
    <row r="126" spans="1:52" x14ac:dyDescent="0.25">
      <c r="A126" s="16"/>
      <c r="B126" s="16"/>
      <c r="C126" s="65"/>
      <c r="D126" s="15"/>
      <c r="E126" s="15"/>
      <c r="F126" s="15"/>
      <c r="G126" s="16"/>
      <c r="H126" s="16"/>
      <c r="I126" s="16"/>
      <c r="J126" s="22"/>
      <c r="K126" s="86"/>
      <c r="L126" s="16"/>
      <c r="M126" s="15"/>
      <c r="N126" s="15"/>
      <c r="O126" s="20"/>
      <c r="P126" s="15"/>
      <c r="Q126" s="20"/>
      <c r="R126" s="15"/>
      <c r="S126" s="15"/>
      <c r="T126" s="15"/>
      <c r="U126" s="15"/>
      <c r="V126" s="17"/>
      <c r="W126" s="17"/>
      <c r="X126" s="16"/>
      <c r="Y126" s="20"/>
      <c r="Z126" s="15"/>
      <c r="AA126" s="22"/>
      <c r="AB126" s="90"/>
      <c r="AC126" s="22"/>
      <c r="AD126" s="25"/>
      <c r="AE126" s="25">
        <v>1</v>
      </c>
      <c r="AF126" s="17">
        <v>17</v>
      </c>
      <c r="AG126" s="17">
        <v>16</v>
      </c>
      <c r="AH126" s="17">
        <v>16</v>
      </c>
      <c r="AI126" s="17" t="s">
        <v>168</v>
      </c>
      <c r="AJ126" s="17">
        <v>4</v>
      </c>
      <c r="AK126" s="17">
        <v>3</v>
      </c>
      <c r="AL126" s="17">
        <v>3</v>
      </c>
      <c r="AM126" s="17" t="s">
        <v>168</v>
      </c>
      <c r="AN126" s="17">
        <v>0</v>
      </c>
      <c r="AO126" s="17" t="s">
        <v>169</v>
      </c>
      <c r="AP126" s="17" t="s">
        <v>169</v>
      </c>
      <c r="AQ126" s="17" t="s">
        <v>169</v>
      </c>
      <c r="AR126" s="17">
        <v>-42751</v>
      </c>
      <c r="AS126" s="18"/>
      <c r="AT126" s="24">
        <v>0</v>
      </c>
      <c r="AU126" s="24">
        <v>0</v>
      </c>
      <c r="AV126" s="24">
        <v>0</v>
      </c>
      <c r="AW126" s="24">
        <v>0</v>
      </c>
      <c r="AX126" s="24">
        <v>0</v>
      </c>
      <c r="AY126" s="24">
        <v>0</v>
      </c>
      <c r="AZ126" s="18"/>
    </row>
    <row r="127" spans="1:52" x14ac:dyDescent="0.25">
      <c r="A127" s="16"/>
      <c r="B127" s="16"/>
      <c r="C127" s="65"/>
      <c r="D127" s="15"/>
      <c r="E127" s="15"/>
      <c r="F127" s="15"/>
      <c r="G127" s="16"/>
      <c r="H127" s="16"/>
      <c r="I127" s="16"/>
      <c r="J127" s="22"/>
      <c r="K127" s="86"/>
      <c r="L127" s="16"/>
      <c r="M127" s="15"/>
      <c r="N127" s="15"/>
      <c r="O127" s="20"/>
      <c r="P127" s="15"/>
      <c r="Q127" s="20"/>
      <c r="R127" s="15"/>
      <c r="S127" s="15"/>
      <c r="T127" s="15"/>
      <c r="U127" s="15"/>
      <c r="V127" s="17"/>
      <c r="W127" s="17"/>
      <c r="X127" s="16"/>
      <c r="Y127" s="20"/>
      <c r="Z127" s="15"/>
      <c r="AA127" s="22"/>
      <c r="AB127" s="90"/>
      <c r="AC127" s="22"/>
      <c r="AD127" s="25"/>
      <c r="AE127" s="25">
        <v>1</v>
      </c>
      <c r="AF127" s="17">
        <v>17</v>
      </c>
      <c r="AG127" s="17">
        <v>16</v>
      </c>
      <c r="AH127" s="17">
        <v>16</v>
      </c>
      <c r="AI127" s="17" t="s">
        <v>168</v>
      </c>
      <c r="AJ127" s="17">
        <v>4</v>
      </c>
      <c r="AK127" s="17">
        <v>3</v>
      </c>
      <c r="AL127" s="17">
        <v>3</v>
      </c>
      <c r="AM127" s="17" t="s">
        <v>168</v>
      </c>
      <c r="AN127" s="17">
        <v>0</v>
      </c>
      <c r="AO127" s="17" t="s">
        <v>169</v>
      </c>
      <c r="AP127" s="17" t="s">
        <v>169</v>
      </c>
      <c r="AQ127" s="17" t="s">
        <v>169</v>
      </c>
      <c r="AR127" s="17">
        <v>-42751</v>
      </c>
      <c r="AS127" s="18"/>
      <c r="AT127" s="24">
        <v>0</v>
      </c>
      <c r="AU127" s="24">
        <v>0</v>
      </c>
      <c r="AV127" s="24">
        <v>0</v>
      </c>
      <c r="AW127" s="24">
        <v>0</v>
      </c>
      <c r="AX127" s="24">
        <v>0</v>
      </c>
      <c r="AY127" s="24">
        <v>0</v>
      </c>
      <c r="AZ127" s="18"/>
    </row>
    <row r="128" spans="1:52" x14ac:dyDescent="0.25">
      <c r="A128" s="16"/>
      <c r="B128" s="16"/>
      <c r="C128" s="65"/>
      <c r="D128" s="15"/>
      <c r="E128" s="15"/>
      <c r="F128" s="15"/>
      <c r="G128" s="16"/>
      <c r="H128" s="16"/>
      <c r="I128" s="16"/>
      <c r="J128" s="22"/>
      <c r="K128" s="86"/>
      <c r="L128" s="16"/>
      <c r="M128" s="15"/>
      <c r="N128" s="15"/>
      <c r="O128" s="20"/>
      <c r="P128" s="15"/>
      <c r="Q128" s="20"/>
      <c r="R128" s="15"/>
      <c r="S128" s="15"/>
      <c r="T128" s="15"/>
      <c r="U128" s="15"/>
      <c r="V128" s="17"/>
      <c r="W128" s="17"/>
      <c r="X128" s="16"/>
      <c r="Y128" s="20"/>
      <c r="Z128" s="15"/>
      <c r="AA128" s="22"/>
      <c r="AB128" s="90"/>
      <c r="AC128" s="22"/>
      <c r="AD128" s="25"/>
      <c r="AE128" s="25">
        <v>1</v>
      </c>
      <c r="AF128" s="17">
        <v>17</v>
      </c>
      <c r="AG128" s="17">
        <v>16</v>
      </c>
      <c r="AH128" s="17">
        <v>16</v>
      </c>
      <c r="AI128" s="17" t="s">
        <v>168</v>
      </c>
      <c r="AJ128" s="17">
        <v>4</v>
      </c>
      <c r="AK128" s="17">
        <v>3</v>
      </c>
      <c r="AL128" s="17">
        <v>3</v>
      </c>
      <c r="AM128" s="17" t="s">
        <v>168</v>
      </c>
      <c r="AN128" s="17">
        <v>0</v>
      </c>
      <c r="AO128" s="17" t="s">
        <v>169</v>
      </c>
      <c r="AP128" s="17" t="s">
        <v>169</v>
      </c>
      <c r="AQ128" s="17" t="s">
        <v>169</v>
      </c>
      <c r="AR128" s="17">
        <v>-42751</v>
      </c>
      <c r="AS128" s="18"/>
      <c r="AT128" s="24">
        <v>0</v>
      </c>
      <c r="AU128" s="24">
        <v>0</v>
      </c>
      <c r="AV128" s="24">
        <v>0</v>
      </c>
      <c r="AW128" s="24">
        <v>0</v>
      </c>
      <c r="AX128" s="24">
        <v>0</v>
      </c>
      <c r="AY128" s="24">
        <v>0</v>
      </c>
      <c r="AZ128" s="18"/>
    </row>
    <row r="129" spans="1:52" x14ac:dyDescent="0.25">
      <c r="A129" s="16"/>
      <c r="B129" s="16"/>
      <c r="C129" s="65"/>
      <c r="D129" s="15"/>
      <c r="E129" s="15"/>
      <c r="F129" s="15"/>
      <c r="G129" s="16"/>
      <c r="H129" s="16"/>
      <c r="I129" s="16"/>
      <c r="J129" s="22"/>
      <c r="K129" s="86"/>
      <c r="L129" s="16"/>
      <c r="M129" s="15"/>
      <c r="N129" s="15"/>
      <c r="O129" s="20"/>
      <c r="P129" s="15"/>
      <c r="Q129" s="20"/>
      <c r="R129" s="15"/>
      <c r="S129" s="15"/>
      <c r="T129" s="15"/>
      <c r="U129" s="15"/>
      <c r="V129" s="17"/>
      <c r="W129" s="17"/>
      <c r="X129" s="16"/>
      <c r="Y129" s="20"/>
      <c r="Z129" s="15"/>
      <c r="AA129" s="22"/>
      <c r="AB129" s="90"/>
      <c r="AC129" s="22"/>
      <c r="AD129" s="25"/>
      <c r="AE129" s="25">
        <v>1</v>
      </c>
      <c r="AF129" s="17">
        <v>17</v>
      </c>
      <c r="AG129" s="17">
        <v>16</v>
      </c>
      <c r="AH129" s="17">
        <v>16</v>
      </c>
      <c r="AI129" s="17" t="s">
        <v>168</v>
      </c>
      <c r="AJ129" s="17">
        <v>4</v>
      </c>
      <c r="AK129" s="17">
        <v>3</v>
      </c>
      <c r="AL129" s="17">
        <v>3</v>
      </c>
      <c r="AM129" s="17" t="s">
        <v>168</v>
      </c>
      <c r="AN129" s="17">
        <v>0</v>
      </c>
      <c r="AO129" s="17" t="s">
        <v>169</v>
      </c>
      <c r="AP129" s="17" t="s">
        <v>169</v>
      </c>
      <c r="AQ129" s="17" t="s">
        <v>169</v>
      </c>
      <c r="AR129" s="17">
        <v>-42751</v>
      </c>
      <c r="AS129" s="18"/>
      <c r="AT129" s="24">
        <v>0</v>
      </c>
      <c r="AU129" s="24">
        <v>0</v>
      </c>
      <c r="AV129" s="24">
        <v>0</v>
      </c>
      <c r="AW129" s="24">
        <v>0</v>
      </c>
      <c r="AX129" s="24">
        <v>0</v>
      </c>
      <c r="AY129" s="24">
        <v>0</v>
      </c>
      <c r="AZ129" s="18"/>
    </row>
    <row r="130" spans="1:52" x14ac:dyDescent="0.25">
      <c r="A130" s="16"/>
      <c r="B130" s="16"/>
      <c r="C130" s="65"/>
      <c r="D130" s="15"/>
      <c r="E130" s="15"/>
      <c r="F130" s="15"/>
      <c r="G130" s="16"/>
      <c r="H130" s="16"/>
      <c r="I130" s="16"/>
      <c r="J130" s="22"/>
      <c r="K130" s="86"/>
      <c r="L130" s="16"/>
      <c r="M130" s="15"/>
      <c r="N130" s="15"/>
      <c r="O130" s="20"/>
      <c r="P130" s="15"/>
      <c r="Q130" s="20"/>
      <c r="R130" s="15"/>
      <c r="S130" s="15"/>
      <c r="T130" s="15"/>
      <c r="U130" s="15"/>
      <c r="V130" s="17"/>
      <c r="W130" s="17"/>
      <c r="X130" s="16"/>
      <c r="Y130" s="20"/>
      <c r="Z130" s="15"/>
      <c r="AA130" s="22"/>
      <c r="AB130" s="90"/>
      <c r="AC130" s="22"/>
      <c r="AD130" s="25"/>
      <c r="AE130" s="25">
        <v>1</v>
      </c>
      <c r="AF130" s="17">
        <v>17</v>
      </c>
      <c r="AG130" s="17">
        <v>16</v>
      </c>
      <c r="AH130" s="17">
        <v>16</v>
      </c>
      <c r="AI130" s="17" t="s">
        <v>168</v>
      </c>
      <c r="AJ130" s="17">
        <v>4</v>
      </c>
      <c r="AK130" s="17">
        <v>3</v>
      </c>
      <c r="AL130" s="17">
        <v>3</v>
      </c>
      <c r="AM130" s="17" t="s">
        <v>168</v>
      </c>
      <c r="AN130" s="17">
        <v>0</v>
      </c>
      <c r="AO130" s="17" t="s">
        <v>169</v>
      </c>
      <c r="AP130" s="17" t="s">
        <v>169</v>
      </c>
      <c r="AQ130" s="17" t="s">
        <v>169</v>
      </c>
      <c r="AR130" s="17">
        <v>-42751</v>
      </c>
      <c r="AS130" s="18"/>
      <c r="AT130" s="24">
        <v>0</v>
      </c>
      <c r="AU130" s="24">
        <v>0</v>
      </c>
      <c r="AV130" s="24">
        <v>0</v>
      </c>
      <c r="AW130" s="24">
        <v>0</v>
      </c>
      <c r="AX130" s="24">
        <v>0</v>
      </c>
      <c r="AY130" s="24">
        <v>0</v>
      </c>
      <c r="AZ130" s="18"/>
    </row>
    <row r="131" spans="1:52" x14ac:dyDescent="0.25">
      <c r="A131" s="16"/>
      <c r="B131" s="16"/>
      <c r="C131" s="65"/>
      <c r="D131" s="15"/>
      <c r="E131" s="15"/>
      <c r="F131" s="15"/>
      <c r="G131" s="16"/>
      <c r="H131" s="16"/>
      <c r="I131" s="16"/>
      <c r="J131" s="22"/>
      <c r="K131" s="86"/>
      <c r="L131" s="16"/>
      <c r="M131" s="15"/>
      <c r="N131" s="15"/>
      <c r="O131" s="20"/>
      <c r="P131" s="15"/>
      <c r="Q131" s="20"/>
      <c r="R131" s="15"/>
      <c r="S131" s="15"/>
      <c r="T131" s="15"/>
      <c r="U131" s="15"/>
      <c r="V131" s="17"/>
      <c r="W131" s="17"/>
      <c r="X131" s="16"/>
      <c r="Y131" s="20"/>
      <c r="Z131" s="15"/>
      <c r="AA131" s="22"/>
      <c r="AB131" s="90"/>
      <c r="AC131" s="22"/>
      <c r="AD131" s="25"/>
      <c r="AE131" s="25">
        <v>1</v>
      </c>
      <c r="AF131" s="17">
        <v>17</v>
      </c>
      <c r="AG131" s="17">
        <v>16</v>
      </c>
      <c r="AH131" s="17">
        <v>16</v>
      </c>
      <c r="AI131" s="17" t="s">
        <v>168</v>
      </c>
      <c r="AJ131" s="17">
        <v>4</v>
      </c>
      <c r="AK131" s="17">
        <v>3</v>
      </c>
      <c r="AL131" s="17">
        <v>3</v>
      </c>
      <c r="AM131" s="17" t="s">
        <v>168</v>
      </c>
      <c r="AN131" s="17">
        <v>0</v>
      </c>
      <c r="AO131" s="17" t="s">
        <v>169</v>
      </c>
      <c r="AP131" s="17" t="s">
        <v>169</v>
      </c>
      <c r="AQ131" s="17" t="s">
        <v>169</v>
      </c>
      <c r="AR131" s="17">
        <v>-42751</v>
      </c>
      <c r="AS131" s="18"/>
      <c r="AT131" s="24">
        <v>0</v>
      </c>
      <c r="AU131" s="24">
        <v>0</v>
      </c>
      <c r="AV131" s="24">
        <v>0</v>
      </c>
      <c r="AW131" s="24">
        <v>0</v>
      </c>
      <c r="AX131" s="24">
        <v>0</v>
      </c>
      <c r="AY131" s="24">
        <v>0</v>
      </c>
      <c r="AZ131" s="18"/>
    </row>
    <row r="132" spans="1:52" x14ac:dyDescent="0.25">
      <c r="A132" s="16"/>
      <c r="B132" s="16"/>
      <c r="C132" s="65"/>
      <c r="D132" s="15"/>
      <c r="E132" s="15"/>
      <c r="F132" s="15"/>
      <c r="G132" s="16"/>
      <c r="H132" s="16"/>
      <c r="I132" s="16"/>
      <c r="J132" s="22"/>
      <c r="K132" s="86"/>
      <c r="L132" s="16"/>
      <c r="M132" s="15"/>
      <c r="N132" s="15"/>
      <c r="O132" s="20"/>
      <c r="P132" s="15"/>
      <c r="Q132" s="20"/>
      <c r="R132" s="15"/>
      <c r="S132" s="15"/>
      <c r="T132" s="15"/>
      <c r="U132" s="15"/>
      <c r="V132" s="17"/>
      <c r="W132" s="17"/>
      <c r="X132" s="16"/>
      <c r="Y132" s="20"/>
      <c r="Z132" s="15"/>
      <c r="AA132" s="22"/>
      <c r="AB132" s="90"/>
      <c r="AC132" s="22"/>
      <c r="AD132" s="25"/>
      <c r="AE132" s="25">
        <v>1</v>
      </c>
      <c r="AF132" s="17">
        <v>17</v>
      </c>
      <c r="AG132" s="17">
        <v>16</v>
      </c>
      <c r="AH132" s="17">
        <v>16</v>
      </c>
      <c r="AI132" s="17" t="s">
        <v>168</v>
      </c>
      <c r="AJ132" s="17">
        <v>4</v>
      </c>
      <c r="AK132" s="17">
        <v>3</v>
      </c>
      <c r="AL132" s="17">
        <v>3</v>
      </c>
      <c r="AM132" s="17" t="s">
        <v>168</v>
      </c>
      <c r="AN132" s="17">
        <v>0</v>
      </c>
      <c r="AO132" s="17" t="s">
        <v>169</v>
      </c>
      <c r="AP132" s="17" t="s">
        <v>169</v>
      </c>
      <c r="AQ132" s="17" t="s">
        <v>169</v>
      </c>
      <c r="AR132" s="17">
        <v>-42751</v>
      </c>
      <c r="AS132" s="18"/>
      <c r="AT132" s="24">
        <v>0</v>
      </c>
      <c r="AU132" s="24">
        <v>0</v>
      </c>
      <c r="AV132" s="24">
        <v>0</v>
      </c>
      <c r="AW132" s="24">
        <v>0</v>
      </c>
      <c r="AX132" s="24">
        <v>0</v>
      </c>
      <c r="AY132" s="24">
        <v>0</v>
      </c>
      <c r="AZ132" s="18"/>
    </row>
    <row r="133" spans="1:52" x14ac:dyDescent="0.25">
      <c r="A133" s="16"/>
      <c r="B133" s="16"/>
      <c r="C133" s="65"/>
      <c r="D133" s="15"/>
      <c r="E133" s="15"/>
      <c r="F133" s="15"/>
      <c r="G133" s="16"/>
      <c r="H133" s="16"/>
      <c r="I133" s="16"/>
      <c r="J133" s="22"/>
      <c r="K133" s="86"/>
      <c r="L133" s="16"/>
      <c r="M133" s="15"/>
      <c r="N133" s="15"/>
      <c r="O133" s="20"/>
      <c r="P133" s="15"/>
      <c r="Q133" s="20"/>
      <c r="R133" s="15"/>
      <c r="S133" s="15"/>
      <c r="T133" s="15"/>
      <c r="U133" s="15"/>
      <c r="V133" s="17"/>
      <c r="W133" s="17"/>
      <c r="X133" s="16"/>
      <c r="Y133" s="20"/>
      <c r="Z133" s="15"/>
      <c r="AA133" s="22"/>
      <c r="AB133" s="90"/>
      <c r="AC133" s="22"/>
      <c r="AD133" s="25"/>
      <c r="AE133" s="25">
        <v>1</v>
      </c>
      <c r="AF133" s="17">
        <v>17</v>
      </c>
      <c r="AG133" s="17">
        <v>16</v>
      </c>
      <c r="AH133" s="17">
        <v>16</v>
      </c>
      <c r="AI133" s="17" t="s">
        <v>168</v>
      </c>
      <c r="AJ133" s="17">
        <v>4</v>
      </c>
      <c r="AK133" s="17">
        <v>3</v>
      </c>
      <c r="AL133" s="17">
        <v>3</v>
      </c>
      <c r="AM133" s="17" t="s">
        <v>168</v>
      </c>
      <c r="AN133" s="17">
        <v>0</v>
      </c>
      <c r="AO133" s="17" t="s">
        <v>169</v>
      </c>
      <c r="AP133" s="17" t="s">
        <v>169</v>
      </c>
      <c r="AQ133" s="17" t="s">
        <v>169</v>
      </c>
      <c r="AR133" s="17">
        <v>-42751</v>
      </c>
      <c r="AS133" s="18"/>
      <c r="AT133" s="24">
        <v>0</v>
      </c>
      <c r="AU133" s="24">
        <v>0</v>
      </c>
      <c r="AV133" s="24">
        <v>0</v>
      </c>
      <c r="AW133" s="24">
        <v>0</v>
      </c>
      <c r="AX133" s="24">
        <v>0</v>
      </c>
      <c r="AY133" s="24">
        <v>0</v>
      </c>
      <c r="AZ133" s="18"/>
    </row>
    <row r="134" spans="1:52" x14ac:dyDescent="0.25">
      <c r="A134" s="16"/>
      <c r="B134" s="16"/>
      <c r="C134" s="65"/>
      <c r="D134" s="15"/>
      <c r="E134" s="15"/>
      <c r="F134" s="15"/>
      <c r="G134" s="16"/>
      <c r="H134" s="16"/>
      <c r="I134" s="16"/>
      <c r="J134" s="22"/>
      <c r="K134" s="86"/>
      <c r="L134" s="16"/>
      <c r="M134" s="15"/>
      <c r="N134" s="15"/>
      <c r="O134" s="20"/>
      <c r="P134" s="15"/>
      <c r="Q134" s="20"/>
      <c r="R134" s="15"/>
      <c r="S134" s="15"/>
      <c r="T134" s="15"/>
      <c r="U134" s="15"/>
      <c r="V134" s="17"/>
      <c r="W134" s="17"/>
      <c r="X134" s="16"/>
      <c r="Y134" s="20"/>
      <c r="Z134" s="15"/>
      <c r="AA134" s="22"/>
      <c r="AB134" s="90"/>
      <c r="AC134" s="22"/>
      <c r="AD134" s="25"/>
      <c r="AE134" s="25">
        <v>1</v>
      </c>
      <c r="AF134" s="17">
        <v>17</v>
      </c>
      <c r="AG134" s="17">
        <v>16</v>
      </c>
      <c r="AH134" s="17">
        <v>16</v>
      </c>
      <c r="AI134" s="17" t="s">
        <v>168</v>
      </c>
      <c r="AJ134" s="17">
        <v>4</v>
      </c>
      <c r="AK134" s="17">
        <v>3</v>
      </c>
      <c r="AL134" s="17">
        <v>3</v>
      </c>
      <c r="AM134" s="17" t="s">
        <v>168</v>
      </c>
      <c r="AN134" s="17">
        <v>0</v>
      </c>
      <c r="AO134" s="17" t="s">
        <v>169</v>
      </c>
      <c r="AP134" s="17" t="s">
        <v>169</v>
      </c>
      <c r="AQ134" s="17" t="s">
        <v>169</v>
      </c>
      <c r="AR134" s="17">
        <v>-42751</v>
      </c>
      <c r="AS134" s="18"/>
      <c r="AT134" s="24">
        <v>0</v>
      </c>
      <c r="AU134" s="24">
        <v>0</v>
      </c>
      <c r="AV134" s="24">
        <v>0</v>
      </c>
      <c r="AW134" s="24">
        <v>0</v>
      </c>
      <c r="AX134" s="24">
        <v>0</v>
      </c>
      <c r="AY134" s="24">
        <v>0</v>
      </c>
      <c r="AZ134" s="18"/>
    </row>
    <row r="135" spans="1:52" x14ac:dyDescent="0.25">
      <c r="A135" s="16"/>
      <c r="B135" s="16"/>
      <c r="C135" s="65"/>
      <c r="D135" s="15"/>
      <c r="E135" s="15"/>
      <c r="F135" s="15"/>
      <c r="G135" s="16"/>
      <c r="H135" s="16"/>
      <c r="I135" s="16"/>
      <c r="J135" s="22"/>
      <c r="K135" s="86"/>
      <c r="L135" s="16"/>
      <c r="M135" s="15"/>
      <c r="N135" s="15"/>
      <c r="O135" s="20"/>
      <c r="P135" s="15"/>
      <c r="Q135" s="20"/>
      <c r="R135" s="15"/>
      <c r="S135" s="15"/>
      <c r="T135" s="15"/>
      <c r="U135" s="15"/>
      <c r="V135" s="17"/>
      <c r="W135" s="17"/>
      <c r="X135" s="16"/>
      <c r="Y135" s="20"/>
      <c r="Z135" s="15"/>
      <c r="AA135" s="22"/>
      <c r="AB135" s="90"/>
      <c r="AC135" s="22"/>
      <c r="AD135" s="25"/>
      <c r="AE135" s="25">
        <v>1</v>
      </c>
      <c r="AF135" s="17">
        <v>17</v>
      </c>
      <c r="AG135" s="17">
        <v>16</v>
      </c>
      <c r="AH135" s="17">
        <v>16</v>
      </c>
      <c r="AI135" s="17" t="s">
        <v>168</v>
      </c>
      <c r="AJ135" s="17">
        <v>4</v>
      </c>
      <c r="AK135" s="17">
        <v>3</v>
      </c>
      <c r="AL135" s="17">
        <v>3</v>
      </c>
      <c r="AM135" s="17" t="s">
        <v>168</v>
      </c>
      <c r="AN135" s="17">
        <v>0</v>
      </c>
      <c r="AO135" s="17" t="s">
        <v>169</v>
      </c>
      <c r="AP135" s="17" t="s">
        <v>169</v>
      </c>
      <c r="AQ135" s="17" t="s">
        <v>169</v>
      </c>
      <c r="AR135" s="17">
        <v>-42751</v>
      </c>
      <c r="AS135" s="18"/>
      <c r="AT135" s="24">
        <v>0</v>
      </c>
      <c r="AU135" s="24">
        <v>0</v>
      </c>
      <c r="AV135" s="24">
        <v>0</v>
      </c>
      <c r="AW135" s="24">
        <v>0</v>
      </c>
      <c r="AX135" s="24">
        <v>0</v>
      </c>
      <c r="AY135" s="24">
        <v>0</v>
      </c>
      <c r="AZ135" s="18"/>
    </row>
    <row r="136" spans="1:52" x14ac:dyDescent="0.25">
      <c r="A136" s="16"/>
      <c r="B136" s="16"/>
      <c r="C136" s="65"/>
      <c r="D136" s="15"/>
      <c r="E136" s="15"/>
      <c r="F136" s="15"/>
      <c r="G136" s="16"/>
      <c r="H136" s="16"/>
      <c r="I136" s="16"/>
      <c r="J136" s="22"/>
      <c r="K136" s="86"/>
      <c r="L136" s="16"/>
      <c r="M136" s="15"/>
      <c r="N136" s="15"/>
      <c r="O136" s="20"/>
      <c r="P136" s="15"/>
      <c r="Q136" s="20"/>
      <c r="R136" s="15"/>
      <c r="S136" s="15"/>
      <c r="T136" s="15"/>
      <c r="U136" s="15"/>
      <c r="V136" s="17"/>
      <c r="W136" s="17"/>
      <c r="X136" s="16"/>
      <c r="Y136" s="20"/>
      <c r="Z136" s="15"/>
      <c r="AA136" s="22"/>
      <c r="AB136" s="90"/>
      <c r="AC136" s="22"/>
      <c r="AD136" s="25"/>
      <c r="AE136" s="25">
        <v>1</v>
      </c>
      <c r="AF136" s="17">
        <v>17</v>
      </c>
      <c r="AG136" s="17">
        <v>16</v>
      </c>
      <c r="AH136" s="17">
        <v>16</v>
      </c>
      <c r="AI136" s="17" t="s">
        <v>168</v>
      </c>
      <c r="AJ136" s="17">
        <v>4</v>
      </c>
      <c r="AK136" s="17">
        <v>3</v>
      </c>
      <c r="AL136" s="17">
        <v>3</v>
      </c>
      <c r="AM136" s="17" t="s">
        <v>168</v>
      </c>
      <c r="AN136" s="17">
        <v>0</v>
      </c>
      <c r="AO136" s="17" t="s">
        <v>169</v>
      </c>
      <c r="AP136" s="17" t="s">
        <v>169</v>
      </c>
      <c r="AQ136" s="17" t="s">
        <v>169</v>
      </c>
      <c r="AR136" s="17">
        <v>-42751</v>
      </c>
      <c r="AS136" s="18"/>
      <c r="AT136" s="24">
        <v>0</v>
      </c>
      <c r="AU136" s="24">
        <v>0</v>
      </c>
      <c r="AV136" s="24">
        <v>0</v>
      </c>
      <c r="AW136" s="24">
        <v>0</v>
      </c>
      <c r="AX136" s="24">
        <v>0</v>
      </c>
      <c r="AY136" s="24">
        <v>0</v>
      </c>
      <c r="AZ136" s="18"/>
    </row>
    <row r="137" spans="1:52" x14ac:dyDescent="0.25">
      <c r="A137" s="16"/>
      <c r="B137" s="16"/>
      <c r="C137" s="65"/>
      <c r="D137" s="15"/>
      <c r="E137" s="15"/>
      <c r="F137" s="15"/>
      <c r="G137" s="16"/>
      <c r="H137" s="16"/>
      <c r="I137" s="16"/>
      <c r="J137" s="22"/>
      <c r="K137" s="86"/>
      <c r="L137" s="16"/>
      <c r="M137" s="15"/>
      <c r="N137" s="15"/>
      <c r="O137" s="20"/>
      <c r="P137" s="15"/>
      <c r="Q137" s="20"/>
      <c r="R137" s="15"/>
      <c r="S137" s="15"/>
      <c r="T137" s="15"/>
      <c r="U137" s="15"/>
      <c r="V137" s="17"/>
      <c r="W137" s="17"/>
      <c r="X137" s="16"/>
      <c r="Y137" s="20"/>
      <c r="Z137" s="15"/>
      <c r="AA137" s="22"/>
      <c r="AB137" s="90"/>
      <c r="AC137" s="22"/>
      <c r="AD137" s="25"/>
      <c r="AE137" s="25">
        <v>1</v>
      </c>
      <c r="AF137" s="17">
        <v>17</v>
      </c>
      <c r="AG137" s="17">
        <v>16</v>
      </c>
      <c r="AH137" s="17">
        <v>16</v>
      </c>
      <c r="AI137" s="17" t="s">
        <v>168</v>
      </c>
      <c r="AJ137" s="17">
        <v>4</v>
      </c>
      <c r="AK137" s="17">
        <v>3</v>
      </c>
      <c r="AL137" s="17">
        <v>3</v>
      </c>
      <c r="AM137" s="17" t="s">
        <v>168</v>
      </c>
      <c r="AN137" s="17">
        <v>0</v>
      </c>
      <c r="AO137" s="17" t="s">
        <v>169</v>
      </c>
      <c r="AP137" s="17" t="s">
        <v>169</v>
      </c>
      <c r="AQ137" s="17" t="s">
        <v>169</v>
      </c>
      <c r="AR137" s="17">
        <v>-42751</v>
      </c>
      <c r="AS137" s="18"/>
      <c r="AT137" s="24">
        <v>0</v>
      </c>
      <c r="AU137" s="24">
        <v>0</v>
      </c>
      <c r="AV137" s="24">
        <v>0</v>
      </c>
      <c r="AW137" s="24">
        <v>0</v>
      </c>
      <c r="AX137" s="24">
        <v>0</v>
      </c>
      <c r="AY137" s="24">
        <v>0</v>
      </c>
      <c r="AZ137" s="18"/>
    </row>
    <row r="138" spans="1:52" x14ac:dyDescent="0.25">
      <c r="A138" s="16"/>
      <c r="B138" s="16"/>
      <c r="C138" s="65"/>
      <c r="D138" s="15"/>
      <c r="E138" s="15"/>
      <c r="F138" s="15"/>
      <c r="G138" s="16"/>
      <c r="H138" s="16"/>
      <c r="I138" s="16"/>
      <c r="J138" s="22"/>
      <c r="K138" s="86"/>
      <c r="L138" s="16"/>
      <c r="M138" s="15"/>
      <c r="N138" s="15"/>
      <c r="O138" s="20"/>
      <c r="P138" s="15"/>
      <c r="Q138" s="20"/>
      <c r="R138" s="15"/>
      <c r="S138" s="15"/>
      <c r="T138" s="15"/>
      <c r="U138" s="15"/>
      <c r="V138" s="17"/>
      <c r="W138" s="17"/>
      <c r="X138" s="16"/>
      <c r="Y138" s="20"/>
      <c r="Z138" s="15"/>
      <c r="AA138" s="22"/>
      <c r="AB138" s="90"/>
      <c r="AC138" s="22"/>
      <c r="AD138" s="25"/>
      <c r="AE138" s="25">
        <v>1</v>
      </c>
      <c r="AF138" s="17">
        <v>17</v>
      </c>
      <c r="AG138" s="17">
        <v>16</v>
      </c>
      <c r="AH138" s="17">
        <v>16</v>
      </c>
      <c r="AI138" s="17" t="s">
        <v>168</v>
      </c>
      <c r="AJ138" s="17">
        <v>4</v>
      </c>
      <c r="AK138" s="17">
        <v>3</v>
      </c>
      <c r="AL138" s="17">
        <v>3</v>
      </c>
      <c r="AM138" s="17" t="s">
        <v>168</v>
      </c>
      <c r="AN138" s="17">
        <v>0</v>
      </c>
      <c r="AO138" s="17" t="s">
        <v>169</v>
      </c>
      <c r="AP138" s="17" t="s">
        <v>169</v>
      </c>
      <c r="AQ138" s="17" t="s">
        <v>169</v>
      </c>
      <c r="AR138" s="17">
        <v>-42751</v>
      </c>
      <c r="AS138" s="18"/>
      <c r="AT138" s="24">
        <v>0</v>
      </c>
      <c r="AU138" s="24">
        <v>0</v>
      </c>
      <c r="AV138" s="24">
        <v>0</v>
      </c>
      <c r="AW138" s="24">
        <v>0</v>
      </c>
      <c r="AX138" s="24">
        <v>0</v>
      </c>
      <c r="AY138" s="24">
        <v>0</v>
      </c>
      <c r="AZ138" s="18"/>
    </row>
    <row r="139" spans="1:52" x14ac:dyDescent="0.25">
      <c r="A139" s="16"/>
      <c r="B139" s="16"/>
      <c r="C139" s="65"/>
      <c r="D139" s="15"/>
      <c r="E139" s="15"/>
      <c r="F139" s="15"/>
      <c r="G139" s="16"/>
      <c r="H139" s="16"/>
      <c r="I139" s="16"/>
      <c r="J139" s="22"/>
      <c r="K139" s="86"/>
      <c r="L139" s="16"/>
      <c r="M139" s="15"/>
      <c r="N139" s="15"/>
      <c r="O139" s="20"/>
      <c r="P139" s="15"/>
      <c r="Q139" s="20"/>
      <c r="R139" s="15"/>
      <c r="S139" s="15"/>
      <c r="T139" s="15"/>
      <c r="U139" s="15"/>
      <c r="V139" s="17"/>
      <c r="W139" s="17"/>
      <c r="X139" s="16"/>
      <c r="Y139" s="20"/>
      <c r="Z139" s="15"/>
      <c r="AA139" s="22"/>
      <c r="AB139" s="90"/>
      <c r="AC139" s="22"/>
      <c r="AD139" s="25"/>
      <c r="AE139" s="25">
        <v>1</v>
      </c>
      <c r="AF139" s="17">
        <v>17</v>
      </c>
      <c r="AG139" s="17">
        <v>16</v>
      </c>
      <c r="AH139" s="17">
        <v>16</v>
      </c>
      <c r="AI139" s="17" t="s">
        <v>168</v>
      </c>
      <c r="AJ139" s="17">
        <v>4</v>
      </c>
      <c r="AK139" s="17">
        <v>3</v>
      </c>
      <c r="AL139" s="17">
        <v>3</v>
      </c>
      <c r="AM139" s="17" t="s">
        <v>168</v>
      </c>
      <c r="AN139" s="17">
        <v>0</v>
      </c>
      <c r="AO139" s="17" t="s">
        <v>169</v>
      </c>
      <c r="AP139" s="17" t="s">
        <v>169</v>
      </c>
      <c r="AQ139" s="17" t="s">
        <v>169</v>
      </c>
      <c r="AR139" s="17">
        <v>-42751</v>
      </c>
      <c r="AS139" s="18"/>
      <c r="AT139" s="24">
        <v>0</v>
      </c>
      <c r="AU139" s="24">
        <v>0</v>
      </c>
      <c r="AV139" s="24">
        <v>0</v>
      </c>
      <c r="AW139" s="24">
        <v>0</v>
      </c>
      <c r="AX139" s="24">
        <v>0</v>
      </c>
      <c r="AY139" s="24">
        <v>0</v>
      </c>
      <c r="AZ139" s="18"/>
    </row>
    <row r="140" spans="1:52" x14ac:dyDescent="0.25">
      <c r="A140" s="16"/>
      <c r="B140" s="16"/>
      <c r="C140" s="65"/>
      <c r="D140" s="15"/>
      <c r="E140" s="15"/>
      <c r="F140" s="15"/>
      <c r="G140" s="16"/>
      <c r="H140" s="16"/>
      <c r="I140" s="16"/>
      <c r="J140" s="22"/>
      <c r="K140" s="86"/>
      <c r="L140" s="16"/>
      <c r="M140" s="15"/>
      <c r="N140" s="15"/>
      <c r="O140" s="20"/>
      <c r="P140" s="15"/>
      <c r="Q140" s="20"/>
      <c r="R140" s="15"/>
      <c r="S140" s="15"/>
      <c r="T140" s="15"/>
      <c r="U140" s="15"/>
      <c r="V140" s="17"/>
      <c r="W140" s="17"/>
      <c r="X140" s="16"/>
      <c r="Y140" s="20"/>
      <c r="Z140" s="15"/>
      <c r="AA140" s="22"/>
      <c r="AB140" s="90"/>
      <c r="AC140" s="22"/>
      <c r="AD140" s="25"/>
      <c r="AE140" s="25">
        <v>1</v>
      </c>
      <c r="AF140" s="17">
        <v>17</v>
      </c>
      <c r="AG140" s="17">
        <v>16</v>
      </c>
      <c r="AH140" s="17">
        <v>16</v>
      </c>
      <c r="AI140" s="17" t="s">
        <v>168</v>
      </c>
      <c r="AJ140" s="17">
        <v>4</v>
      </c>
      <c r="AK140" s="17">
        <v>3</v>
      </c>
      <c r="AL140" s="17">
        <v>3</v>
      </c>
      <c r="AM140" s="17" t="s">
        <v>168</v>
      </c>
      <c r="AN140" s="17">
        <v>0</v>
      </c>
      <c r="AO140" s="17" t="s">
        <v>169</v>
      </c>
      <c r="AP140" s="17" t="s">
        <v>169</v>
      </c>
      <c r="AQ140" s="17" t="s">
        <v>169</v>
      </c>
      <c r="AR140" s="17">
        <v>-42751</v>
      </c>
      <c r="AS140" s="18"/>
      <c r="AT140" s="24">
        <v>0</v>
      </c>
      <c r="AU140" s="24">
        <v>0</v>
      </c>
      <c r="AV140" s="24">
        <v>0</v>
      </c>
      <c r="AW140" s="24">
        <v>0</v>
      </c>
      <c r="AX140" s="24">
        <v>0</v>
      </c>
      <c r="AY140" s="24">
        <v>0</v>
      </c>
      <c r="AZ140" s="18"/>
    </row>
    <row r="141" spans="1:52" x14ac:dyDescent="0.25">
      <c r="A141" s="16"/>
      <c r="B141" s="16"/>
      <c r="C141" s="65"/>
      <c r="D141" s="15"/>
      <c r="E141" s="15"/>
      <c r="F141" s="15"/>
      <c r="G141" s="16"/>
      <c r="H141" s="16"/>
      <c r="I141" s="16"/>
      <c r="J141" s="22"/>
      <c r="K141" s="86"/>
      <c r="L141" s="16"/>
      <c r="M141" s="15"/>
      <c r="N141" s="15"/>
      <c r="O141" s="20"/>
      <c r="P141" s="15"/>
      <c r="Q141" s="20"/>
      <c r="R141" s="15"/>
      <c r="S141" s="15"/>
      <c r="T141" s="15"/>
      <c r="U141" s="15"/>
      <c r="V141" s="17"/>
      <c r="W141" s="17"/>
      <c r="X141" s="16"/>
      <c r="Y141" s="20"/>
      <c r="Z141" s="15"/>
      <c r="AA141" s="22"/>
      <c r="AB141" s="90"/>
      <c r="AC141" s="22"/>
      <c r="AD141" s="25"/>
      <c r="AE141" s="25">
        <v>1</v>
      </c>
      <c r="AF141" s="17">
        <v>17</v>
      </c>
      <c r="AG141" s="17">
        <v>16</v>
      </c>
      <c r="AH141" s="17">
        <v>16</v>
      </c>
      <c r="AI141" s="17" t="s">
        <v>168</v>
      </c>
      <c r="AJ141" s="17">
        <v>4</v>
      </c>
      <c r="AK141" s="17">
        <v>3</v>
      </c>
      <c r="AL141" s="17">
        <v>3</v>
      </c>
      <c r="AM141" s="17" t="s">
        <v>168</v>
      </c>
      <c r="AN141" s="17">
        <v>0</v>
      </c>
      <c r="AO141" s="17" t="s">
        <v>169</v>
      </c>
      <c r="AP141" s="17" t="s">
        <v>169</v>
      </c>
      <c r="AQ141" s="17" t="s">
        <v>169</v>
      </c>
      <c r="AR141" s="17">
        <v>-42751</v>
      </c>
      <c r="AS141" s="18"/>
      <c r="AT141" s="24">
        <v>0</v>
      </c>
      <c r="AU141" s="24">
        <v>0</v>
      </c>
      <c r="AV141" s="24">
        <v>0</v>
      </c>
      <c r="AW141" s="24">
        <v>0</v>
      </c>
      <c r="AX141" s="24">
        <v>0</v>
      </c>
      <c r="AY141" s="24">
        <v>0</v>
      </c>
      <c r="AZ141" s="18"/>
    </row>
    <row r="142" spans="1:52" x14ac:dyDescent="0.25">
      <c r="A142" s="16"/>
      <c r="B142" s="16"/>
      <c r="C142" s="65"/>
      <c r="D142" s="15"/>
      <c r="E142" s="15"/>
      <c r="F142" s="15"/>
      <c r="G142" s="16"/>
      <c r="H142" s="16"/>
      <c r="I142" s="16"/>
      <c r="J142" s="22"/>
      <c r="K142" s="86"/>
      <c r="L142" s="16"/>
      <c r="M142" s="15"/>
      <c r="N142" s="15"/>
      <c r="O142" s="20"/>
      <c r="P142" s="15"/>
      <c r="Q142" s="20"/>
      <c r="R142" s="15"/>
      <c r="S142" s="15"/>
      <c r="T142" s="15"/>
      <c r="U142" s="15"/>
      <c r="V142" s="17"/>
      <c r="W142" s="17"/>
      <c r="X142" s="16"/>
      <c r="Y142" s="20"/>
      <c r="Z142" s="15"/>
      <c r="AA142" s="22"/>
      <c r="AB142" s="90"/>
      <c r="AC142" s="22"/>
      <c r="AD142" s="25"/>
      <c r="AE142" s="25">
        <v>1</v>
      </c>
      <c r="AF142" s="17">
        <v>17</v>
      </c>
      <c r="AG142" s="17">
        <v>16</v>
      </c>
      <c r="AH142" s="17">
        <v>16</v>
      </c>
      <c r="AI142" s="17" t="s">
        <v>168</v>
      </c>
      <c r="AJ142" s="17">
        <v>4</v>
      </c>
      <c r="AK142" s="17">
        <v>3</v>
      </c>
      <c r="AL142" s="17">
        <v>3</v>
      </c>
      <c r="AM142" s="17" t="s">
        <v>168</v>
      </c>
      <c r="AN142" s="17">
        <v>0</v>
      </c>
      <c r="AO142" s="17" t="s">
        <v>169</v>
      </c>
      <c r="AP142" s="17" t="s">
        <v>169</v>
      </c>
      <c r="AQ142" s="17" t="s">
        <v>169</v>
      </c>
      <c r="AR142" s="17">
        <v>-42751</v>
      </c>
      <c r="AS142" s="18"/>
      <c r="AT142" s="24">
        <v>0</v>
      </c>
      <c r="AU142" s="24">
        <v>0</v>
      </c>
      <c r="AV142" s="24">
        <v>0</v>
      </c>
      <c r="AW142" s="24">
        <v>0</v>
      </c>
      <c r="AX142" s="24">
        <v>0</v>
      </c>
      <c r="AY142" s="24">
        <v>0</v>
      </c>
      <c r="AZ142" s="18"/>
    </row>
    <row r="143" spans="1:52" x14ac:dyDescent="0.25">
      <c r="A143" s="16"/>
      <c r="B143" s="16"/>
      <c r="C143" s="65"/>
      <c r="D143" s="15"/>
      <c r="E143" s="15"/>
      <c r="F143" s="15"/>
      <c r="G143" s="16"/>
      <c r="H143" s="16"/>
      <c r="I143" s="16"/>
      <c r="J143" s="22"/>
      <c r="K143" s="86"/>
      <c r="L143" s="16"/>
      <c r="M143" s="15"/>
      <c r="N143" s="15"/>
      <c r="O143" s="20"/>
      <c r="P143" s="15"/>
      <c r="Q143" s="20"/>
      <c r="R143" s="15"/>
      <c r="S143" s="15"/>
      <c r="T143" s="15"/>
      <c r="U143" s="15"/>
      <c r="V143" s="17"/>
      <c r="W143" s="17"/>
      <c r="X143" s="16"/>
      <c r="Y143" s="20"/>
      <c r="Z143" s="15"/>
      <c r="AA143" s="22"/>
      <c r="AB143" s="90"/>
      <c r="AC143" s="22"/>
      <c r="AD143" s="25"/>
      <c r="AE143" s="25">
        <v>1</v>
      </c>
      <c r="AF143" s="17">
        <v>17</v>
      </c>
      <c r="AG143" s="17">
        <v>16</v>
      </c>
      <c r="AH143" s="17">
        <v>16</v>
      </c>
      <c r="AI143" s="17" t="s">
        <v>168</v>
      </c>
      <c r="AJ143" s="17">
        <v>4</v>
      </c>
      <c r="AK143" s="17">
        <v>3</v>
      </c>
      <c r="AL143" s="17">
        <v>3</v>
      </c>
      <c r="AM143" s="17" t="s">
        <v>168</v>
      </c>
      <c r="AN143" s="17">
        <v>0</v>
      </c>
      <c r="AO143" s="17" t="s">
        <v>169</v>
      </c>
      <c r="AP143" s="17" t="s">
        <v>169</v>
      </c>
      <c r="AQ143" s="17" t="s">
        <v>169</v>
      </c>
      <c r="AR143" s="17">
        <v>-42751</v>
      </c>
      <c r="AS143" s="18"/>
      <c r="AT143" s="24">
        <v>0</v>
      </c>
      <c r="AU143" s="24">
        <v>0</v>
      </c>
      <c r="AV143" s="24">
        <v>0</v>
      </c>
      <c r="AW143" s="24">
        <v>0</v>
      </c>
      <c r="AX143" s="24">
        <v>0</v>
      </c>
      <c r="AY143" s="24">
        <v>0</v>
      </c>
      <c r="AZ143" s="18"/>
    </row>
    <row r="144" spans="1:52" x14ac:dyDescent="0.25">
      <c r="A144" s="16"/>
      <c r="B144" s="16"/>
      <c r="C144" s="65"/>
      <c r="D144" s="15"/>
      <c r="E144" s="15"/>
      <c r="F144" s="15"/>
      <c r="G144" s="16"/>
      <c r="H144" s="16"/>
      <c r="I144" s="16"/>
      <c r="J144" s="22"/>
      <c r="K144" s="86"/>
      <c r="L144" s="16"/>
      <c r="M144" s="15"/>
      <c r="N144" s="15"/>
      <c r="O144" s="20"/>
      <c r="P144" s="15"/>
      <c r="Q144" s="20"/>
      <c r="R144" s="15"/>
      <c r="S144" s="15"/>
      <c r="T144" s="15"/>
      <c r="U144" s="15"/>
      <c r="V144" s="17"/>
      <c r="W144" s="17"/>
      <c r="X144" s="16"/>
      <c r="Y144" s="20"/>
      <c r="Z144" s="15"/>
      <c r="AA144" s="22"/>
      <c r="AB144" s="90"/>
      <c r="AC144" s="22"/>
      <c r="AD144" s="25"/>
      <c r="AE144" s="25">
        <v>1</v>
      </c>
      <c r="AF144" s="17">
        <v>17</v>
      </c>
      <c r="AG144" s="17">
        <v>16</v>
      </c>
      <c r="AH144" s="17">
        <v>16</v>
      </c>
      <c r="AI144" s="17" t="s">
        <v>168</v>
      </c>
      <c r="AJ144" s="17">
        <v>4</v>
      </c>
      <c r="AK144" s="17">
        <v>3</v>
      </c>
      <c r="AL144" s="17">
        <v>3</v>
      </c>
      <c r="AM144" s="17" t="s">
        <v>168</v>
      </c>
      <c r="AN144" s="17">
        <v>0</v>
      </c>
      <c r="AO144" s="17" t="s">
        <v>169</v>
      </c>
      <c r="AP144" s="17" t="s">
        <v>169</v>
      </c>
      <c r="AQ144" s="17" t="s">
        <v>169</v>
      </c>
      <c r="AR144" s="17">
        <v>-42751</v>
      </c>
      <c r="AS144" s="18"/>
      <c r="AT144" s="24">
        <v>0</v>
      </c>
      <c r="AU144" s="24">
        <v>0</v>
      </c>
      <c r="AV144" s="24">
        <v>0</v>
      </c>
      <c r="AW144" s="24">
        <v>0</v>
      </c>
      <c r="AX144" s="24">
        <v>0</v>
      </c>
      <c r="AY144" s="24">
        <v>0</v>
      </c>
      <c r="AZ144" s="18"/>
    </row>
    <row r="145" spans="1:52" x14ac:dyDescent="0.25">
      <c r="A145" s="16"/>
      <c r="B145" s="16"/>
      <c r="C145" s="65"/>
      <c r="D145" s="15"/>
      <c r="E145" s="15"/>
      <c r="F145" s="15"/>
      <c r="G145" s="16"/>
      <c r="H145" s="16"/>
      <c r="I145" s="16"/>
      <c r="J145" s="22"/>
      <c r="K145" s="86"/>
      <c r="L145" s="16"/>
      <c r="M145" s="15"/>
      <c r="N145" s="15"/>
      <c r="O145" s="20"/>
      <c r="P145" s="15"/>
      <c r="Q145" s="20"/>
      <c r="R145" s="15"/>
      <c r="S145" s="15"/>
      <c r="T145" s="15"/>
      <c r="U145" s="15"/>
      <c r="V145" s="17"/>
      <c r="W145" s="17"/>
      <c r="X145" s="16"/>
      <c r="Y145" s="20"/>
      <c r="Z145" s="15"/>
      <c r="AA145" s="22"/>
      <c r="AB145" s="90"/>
      <c r="AC145" s="22"/>
      <c r="AD145" s="25"/>
      <c r="AE145" s="25">
        <v>1</v>
      </c>
      <c r="AF145" s="17">
        <v>17</v>
      </c>
      <c r="AG145" s="17">
        <v>16</v>
      </c>
      <c r="AH145" s="17">
        <v>16</v>
      </c>
      <c r="AI145" s="17" t="s">
        <v>168</v>
      </c>
      <c r="AJ145" s="17">
        <v>4</v>
      </c>
      <c r="AK145" s="17">
        <v>3</v>
      </c>
      <c r="AL145" s="17">
        <v>3</v>
      </c>
      <c r="AM145" s="17" t="s">
        <v>168</v>
      </c>
      <c r="AN145" s="17">
        <v>0</v>
      </c>
      <c r="AO145" s="17" t="s">
        <v>169</v>
      </c>
      <c r="AP145" s="17" t="s">
        <v>169</v>
      </c>
      <c r="AQ145" s="17" t="s">
        <v>169</v>
      </c>
      <c r="AR145" s="17">
        <v>-42751</v>
      </c>
      <c r="AS145" s="18"/>
      <c r="AT145" s="24">
        <v>0</v>
      </c>
      <c r="AU145" s="24">
        <v>0</v>
      </c>
      <c r="AV145" s="24">
        <v>0</v>
      </c>
      <c r="AW145" s="24">
        <v>0</v>
      </c>
      <c r="AX145" s="24">
        <v>0</v>
      </c>
      <c r="AY145" s="24">
        <v>0</v>
      </c>
      <c r="AZ145" s="18"/>
    </row>
    <row r="146" spans="1:52" x14ac:dyDescent="0.25">
      <c r="A146" s="16"/>
      <c r="B146" s="16"/>
      <c r="C146" s="65"/>
      <c r="D146" s="15"/>
      <c r="E146" s="15"/>
      <c r="F146" s="15"/>
      <c r="G146" s="16"/>
      <c r="H146" s="16"/>
      <c r="I146" s="16"/>
      <c r="J146" s="22"/>
      <c r="K146" s="86"/>
      <c r="L146" s="16"/>
      <c r="M146" s="15"/>
      <c r="N146" s="15"/>
      <c r="O146" s="20"/>
      <c r="P146" s="15"/>
      <c r="Q146" s="20"/>
      <c r="R146" s="15"/>
      <c r="S146" s="15"/>
      <c r="T146" s="15"/>
      <c r="U146" s="15"/>
      <c r="V146" s="17"/>
      <c r="W146" s="17"/>
      <c r="X146" s="16"/>
      <c r="Y146" s="20"/>
      <c r="Z146" s="15"/>
      <c r="AA146" s="22"/>
      <c r="AB146" s="90"/>
      <c r="AC146" s="22"/>
      <c r="AD146" s="25"/>
      <c r="AE146" s="25">
        <v>1</v>
      </c>
      <c r="AF146" s="17">
        <v>17</v>
      </c>
      <c r="AG146" s="17">
        <v>16</v>
      </c>
      <c r="AH146" s="17">
        <v>16</v>
      </c>
      <c r="AI146" s="17" t="s">
        <v>168</v>
      </c>
      <c r="AJ146" s="17">
        <v>4</v>
      </c>
      <c r="AK146" s="17">
        <v>3</v>
      </c>
      <c r="AL146" s="17">
        <v>3</v>
      </c>
      <c r="AM146" s="17" t="s">
        <v>168</v>
      </c>
      <c r="AN146" s="17">
        <v>0</v>
      </c>
      <c r="AO146" s="17" t="s">
        <v>169</v>
      </c>
      <c r="AP146" s="17" t="s">
        <v>169</v>
      </c>
      <c r="AQ146" s="17" t="s">
        <v>169</v>
      </c>
      <c r="AR146" s="17">
        <v>-42751</v>
      </c>
      <c r="AS146" s="18"/>
      <c r="AT146" s="24">
        <v>0</v>
      </c>
      <c r="AU146" s="24">
        <v>0</v>
      </c>
      <c r="AV146" s="24">
        <v>0</v>
      </c>
      <c r="AW146" s="24">
        <v>0</v>
      </c>
      <c r="AX146" s="24">
        <v>0</v>
      </c>
      <c r="AY146" s="24">
        <v>0</v>
      </c>
      <c r="AZ146" s="18"/>
    </row>
    <row r="147" spans="1:52" x14ac:dyDescent="0.25">
      <c r="A147" s="16"/>
      <c r="B147" s="16"/>
      <c r="C147" s="65"/>
      <c r="D147" s="15"/>
      <c r="E147" s="15"/>
      <c r="F147" s="15"/>
      <c r="G147" s="16"/>
      <c r="H147" s="16"/>
      <c r="I147" s="16"/>
      <c r="J147" s="22"/>
      <c r="K147" s="86"/>
      <c r="L147" s="16"/>
      <c r="M147" s="15"/>
      <c r="N147" s="15"/>
      <c r="O147" s="20"/>
      <c r="P147" s="15"/>
      <c r="Q147" s="20"/>
      <c r="R147" s="15"/>
      <c r="S147" s="15"/>
      <c r="T147" s="15"/>
      <c r="U147" s="15"/>
      <c r="V147" s="17"/>
      <c r="W147" s="17"/>
      <c r="X147" s="16"/>
      <c r="Y147" s="20"/>
      <c r="Z147" s="15"/>
      <c r="AA147" s="22"/>
      <c r="AB147" s="90"/>
      <c r="AC147" s="22"/>
      <c r="AD147" s="25"/>
      <c r="AE147" s="25">
        <v>1</v>
      </c>
      <c r="AF147" s="17">
        <v>17</v>
      </c>
      <c r="AG147" s="17">
        <v>16</v>
      </c>
      <c r="AH147" s="17">
        <v>16</v>
      </c>
      <c r="AI147" s="17" t="s">
        <v>168</v>
      </c>
      <c r="AJ147" s="17">
        <v>4</v>
      </c>
      <c r="AK147" s="17">
        <v>3</v>
      </c>
      <c r="AL147" s="17">
        <v>3</v>
      </c>
      <c r="AM147" s="17" t="s">
        <v>168</v>
      </c>
      <c r="AN147" s="17">
        <v>0</v>
      </c>
      <c r="AO147" s="17" t="s">
        <v>169</v>
      </c>
      <c r="AP147" s="17" t="s">
        <v>169</v>
      </c>
      <c r="AQ147" s="17" t="s">
        <v>169</v>
      </c>
      <c r="AR147" s="17">
        <v>-42751</v>
      </c>
      <c r="AS147" s="18"/>
      <c r="AT147" s="24">
        <v>0</v>
      </c>
      <c r="AU147" s="24">
        <v>0</v>
      </c>
      <c r="AV147" s="24">
        <v>0</v>
      </c>
      <c r="AW147" s="24">
        <v>0</v>
      </c>
      <c r="AX147" s="24">
        <v>0</v>
      </c>
      <c r="AY147" s="24">
        <v>0</v>
      </c>
      <c r="AZ147" s="18"/>
    </row>
    <row r="148" spans="1:52" x14ac:dyDescent="0.25">
      <c r="A148" s="16"/>
      <c r="B148" s="16"/>
      <c r="C148" s="65"/>
      <c r="D148" s="15"/>
      <c r="E148" s="15"/>
      <c r="F148" s="15"/>
      <c r="G148" s="16"/>
      <c r="H148" s="16"/>
      <c r="I148" s="16"/>
      <c r="J148" s="22"/>
      <c r="K148" s="86"/>
      <c r="L148" s="16"/>
      <c r="M148" s="15"/>
      <c r="N148" s="15"/>
      <c r="O148" s="20"/>
      <c r="P148" s="15"/>
      <c r="Q148" s="20"/>
      <c r="R148" s="15"/>
      <c r="S148" s="15"/>
      <c r="T148" s="15"/>
      <c r="U148" s="15"/>
      <c r="V148" s="17"/>
      <c r="W148" s="17"/>
      <c r="X148" s="16"/>
      <c r="Y148" s="20"/>
      <c r="Z148" s="15"/>
      <c r="AA148" s="22"/>
      <c r="AB148" s="90"/>
      <c r="AC148" s="22"/>
      <c r="AD148" s="25"/>
      <c r="AE148" s="25">
        <v>1</v>
      </c>
      <c r="AF148" s="17">
        <v>17</v>
      </c>
      <c r="AG148" s="17">
        <v>16</v>
      </c>
      <c r="AH148" s="17">
        <v>16</v>
      </c>
      <c r="AI148" s="17" t="s">
        <v>168</v>
      </c>
      <c r="AJ148" s="17">
        <v>4</v>
      </c>
      <c r="AK148" s="17">
        <v>3</v>
      </c>
      <c r="AL148" s="17">
        <v>3</v>
      </c>
      <c r="AM148" s="17" t="s">
        <v>168</v>
      </c>
      <c r="AN148" s="17">
        <v>0</v>
      </c>
      <c r="AO148" s="17" t="s">
        <v>169</v>
      </c>
      <c r="AP148" s="17" t="s">
        <v>169</v>
      </c>
      <c r="AQ148" s="17" t="s">
        <v>169</v>
      </c>
      <c r="AR148" s="17">
        <v>-42751</v>
      </c>
      <c r="AS148" s="18"/>
      <c r="AT148" s="24">
        <v>0</v>
      </c>
      <c r="AU148" s="24">
        <v>0</v>
      </c>
      <c r="AV148" s="24">
        <v>0</v>
      </c>
      <c r="AW148" s="24">
        <v>0</v>
      </c>
      <c r="AX148" s="24">
        <v>0</v>
      </c>
      <c r="AY148" s="24">
        <v>0</v>
      </c>
      <c r="AZ148" s="18"/>
    </row>
    <row r="149" spans="1:52" x14ac:dyDescent="0.25">
      <c r="A149" s="16"/>
      <c r="B149" s="16"/>
      <c r="C149" s="65"/>
      <c r="D149" s="15"/>
      <c r="E149" s="15"/>
      <c r="F149" s="15"/>
      <c r="G149" s="16"/>
      <c r="H149" s="16"/>
      <c r="I149" s="16"/>
      <c r="J149" s="22"/>
      <c r="K149" s="86"/>
      <c r="L149" s="16"/>
      <c r="M149" s="15"/>
      <c r="N149" s="15"/>
      <c r="O149" s="20"/>
      <c r="P149" s="15"/>
      <c r="Q149" s="20"/>
      <c r="R149" s="15"/>
      <c r="S149" s="15"/>
      <c r="T149" s="15"/>
      <c r="U149" s="15"/>
      <c r="V149" s="17"/>
      <c r="W149" s="17"/>
      <c r="X149" s="16"/>
      <c r="Y149" s="20"/>
      <c r="Z149" s="15"/>
      <c r="AA149" s="22"/>
      <c r="AB149" s="90"/>
      <c r="AC149" s="22"/>
      <c r="AD149" s="25"/>
      <c r="AE149" s="25">
        <v>1</v>
      </c>
      <c r="AF149" s="17">
        <v>17</v>
      </c>
      <c r="AG149" s="17">
        <v>16</v>
      </c>
      <c r="AH149" s="17">
        <v>16</v>
      </c>
      <c r="AI149" s="17" t="s">
        <v>168</v>
      </c>
      <c r="AJ149" s="17">
        <v>4</v>
      </c>
      <c r="AK149" s="17">
        <v>3</v>
      </c>
      <c r="AL149" s="17">
        <v>3</v>
      </c>
      <c r="AM149" s="17" t="s">
        <v>168</v>
      </c>
      <c r="AN149" s="17">
        <v>0</v>
      </c>
      <c r="AO149" s="17" t="s">
        <v>169</v>
      </c>
      <c r="AP149" s="17" t="s">
        <v>169</v>
      </c>
      <c r="AQ149" s="17" t="s">
        <v>169</v>
      </c>
      <c r="AR149" s="17">
        <v>-42751</v>
      </c>
      <c r="AS149" s="18"/>
      <c r="AT149" s="24">
        <v>0</v>
      </c>
      <c r="AU149" s="24">
        <v>0</v>
      </c>
      <c r="AV149" s="24">
        <v>0</v>
      </c>
      <c r="AW149" s="24">
        <v>0</v>
      </c>
      <c r="AX149" s="24">
        <v>0</v>
      </c>
      <c r="AY149" s="24">
        <v>0</v>
      </c>
      <c r="AZ149" s="18"/>
    </row>
    <row r="150" spans="1:52" x14ac:dyDescent="0.25">
      <c r="A150" s="16"/>
      <c r="B150" s="16"/>
      <c r="C150" s="65"/>
      <c r="D150" s="15"/>
      <c r="E150" s="15"/>
      <c r="F150" s="15"/>
      <c r="G150" s="16"/>
      <c r="H150" s="16"/>
      <c r="I150" s="16"/>
      <c r="J150" s="22"/>
      <c r="K150" s="86"/>
      <c r="L150" s="16"/>
      <c r="M150" s="15"/>
      <c r="N150" s="15"/>
      <c r="O150" s="20"/>
      <c r="P150" s="15"/>
      <c r="Q150" s="20"/>
      <c r="R150" s="15"/>
      <c r="S150" s="15"/>
      <c r="T150" s="15"/>
      <c r="U150" s="15"/>
      <c r="V150" s="17"/>
      <c r="W150" s="17"/>
      <c r="X150" s="16"/>
      <c r="Y150" s="20"/>
      <c r="Z150" s="15"/>
      <c r="AA150" s="22"/>
      <c r="AB150" s="90"/>
      <c r="AC150" s="22"/>
      <c r="AD150" s="25"/>
      <c r="AE150" s="25">
        <v>1</v>
      </c>
      <c r="AF150" s="17">
        <v>17</v>
      </c>
      <c r="AG150" s="17">
        <v>16</v>
      </c>
      <c r="AH150" s="17">
        <v>16</v>
      </c>
      <c r="AI150" s="17" t="s">
        <v>168</v>
      </c>
      <c r="AJ150" s="17">
        <v>4</v>
      </c>
      <c r="AK150" s="17">
        <v>3</v>
      </c>
      <c r="AL150" s="17">
        <v>3</v>
      </c>
      <c r="AM150" s="17" t="s">
        <v>168</v>
      </c>
      <c r="AN150" s="17">
        <v>0</v>
      </c>
      <c r="AO150" s="17" t="s">
        <v>169</v>
      </c>
      <c r="AP150" s="17" t="s">
        <v>169</v>
      </c>
      <c r="AQ150" s="17" t="s">
        <v>169</v>
      </c>
      <c r="AR150" s="17">
        <v>-42751</v>
      </c>
      <c r="AS150" s="18"/>
      <c r="AT150" s="24">
        <v>0</v>
      </c>
      <c r="AU150" s="24">
        <v>0</v>
      </c>
      <c r="AV150" s="24">
        <v>0</v>
      </c>
      <c r="AW150" s="24">
        <v>0</v>
      </c>
      <c r="AX150" s="24">
        <v>0</v>
      </c>
      <c r="AY150" s="24">
        <v>0</v>
      </c>
      <c r="AZ150" s="18"/>
    </row>
    <row r="151" spans="1:52" x14ac:dyDescent="0.25">
      <c r="A151" s="16"/>
      <c r="B151" s="16"/>
      <c r="C151" s="65"/>
      <c r="D151" s="15"/>
      <c r="E151" s="15"/>
      <c r="F151" s="15"/>
      <c r="G151" s="16"/>
      <c r="H151" s="16"/>
      <c r="I151" s="16"/>
      <c r="J151" s="22"/>
      <c r="K151" s="86"/>
      <c r="L151" s="16"/>
      <c r="M151" s="15"/>
      <c r="N151" s="15"/>
      <c r="O151" s="20"/>
      <c r="P151" s="15"/>
      <c r="Q151" s="20"/>
      <c r="R151" s="15"/>
      <c r="S151" s="15"/>
      <c r="T151" s="15"/>
      <c r="U151" s="15"/>
      <c r="V151" s="17"/>
      <c r="W151" s="17"/>
      <c r="X151" s="16"/>
      <c r="Y151" s="20"/>
      <c r="Z151" s="15"/>
      <c r="AA151" s="22"/>
      <c r="AB151" s="90"/>
      <c r="AC151" s="22"/>
      <c r="AD151" s="25"/>
      <c r="AE151" s="25">
        <v>1</v>
      </c>
      <c r="AF151" s="17">
        <v>17</v>
      </c>
      <c r="AG151" s="17">
        <v>16</v>
      </c>
      <c r="AH151" s="17">
        <v>16</v>
      </c>
      <c r="AI151" s="17" t="s">
        <v>168</v>
      </c>
      <c r="AJ151" s="17">
        <v>4</v>
      </c>
      <c r="AK151" s="17">
        <v>3</v>
      </c>
      <c r="AL151" s="17">
        <v>3</v>
      </c>
      <c r="AM151" s="17" t="s">
        <v>168</v>
      </c>
      <c r="AN151" s="17">
        <v>0</v>
      </c>
      <c r="AO151" s="17" t="s">
        <v>169</v>
      </c>
      <c r="AP151" s="17" t="s">
        <v>169</v>
      </c>
      <c r="AQ151" s="17" t="s">
        <v>169</v>
      </c>
      <c r="AR151" s="17">
        <v>-42751</v>
      </c>
      <c r="AS151" s="18"/>
      <c r="AT151" s="24">
        <v>0</v>
      </c>
      <c r="AU151" s="24">
        <v>0</v>
      </c>
      <c r="AV151" s="24">
        <v>0</v>
      </c>
      <c r="AW151" s="24">
        <v>0</v>
      </c>
      <c r="AX151" s="24">
        <v>0</v>
      </c>
      <c r="AY151" s="24">
        <v>0</v>
      </c>
      <c r="AZ151" s="18"/>
    </row>
    <row r="152" spans="1:52" x14ac:dyDescent="0.25">
      <c r="A152" s="16"/>
      <c r="B152" s="16"/>
      <c r="C152" s="65"/>
      <c r="D152" s="15"/>
      <c r="E152" s="15"/>
      <c r="F152" s="15"/>
      <c r="G152" s="16"/>
      <c r="H152" s="16"/>
      <c r="I152" s="16"/>
      <c r="J152" s="22"/>
      <c r="K152" s="86"/>
      <c r="L152" s="16"/>
      <c r="M152" s="15"/>
      <c r="N152" s="15"/>
      <c r="O152" s="20"/>
      <c r="P152" s="15"/>
      <c r="Q152" s="20"/>
      <c r="R152" s="15"/>
      <c r="S152" s="15"/>
      <c r="T152" s="15"/>
      <c r="U152" s="15"/>
      <c r="V152" s="17"/>
      <c r="W152" s="17"/>
      <c r="X152" s="16"/>
      <c r="Y152" s="20"/>
      <c r="Z152" s="15"/>
      <c r="AA152" s="22"/>
      <c r="AB152" s="90"/>
      <c r="AC152" s="22"/>
      <c r="AD152" s="25"/>
      <c r="AE152" s="25">
        <v>1</v>
      </c>
      <c r="AF152" s="17">
        <v>17</v>
      </c>
      <c r="AG152" s="17">
        <v>16</v>
      </c>
      <c r="AH152" s="17">
        <v>16</v>
      </c>
      <c r="AI152" s="17" t="s">
        <v>168</v>
      </c>
      <c r="AJ152" s="17">
        <v>4</v>
      </c>
      <c r="AK152" s="17">
        <v>3</v>
      </c>
      <c r="AL152" s="17">
        <v>3</v>
      </c>
      <c r="AM152" s="17" t="s">
        <v>168</v>
      </c>
      <c r="AN152" s="17">
        <v>0</v>
      </c>
      <c r="AO152" s="17" t="s">
        <v>169</v>
      </c>
      <c r="AP152" s="17" t="s">
        <v>169</v>
      </c>
      <c r="AQ152" s="17" t="s">
        <v>169</v>
      </c>
      <c r="AR152" s="17">
        <v>-42751</v>
      </c>
      <c r="AS152" s="18"/>
      <c r="AT152" s="24">
        <v>0</v>
      </c>
      <c r="AU152" s="24">
        <v>0</v>
      </c>
      <c r="AV152" s="24">
        <v>0</v>
      </c>
      <c r="AW152" s="24">
        <v>0</v>
      </c>
      <c r="AX152" s="24">
        <v>0</v>
      </c>
      <c r="AY152" s="24">
        <v>0</v>
      </c>
      <c r="AZ152" s="18"/>
    </row>
    <row r="153" spans="1:52" x14ac:dyDescent="0.25">
      <c r="A153" s="16"/>
      <c r="B153" s="16"/>
      <c r="C153" s="65"/>
      <c r="D153" s="15"/>
      <c r="E153" s="15"/>
      <c r="F153" s="15"/>
      <c r="G153" s="16"/>
      <c r="H153" s="16"/>
      <c r="I153" s="16"/>
      <c r="J153" s="22"/>
      <c r="K153" s="86"/>
      <c r="L153" s="16"/>
      <c r="M153" s="15"/>
      <c r="N153" s="15"/>
      <c r="O153" s="20"/>
      <c r="P153" s="15"/>
      <c r="Q153" s="20"/>
      <c r="R153" s="15"/>
      <c r="S153" s="15"/>
      <c r="T153" s="15"/>
      <c r="U153" s="15"/>
      <c r="V153" s="17"/>
      <c r="W153" s="17"/>
      <c r="X153" s="16"/>
      <c r="Y153" s="20"/>
      <c r="Z153" s="15"/>
      <c r="AA153" s="22"/>
      <c r="AB153" s="90"/>
      <c r="AC153" s="22"/>
      <c r="AD153" s="25"/>
      <c r="AE153" s="25">
        <v>1</v>
      </c>
      <c r="AF153" s="17">
        <v>17</v>
      </c>
      <c r="AG153" s="17">
        <v>16</v>
      </c>
      <c r="AH153" s="17">
        <v>16</v>
      </c>
      <c r="AI153" s="17" t="s">
        <v>168</v>
      </c>
      <c r="AJ153" s="17">
        <v>4</v>
      </c>
      <c r="AK153" s="17">
        <v>3</v>
      </c>
      <c r="AL153" s="17">
        <v>3</v>
      </c>
      <c r="AM153" s="17" t="s">
        <v>168</v>
      </c>
      <c r="AN153" s="17">
        <v>0</v>
      </c>
      <c r="AO153" s="17" t="s">
        <v>169</v>
      </c>
      <c r="AP153" s="17" t="s">
        <v>169</v>
      </c>
      <c r="AQ153" s="17" t="s">
        <v>169</v>
      </c>
      <c r="AR153" s="17">
        <v>-42751</v>
      </c>
      <c r="AS153" s="18"/>
      <c r="AT153" s="24">
        <v>0</v>
      </c>
      <c r="AU153" s="24">
        <v>0</v>
      </c>
      <c r="AV153" s="24">
        <v>0</v>
      </c>
      <c r="AW153" s="24">
        <v>0</v>
      </c>
      <c r="AX153" s="24">
        <v>0</v>
      </c>
      <c r="AY153" s="24">
        <v>0</v>
      </c>
      <c r="AZ153" s="18"/>
    </row>
    <row r="154" spans="1:52" x14ac:dyDescent="0.25">
      <c r="A154" s="16"/>
      <c r="B154" s="16"/>
      <c r="C154" s="65"/>
      <c r="D154" s="15"/>
      <c r="E154" s="15"/>
      <c r="F154" s="15"/>
      <c r="G154" s="16"/>
      <c r="H154" s="16"/>
      <c r="I154" s="16"/>
      <c r="J154" s="22"/>
      <c r="K154" s="86"/>
      <c r="L154" s="16"/>
      <c r="M154" s="15"/>
      <c r="N154" s="15"/>
      <c r="O154" s="20"/>
      <c r="P154" s="15"/>
      <c r="Q154" s="20"/>
      <c r="R154" s="15"/>
      <c r="S154" s="15"/>
      <c r="T154" s="15"/>
      <c r="U154" s="15"/>
      <c r="V154" s="17"/>
      <c r="W154" s="17"/>
      <c r="X154" s="16"/>
      <c r="Y154" s="20"/>
      <c r="Z154" s="15"/>
      <c r="AA154" s="22"/>
      <c r="AB154" s="90"/>
      <c r="AC154" s="22"/>
      <c r="AD154" s="25"/>
      <c r="AE154" s="25">
        <v>1</v>
      </c>
      <c r="AF154" s="17">
        <v>17</v>
      </c>
      <c r="AG154" s="17">
        <v>16</v>
      </c>
      <c r="AH154" s="17">
        <v>16</v>
      </c>
      <c r="AI154" s="17" t="s">
        <v>168</v>
      </c>
      <c r="AJ154" s="17">
        <v>4</v>
      </c>
      <c r="AK154" s="17">
        <v>3</v>
      </c>
      <c r="AL154" s="17">
        <v>3</v>
      </c>
      <c r="AM154" s="17" t="s">
        <v>168</v>
      </c>
      <c r="AN154" s="17">
        <v>0</v>
      </c>
      <c r="AO154" s="17" t="s">
        <v>169</v>
      </c>
      <c r="AP154" s="17" t="s">
        <v>169</v>
      </c>
      <c r="AQ154" s="17" t="s">
        <v>169</v>
      </c>
      <c r="AR154" s="17">
        <v>-42751</v>
      </c>
      <c r="AS154" s="18"/>
      <c r="AT154" s="24">
        <v>0</v>
      </c>
      <c r="AU154" s="24">
        <v>0</v>
      </c>
      <c r="AV154" s="24">
        <v>0</v>
      </c>
      <c r="AW154" s="24">
        <v>0</v>
      </c>
      <c r="AX154" s="24">
        <v>0</v>
      </c>
      <c r="AY154" s="24">
        <v>0</v>
      </c>
      <c r="AZ154" s="18"/>
    </row>
    <row r="155" spans="1:52" x14ac:dyDescent="0.25">
      <c r="A155" s="16"/>
      <c r="B155" s="16"/>
      <c r="C155" s="65"/>
      <c r="D155" s="15"/>
      <c r="E155" s="15"/>
      <c r="F155" s="15"/>
      <c r="G155" s="16"/>
      <c r="H155" s="16"/>
      <c r="I155" s="16"/>
      <c r="J155" s="22"/>
      <c r="K155" s="86"/>
      <c r="L155" s="16"/>
      <c r="M155" s="15"/>
      <c r="N155" s="15"/>
      <c r="O155" s="20"/>
      <c r="P155" s="15"/>
      <c r="Q155" s="20"/>
      <c r="R155" s="15"/>
      <c r="S155" s="15"/>
      <c r="T155" s="15"/>
      <c r="U155" s="15"/>
      <c r="V155" s="17"/>
      <c r="W155" s="17"/>
      <c r="X155" s="16"/>
      <c r="Y155" s="20"/>
      <c r="Z155" s="15"/>
      <c r="AA155" s="22"/>
      <c r="AB155" s="90"/>
      <c r="AC155" s="22"/>
      <c r="AD155" s="25"/>
      <c r="AE155" s="25">
        <v>1</v>
      </c>
      <c r="AF155" s="17">
        <v>17</v>
      </c>
      <c r="AG155" s="17">
        <v>16</v>
      </c>
      <c r="AH155" s="17">
        <v>16</v>
      </c>
      <c r="AI155" s="17" t="s">
        <v>168</v>
      </c>
      <c r="AJ155" s="17">
        <v>4</v>
      </c>
      <c r="AK155" s="17">
        <v>3</v>
      </c>
      <c r="AL155" s="17">
        <v>3</v>
      </c>
      <c r="AM155" s="17" t="s">
        <v>168</v>
      </c>
      <c r="AN155" s="17">
        <v>0</v>
      </c>
      <c r="AO155" s="17" t="s">
        <v>169</v>
      </c>
      <c r="AP155" s="17" t="s">
        <v>169</v>
      </c>
      <c r="AQ155" s="17" t="s">
        <v>169</v>
      </c>
      <c r="AR155" s="17">
        <v>-42751</v>
      </c>
      <c r="AS155" s="18"/>
      <c r="AT155" s="24">
        <v>0</v>
      </c>
      <c r="AU155" s="24">
        <v>0</v>
      </c>
      <c r="AV155" s="24">
        <v>0</v>
      </c>
      <c r="AW155" s="24">
        <v>0</v>
      </c>
      <c r="AX155" s="24">
        <v>0</v>
      </c>
      <c r="AY155" s="24">
        <v>0</v>
      </c>
      <c r="AZ155" s="18"/>
    </row>
    <row r="156" spans="1:52" x14ac:dyDescent="0.25">
      <c r="A156" s="16"/>
      <c r="B156" s="16"/>
      <c r="C156" s="65"/>
      <c r="D156" s="15"/>
      <c r="E156" s="15"/>
      <c r="F156" s="15"/>
      <c r="G156" s="16"/>
      <c r="H156" s="16"/>
      <c r="I156" s="16"/>
      <c r="J156" s="22"/>
      <c r="K156" s="86"/>
      <c r="L156" s="16"/>
      <c r="M156" s="15"/>
      <c r="N156" s="15"/>
      <c r="O156" s="20"/>
      <c r="P156" s="15"/>
      <c r="Q156" s="20"/>
      <c r="R156" s="15"/>
      <c r="S156" s="15"/>
      <c r="T156" s="15"/>
      <c r="U156" s="15"/>
      <c r="V156" s="17"/>
      <c r="W156" s="17"/>
      <c r="X156" s="16"/>
      <c r="Y156" s="20"/>
      <c r="Z156" s="15"/>
      <c r="AA156" s="22"/>
      <c r="AB156" s="90"/>
      <c r="AC156" s="22"/>
      <c r="AD156" s="25"/>
      <c r="AE156" s="25">
        <v>1</v>
      </c>
      <c r="AF156" s="17">
        <v>17</v>
      </c>
      <c r="AG156" s="17">
        <v>16</v>
      </c>
      <c r="AH156" s="17">
        <v>16</v>
      </c>
      <c r="AI156" s="17" t="s">
        <v>168</v>
      </c>
      <c r="AJ156" s="17">
        <v>4</v>
      </c>
      <c r="AK156" s="17">
        <v>3</v>
      </c>
      <c r="AL156" s="17">
        <v>3</v>
      </c>
      <c r="AM156" s="17" t="s">
        <v>168</v>
      </c>
      <c r="AN156" s="17">
        <v>0</v>
      </c>
      <c r="AO156" s="17" t="s">
        <v>169</v>
      </c>
      <c r="AP156" s="17" t="s">
        <v>169</v>
      </c>
      <c r="AQ156" s="17" t="s">
        <v>169</v>
      </c>
      <c r="AR156" s="17">
        <v>-42751</v>
      </c>
      <c r="AS156" s="18"/>
      <c r="AT156" s="24">
        <v>0</v>
      </c>
      <c r="AU156" s="24">
        <v>0</v>
      </c>
      <c r="AV156" s="24">
        <v>0</v>
      </c>
      <c r="AW156" s="24">
        <v>0</v>
      </c>
      <c r="AX156" s="24">
        <v>0</v>
      </c>
      <c r="AY156" s="24">
        <v>0</v>
      </c>
      <c r="AZ156" s="18"/>
    </row>
    <row r="157" spans="1:52" x14ac:dyDescent="0.25">
      <c r="A157" s="16"/>
      <c r="B157" s="16"/>
      <c r="C157" s="65"/>
      <c r="D157" s="15"/>
      <c r="E157" s="15"/>
      <c r="F157" s="15"/>
      <c r="G157" s="16"/>
      <c r="H157" s="16"/>
      <c r="I157" s="16"/>
      <c r="J157" s="22"/>
      <c r="K157" s="86"/>
      <c r="L157" s="16"/>
      <c r="M157" s="15"/>
      <c r="N157" s="15"/>
      <c r="O157" s="20"/>
      <c r="P157" s="15"/>
      <c r="Q157" s="20"/>
      <c r="R157" s="15"/>
      <c r="S157" s="15"/>
      <c r="T157" s="15"/>
      <c r="U157" s="15"/>
      <c r="V157" s="17"/>
      <c r="W157" s="17"/>
      <c r="X157" s="16"/>
      <c r="Y157" s="20"/>
      <c r="Z157" s="15"/>
      <c r="AA157" s="22"/>
      <c r="AB157" s="90"/>
      <c r="AC157" s="22"/>
      <c r="AD157" s="25"/>
      <c r="AE157" s="25">
        <v>1</v>
      </c>
      <c r="AF157" s="17">
        <v>17</v>
      </c>
      <c r="AG157" s="17">
        <v>16</v>
      </c>
      <c r="AH157" s="17">
        <v>16</v>
      </c>
      <c r="AI157" s="17" t="s">
        <v>168</v>
      </c>
      <c r="AJ157" s="17">
        <v>4</v>
      </c>
      <c r="AK157" s="17">
        <v>3</v>
      </c>
      <c r="AL157" s="17">
        <v>3</v>
      </c>
      <c r="AM157" s="17" t="s">
        <v>168</v>
      </c>
      <c r="AN157" s="17">
        <v>0</v>
      </c>
      <c r="AO157" s="17" t="s">
        <v>169</v>
      </c>
      <c r="AP157" s="17" t="s">
        <v>169</v>
      </c>
      <c r="AQ157" s="17" t="s">
        <v>169</v>
      </c>
      <c r="AR157" s="17">
        <v>-42751</v>
      </c>
      <c r="AS157" s="18"/>
      <c r="AT157" s="24">
        <v>0</v>
      </c>
      <c r="AU157" s="24">
        <v>0</v>
      </c>
      <c r="AV157" s="24">
        <v>0</v>
      </c>
      <c r="AW157" s="24">
        <v>0</v>
      </c>
      <c r="AX157" s="24">
        <v>0</v>
      </c>
      <c r="AY157" s="24">
        <v>0</v>
      </c>
      <c r="AZ157" s="18"/>
    </row>
    <row r="158" spans="1:52" x14ac:dyDescent="0.25">
      <c r="A158" s="16"/>
      <c r="B158" s="16"/>
      <c r="C158" s="65"/>
      <c r="D158" s="15"/>
      <c r="E158" s="15"/>
      <c r="F158" s="15"/>
      <c r="G158" s="16"/>
      <c r="H158" s="16"/>
      <c r="I158" s="16"/>
      <c r="J158" s="22"/>
      <c r="K158" s="86"/>
      <c r="L158" s="16"/>
      <c r="M158" s="15"/>
      <c r="N158" s="15"/>
      <c r="O158" s="20"/>
      <c r="P158" s="15"/>
      <c r="Q158" s="20"/>
      <c r="R158" s="15"/>
      <c r="S158" s="15"/>
      <c r="T158" s="15"/>
      <c r="U158" s="15"/>
      <c r="V158" s="17"/>
      <c r="W158" s="17"/>
      <c r="X158" s="16"/>
      <c r="Y158" s="20"/>
      <c r="Z158" s="15"/>
      <c r="AA158" s="22"/>
      <c r="AB158" s="90"/>
      <c r="AC158" s="22"/>
      <c r="AD158" s="25"/>
      <c r="AE158" s="25">
        <v>1</v>
      </c>
      <c r="AF158" s="17">
        <v>17</v>
      </c>
      <c r="AG158" s="17">
        <v>16</v>
      </c>
      <c r="AH158" s="17">
        <v>16</v>
      </c>
      <c r="AI158" s="17" t="s">
        <v>168</v>
      </c>
      <c r="AJ158" s="17">
        <v>4</v>
      </c>
      <c r="AK158" s="17">
        <v>3</v>
      </c>
      <c r="AL158" s="17">
        <v>3</v>
      </c>
      <c r="AM158" s="17" t="s">
        <v>168</v>
      </c>
      <c r="AN158" s="17">
        <v>0</v>
      </c>
      <c r="AO158" s="17" t="s">
        <v>169</v>
      </c>
      <c r="AP158" s="17" t="s">
        <v>169</v>
      </c>
      <c r="AQ158" s="17" t="s">
        <v>169</v>
      </c>
      <c r="AR158" s="17">
        <v>-42751</v>
      </c>
      <c r="AS158" s="18"/>
      <c r="AT158" s="24">
        <v>0</v>
      </c>
      <c r="AU158" s="24">
        <v>0</v>
      </c>
      <c r="AV158" s="24">
        <v>0</v>
      </c>
      <c r="AW158" s="24">
        <v>0</v>
      </c>
      <c r="AX158" s="24">
        <v>0</v>
      </c>
      <c r="AY158" s="24">
        <v>0</v>
      </c>
      <c r="AZ158" s="18"/>
    </row>
    <row r="159" spans="1:52" x14ac:dyDescent="0.25">
      <c r="A159" s="16"/>
      <c r="B159" s="16"/>
      <c r="C159" s="65"/>
      <c r="D159" s="15"/>
      <c r="E159" s="15"/>
      <c r="F159" s="15"/>
      <c r="G159" s="16"/>
      <c r="H159" s="16"/>
      <c r="I159" s="16"/>
      <c r="J159" s="22"/>
      <c r="K159" s="86"/>
      <c r="L159" s="16"/>
      <c r="M159" s="15"/>
      <c r="N159" s="15"/>
      <c r="O159" s="20"/>
      <c r="P159" s="15"/>
      <c r="Q159" s="20"/>
      <c r="R159" s="15"/>
      <c r="S159" s="15"/>
      <c r="T159" s="15"/>
      <c r="U159" s="15"/>
      <c r="V159" s="17"/>
      <c r="W159" s="17"/>
      <c r="X159" s="16"/>
      <c r="Y159" s="20"/>
      <c r="Z159" s="15"/>
      <c r="AA159" s="22"/>
      <c r="AB159" s="90"/>
      <c r="AC159" s="22"/>
      <c r="AD159" s="25"/>
      <c r="AE159" s="25">
        <v>1</v>
      </c>
      <c r="AF159" s="17">
        <v>17</v>
      </c>
      <c r="AG159" s="17">
        <v>16</v>
      </c>
      <c r="AH159" s="17">
        <v>16</v>
      </c>
      <c r="AI159" s="17" t="s">
        <v>168</v>
      </c>
      <c r="AJ159" s="17">
        <v>4</v>
      </c>
      <c r="AK159" s="17">
        <v>3</v>
      </c>
      <c r="AL159" s="17">
        <v>3</v>
      </c>
      <c r="AM159" s="17" t="s">
        <v>168</v>
      </c>
      <c r="AN159" s="17">
        <v>0</v>
      </c>
      <c r="AO159" s="17" t="s">
        <v>169</v>
      </c>
      <c r="AP159" s="17" t="s">
        <v>169</v>
      </c>
      <c r="AQ159" s="17" t="s">
        <v>169</v>
      </c>
      <c r="AR159" s="17">
        <v>-42751</v>
      </c>
      <c r="AS159" s="18"/>
      <c r="AT159" s="24">
        <v>0</v>
      </c>
      <c r="AU159" s="24">
        <v>0</v>
      </c>
      <c r="AV159" s="24">
        <v>0</v>
      </c>
      <c r="AW159" s="24">
        <v>0</v>
      </c>
      <c r="AX159" s="24">
        <v>0</v>
      </c>
      <c r="AY159" s="24">
        <v>0</v>
      </c>
      <c r="AZ159" s="18"/>
    </row>
    <row r="160" spans="1:52" x14ac:dyDescent="0.25">
      <c r="A160" s="16"/>
      <c r="B160" s="16"/>
      <c r="C160" s="65"/>
      <c r="D160" s="15"/>
      <c r="E160" s="15"/>
      <c r="F160" s="15"/>
      <c r="G160" s="16"/>
      <c r="H160" s="16"/>
      <c r="I160" s="16"/>
      <c r="J160" s="22"/>
      <c r="K160" s="86"/>
      <c r="L160" s="16"/>
      <c r="M160" s="15"/>
      <c r="N160" s="15"/>
      <c r="O160" s="20"/>
      <c r="P160" s="15"/>
      <c r="Q160" s="20"/>
      <c r="R160" s="15"/>
      <c r="S160" s="15"/>
      <c r="T160" s="15"/>
      <c r="U160" s="15"/>
      <c r="V160" s="17"/>
      <c r="W160" s="17"/>
      <c r="X160" s="16"/>
      <c r="Y160" s="20"/>
      <c r="Z160" s="15"/>
      <c r="AA160" s="22"/>
      <c r="AB160" s="90"/>
      <c r="AC160" s="22"/>
      <c r="AD160" s="25"/>
      <c r="AE160" s="25">
        <v>1</v>
      </c>
      <c r="AF160" s="17">
        <v>17</v>
      </c>
      <c r="AG160" s="17">
        <v>16</v>
      </c>
      <c r="AH160" s="17">
        <v>16</v>
      </c>
      <c r="AI160" s="17" t="s">
        <v>168</v>
      </c>
      <c r="AJ160" s="17">
        <v>4</v>
      </c>
      <c r="AK160" s="17">
        <v>3</v>
      </c>
      <c r="AL160" s="17">
        <v>3</v>
      </c>
      <c r="AM160" s="17" t="s">
        <v>168</v>
      </c>
      <c r="AN160" s="17">
        <v>0</v>
      </c>
      <c r="AO160" s="17" t="s">
        <v>169</v>
      </c>
      <c r="AP160" s="17" t="s">
        <v>169</v>
      </c>
      <c r="AQ160" s="17" t="s">
        <v>169</v>
      </c>
      <c r="AR160" s="17">
        <v>-42751</v>
      </c>
      <c r="AS160" s="18"/>
      <c r="AT160" s="24">
        <v>0</v>
      </c>
      <c r="AU160" s="24">
        <v>0</v>
      </c>
      <c r="AV160" s="24">
        <v>0</v>
      </c>
      <c r="AW160" s="24">
        <v>0</v>
      </c>
      <c r="AX160" s="24">
        <v>0</v>
      </c>
      <c r="AY160" s="24">
        <v>0</v>
      </c>
      <c r="AZ160" s="18"/>
    </row>
    <row r="161" spans="1:52" x14ac:dyDescent="0.25">
      <c r="A161" s="16"/>
      <c r="B161" s="16"/>
      <c r="C161" s="65"/>
      <c r="D161" s="15"/>
      <c r="E161" s="15"/>
      <c r="F161" s="15"/>
      <c r="G161" s="16"/>
      <c r="H161" s="16"/>
      <c r="I161" s="16"/>
      <c r="J161" s="22"/>
      <c r="K161" s="86"/>
      <c r="L161" s="16"/>
      <c r="M161" s="15"/>
      <c r="N161" s="15"/>
      <c r="O161" s="20"/>
      <c r="P161" s="15"/>
      <c r="Q161" s="20"/>
      <c r="R161" s="15"/>
      <c r="S161" s="15"/>
      <c r="T161" s="15"/>
      <c r="U161" s="15"/>
      <c r="V161" s="17"/>
      <c r="W161" s="17"/>
      <c r="X161" s="16"/>
      <c r="Y161" s="20"/>
      <c r="Z161" s="15"/>
      <c r="AA161" s="22"/>
      <c r="AB161" s="90"/>
      <c r="AC161" s="22"/>
      <c r="AD161" s="25"/>
      <c r="AE161" s="25">
        <v>1</v>
      </c>
      <c r="AF161" s="17">
        <v>17</v>
      </c>
      <c r="AG161" s="17">
        <v>16</v>
      </c>
      <c r="AH161" s="17">
        <v>16</v>
      </c>
      <c r="AI161" s="17" t="s">
        <v>168</v>
      </c>
      <c r="AJ161" s="17">
        <v>4</v>
      </c>
      <c r="AK161" s="17">
        <v>3</v>
      </c>
      <c r="AL161" s="17">
        <v>3</v>
      </c>
      <c r="AM161" s="17" t="s">
        <v>168</v>
      </c>
      <c r="AN161" s="17">
        <v>0</v>
      </c>
      <c r="AO161" s="17" t="s">
        <v>169</v>
      </c>
      <c r="AP161" s="17" t="s">
        <v>169</v>
      </c>
      <c r="AQ161" s="17" t="s">
        <v>169</v>
      </c>
      <c r="AR161" s="17">
        <v>-42751</v>
      </c>
      <c r="AS161" s="18"/>
      <c r="AT161" s="24">
        <v>0</v>
      </c>
      <c r="AU161" s="24">
        <v>0</v>
      </c>
      <c r="AV161" s="24">
        <v>0</v>
      </c>
      <c r="AW161" s="24">
        <v>0</v>
      </c>
      <c r="AX161" s="24">
        <v>0</v>
      </c>
      <c r="AY161" s="24">
        <v>0</v>
      </c>
      <c r="AZ161" s="18"/>
    </row>
    <row r="162" spans="1:52" x14ac:dyDescent="0.25">
      <c r="A162" s="16"/>
      <c r="B162" s="16"/>
      <c r="C162" s="65"/>
      <c r="D162" s="15"/>
      <c r="E162" s="15"/>
      <c r="F162" s="15"/>
      <c r="G162" s="16"/>
      <c r="H162" s="16"/>
      <c r="I162" s="16"/>
      <c r="J162" s="22"/>
      <c r="K162" s="86"/>
      <c r="L162" s="16"/>
      <c r="M162" s="15"/>
      <c r="N162" s="15"/>
      <c r="O162" s="20"/>
      <c r="P162" s="15"/>
      <c r="Q162" s="20"/>
      <c r="R162" s="15"/>
      <c r="S162" s="15"/>
      <c r="T162" s="15"/>
      <c r="U162" s="15"/>
      <c r="V162" s="17"/>
      <c r="W162" s="17"/>
      <c r="X162" s="16"/>
      <c r="Y162" s="20"/>
      <c r="Z162" s="15"/>
      <c r="AA162" s="22"/>
      <c r="AB162" s="90"/>
      <c r="AC162" s="22"/>
      <c r="AD162" s="25"/>
      <c r="AE162" s="25">
        <v>1</v>
      </c>
      <c r="AF162" s="17">
        <v>17</v>
      </c>
      <c r="AG162" s="17">
        <v>16</v>
      </c>
      <c r="AH162" s="17">
        <v>16</v>
      </c>
      <c r="AI162" s="17" t="s">
        <v>168</v>
      </c>
      <c r="AJ162" s="17">
        <v>4</v>
      </c>
      <c r="AK162" s="17">
        <v>3</v>
      </c>
      <c r="AL162" s="17">
        <v>3</v>
      </c>
      <c r="AM162" s="17" t="s">
        <v>168</v>
      </c>
      <c r="AN162" s="17">
        <v>0</v>
      </c>
      <c r="AO162" s="17" t="s">
        <v>169</v>
      </c>
      <c r="AP162" s="17" t="s">
        <v>169</v>
      </c>
      <c r="AQ162" s="17" t="s">
        <v>169</v>
      </c>
      <c r="AR162" s="17">
        <v>-42751</v>
      </c>
      <c r="AS162" s="18"/>
      <c r="AT162" s="24">
        <v>0</v>
      </c>
      <c r="AU162" s="24">
        <v>0</v>
      </c>
      <c r="AV162" s="24">
        <v>0</v>
      </c>
      <c r="AW162" s="24">
        <v>0</v>
      </c>
      <c r="AX162" s="24">
        <v>0</v>
      </c>
      <c r="AY162" s="24">
        <v>0</v>
      </c>
      <c r="AZ162" s="18"/>
    </row>
    <row r="163" spans="1:52" x14ac:dyDescent="0.25">
      <c r="A163" s="16"/>
      <c r="B163" s="16"/>
      <c r="C163" s="65"/>
      <c r="D163" s="15"/>
      <c r="E163" s="15"/>
      <c r="F163" s="15"/>
      <c r="G163" s="16"/>
      <c r="H163" s="16"/>
      <c r="I163" s="16"/>
      <c r="J163" s="22"/>
      <c r="K163" s="86"/>
      <c r="L163" s="16"/>
      <c r="M163" s="15"/>
      <c r="N163" s="15"/>
      <c r="O163" s="20"/>
      <c r="P163" s="15"/>
      <c r="Q163" s="20"/>
      <c r="R163" s="15"/>
      <c r="S163" s="15"/>
      <c r="T163" s="15"/>
      <c r="U163" s="15"/>
      <c r="V163" s="17"/>
      <c r="W163" s="17"/>
      <c r="X163" s="16"/>
      <c r="Y163" s="20"/>
      <c r="Z163" s="15"/>
      <c r="AA163" s="22"/>
      <c r="AB163" s="90"/>
      <c r="AC163" s="22"/>
      <c r="AD163" s="25"/>
      <c r="AE163" s="25">
        <v>1</v>
      </c>
      <c r="AF163" s="17">
        <v>17</v>
      </c>
      <c r="AG163" s="17">
        <v>16</v>
      </c>
      <c r="AH163" s="17">
        <v>16</v>
      </c>
      <c r="AI163" s="17" t="s">
        <v>168</v>
      </c>
      <c r="AJ163" s="17">
        <v>4</v>
      </c>
      <c r="AK163" s="17">
        <v>3</v>
      </c>
      <c r="AL163" s="17">
        <v>3</v>
      </c>
      <c r="AM163" s="17" t="s">
        <v>168</v>
      </c>
      <c r="AN163" s="17">
        <v>0</v>
      </c>
      <c r="AO163" s="17" t="s">
        <v>169</v>
      </c>
      <c r="AP163" s="17" t="s">
        <v>169</v>
      </c>
      <c r="AQ163" s="17" t="s">
        <v>169</v>
      </c>
      <c r="AR163" s="17">
        <v>-42751</v>
      </c>
      <c r="AS163" s="18"/>
      <c r="AT163" s="24">
        <v>0</v>
      </c>
      <c r="AU163" s="24">
        <v>0</v>
      </c>
      <c r="AV163" s="24">
        <v>0</v>
      </c>
      <c r="AW163" s="24">
        <v>0</v>
      </c>
      <c r="AX163" s="24">
        <v>0</v>
      </c>
      <c r="AY163" s="24">
        <v>0</v>
      </c>
      <c r="AZ163" s="18"/>
    </row>
    <row r="164" spans="1:52" x14ac:dyDescent="0.25">
      <c r="A164" s="16"/>
      <c r="B164" s="16"/>
      <c r="C164" s="65"/>
      <c r="D164" s="15"/>
      <c r="E164" s="15"/>
      <c r="F164" s="15"/>
      <c r="G164" s="16"/>
      <c r="H164" s="16"/>
      <c r="I164" s="16"/>
      <c r="J164" s="22"/>
      <c r="K164" s="86"/>
      <c r="L164" s="16"/>
      <c r="M164" s="15"/>
      <c r="N164" s="15"/>
      <c r="O164" s="20"/>
      <c r="P164" s="15"/>
      <c r="Q164" s="20"/>
      <c r="R164" s="15"/>
      <c r="S164" s="15"/>
      <c r="T164" s="15"/>
      <c r="U164" s="15"/>
      <c r="V164" s="17"/>
      <c r="W164" s="17"/>
      <c r="X164" s="16"/>
      <c r="Y164" s="20"/>
      <c r="Z164" s="15"/>
      <c r="AA164" s="22"/>
      <c r="AB164" s="90"/>
      <c r="AC164" s="22"/>
      <c r="AD164" s="25"/>
      <c r="AE164" s="25">
        <v>1</v>
      </c>
      <c r="AF164" s="17">
        <v>17</v>
      </c>
      <c r="AG164" s="17">
        <v>16</v>
      </c>
      <c r="AH164" s="17">
        <v>16</v>
      </c>
      <c r="AI164" s="17" t="s">
        <v>168</v>
      </c>
      <c r="AJ164" s="17">
        <v>4</v>
      </c>
      <c r="AK164" s="17">
        <v>3</v>
      </c>
      <c r="AL164" s="17">
        <v>3</v>
      </c>
      <c r="AM164" s="17" t="s">
        <v>168</v>
      </c>
      <c r="AN164" s="17">
        <v>0</v>
      </c>
      <c r="AO164" s="17" t="s">
        <v>169</v>
      </c>
      <c r="AP164" s="17" t="s">
        <v>169</v>
      </c>
      <c r="AQ164" s="17" t="s">
        <v>169</v>
      </c>
      <c r="AR164" s="17">
        <v>-42751</v>
      </c>
      <c r="AS164" s="18"/>
      <c r="AT164" s="24">
        <v>0</v>
      </c>
      <c r="AU164" s="24">
        <v>0</v>
      </c>
      <c r="AV164" s="24">
        <v>0</v>
      </c>
      <c r="AW164" s="24">
        <v>0</v>
      </c>
      <c r="AX164" s="24">
        <v>0</v>
      </c>
      <c r="AY164" s="24">
        <v>0</v>
      </c>
      <c r="AZ164" s="18"/>
    </row>
    <row r="165" spans="1:52" x14ac:dyDescent="0.25">
      <c r="A165" s="16"/>
      <c r="B165" s="16"/>
      <c r="C165" s="65"/>
      <c r="D165" s="15"/>
      <c r="E165" s="15"/>
      <c r="F165" s="15"/>
      <c r="G165" s="16"/>
      <c r="H165" s="16"/>
      <c r="I165" s="16"/>
      <c r="J165" s="22"/>
      <c r="K165" s="86"/>
      <c r="L165" s="16"/>
      <c r="M165" s="15"/>
      <c r="N165" s="15"/>
      <c r="O165" s="20"/>
      <c r="P165" s="15"/>
      <c r="Q165" s="20"/>
      <c r="R165" s="15"/>
      <c r="S165" s="15"/>
      <c r="T165" s="15"/>
      <c r="U165" s="15"/>
      <c r="V165" s="17"/>
      <c r="W165" s="17"/>
      <c r="X165" s="16"/>
      <c r="Y165" s="20"/>
      <c r="Z165" s="15"/>
      <c r="AA165" s="22"/>
      <c r="AB165" s="90"/>
      <c r="AC165" s="22"/>
      <c r="AD165" s="25"/>
      <c r="AE165" s="25">
        <v>1</v>
      </c>
      <c r="AF165" s="17">
        <v>17</v>
      </c>
      <c r="AG165" s="17">
        <v>16</v>
      </c>
      <c r="AH165" s="17">
        <v>16</v>
      </c>
      <c r="AI165" s="17" t="s">
        <v>168</v>
      </c>
      <c r="AJ165" s="17">
        <v>4</v>
      </c>
      <c r="AK165" s="17">
        <v>3</v>
      </c>
      <c r="AL165" s="17">
        <v>3</v>
      </c>
      <c r="AM165" s="17" t="s">
        <v>168</v>
      </c>
      <c r="AN165" s="17">
        <v>0</v>
      </c>
      <c r="AO165" s="17" t="s">
        <v>169</v>
      </c>
      <c r="AP165" s="17" t="s">
        <v>169</v>
      </c>
      <c r="AQ165" s="17" t="s">
        <v>169</v>
      </c>
      <c r="AR165" s="17">
        <v>-42751</v>
      </c>
      <c r="AS165" s="18"/>
      <c r="AT165" s="24">
        <v>0</v>
      </c>
      <c r="AU165" s="24">
        <v>0</v>
      </c>
      <c r="AV165" s="24">
        <v>0</v>
      </c>
      <c r="AW165" s="24">
        <v>0</v>
      </c>
      <c r="AX165" s="24">
        <v>0</v>
      </c>
      <c r="AY165" s="24">
        <v>0</v>
      </c>
      <c r="AZ165" s="18"/>
    </row>
    <row r="166" spans="1:52" x14ac:dyDescent="0.25">
      <c r="A166" s="16"/>
      <c r="B166" s="16"/>
      <c r="C166" s="65"/>
      <c r="D166" s="15"/>
      <c r="E166" s="15"/>
      <c r="F166" s="15"/>
      <c r="G166" s="16"/>
      <c r="H166" s="16"/>
      <c r="I166" s="16"/>
      <c r="J166" s="22"/>
      <c r="K166" s="86"/>
      <c r="L166" s="16"/>
      <c r="M166" s="15"/>
      <c r="N166" s="15"/>
      <c r="O166" s="20"/>
      <c r="P166" s="15"/>
      <c r="Q166" s="20"/>
      <c r="R166" s="15"/>
      <c r="S166" s="15"/>
      <c r="T166" s="15"/>
      <c r="U166" s="15"/>
      <c r="V166" s="17"/>
      <c r="W166" s="17"/>
      <c r="X166" s="16"/>
      <c r="Y166" s="20"/>
      <c r="Z166" s="15"/>
      <c r="AA166" s="22"/>
      <c r="AB166" s="90"/>
      <c r="AC166" s="22"/>
      <c r="AD166" s="25"/>
      <c r="AE166" s="25">
        <v>1</v>
      </c>
      <c r="AF166" s="17">
        <v>17</v>
      </c>
      <c r="AG166" s="17">
        <v>16</v>
      </c>
      <c r="AH166" s="17">
        <v>16</v>
      </c>
      <c r="AI166" s="17" t="s">
        <v>168</v>
      </c>
      <c r="AJ166" s="17">
        <v>4</v>
      </c>
      <c r="AK166" s="17">
        <v>3</v>
      </c>
      <c r="AL166" s="17">
        <v>3</v>
      </c>
      <c r="AM166" s="17" t="s">
        <v>168</v>
      </c>
      <c r="AN166" s="17">
        <v>0</v>
      </c>
      <c r="AO166" s="17" t="s">
        <v>169</v>
      </c>
      <c r="AP166" s="17" t="s">
        <v>169</v>
      </c>
      <c r="AQ166" s="17" t="s">
        <v>169</v>
      </c>
      <c r="AR166" s="17">
        <v>-42751</v>
      </c>
      <c r="AS166" s="18"/>
      <c r="AT166" s="24">
        <v>0</v>
      </c>
      <c r="AU166" s="24">
        <v>0</v>
      </c>
      <c r="AV166" s="24">
        <v>0</v>
      </c>
      <c r="AW166" s="24">
        <v>0</v>
      </c>
      <c r="AX166" s="24">
        <v>0</v>
      </c>
      <c r="AY166" s="24">
        <v>0</v>
      </c>
      <c r="AZ166" s="18"/>
    </row>
    <row r="167" spans="1:52" x14ac:dyDescent="0.25">
      <c r="A167" s="16"/>
      <c r="B167" s="16"/>
      <c r="C167" s="65"/>
      <c r="D167" s="15"/>
      <c r="E167" s="15"/>
      <c r="F167" s="15"/>
      <c r="G167" s="16"/>
      <c r="H167" s="16"/>
      <c r="I167" s="16"/>
      <c r="J167" s="22"/>
      <c r="K167" s="86"/>
      <c r="L167" s="16"/>
      <c r="M167" s="15"/>
      <c r="N167" s="15"/>
      <c r="O167" s="20"/>
      <c r="P167" s="15"/>
      <c r="Q167" s="20"/>
      <c r="R167" s="15"/>
      <c r="S167" s="15"/>
      <c r="T167" s="15"/>
      <c r="U167" s="15"/>
      <c r="V167" s="17"/>
      <c r="W167" s="17"/>
      <c r="X167" s="16"/>
      <c r="Y167" s="20"/>
      <c r="Z167" s="15"/>
      <c r="AA167" s="22"/>
      <c r="AB167" s="90"/>
      <c r="AC167" s="22"/>
      <c r="AD167" s="25"/>
      <c r="AE167" s="25">
        <v>1</v>
      </c>
      <c r="AF167" s="17">
        <v>17</v>
      </c>
      <c r="AG167" s="17">
        <v>16</v>
      </c>
      <c r="AH167" s="17">
        <v>16</v>
      </c>
      <c r="AI167" s="17" t="s">
        <v>168</v>
      </c>
      <c r="AJ167" s="17">
        <v>4</v>
      </c>
      <c r="AK167" s="17">
        <v>3</v>
      </c>
      <c r="AL167" s="17">
        <v>3</v>
      </c>
      <c r="AM167" s="17" t="s">
        <v>168</v>
      </c>
      <c r="AN167" s="17">
        <v>0</v>
      </c>
      <c r="AO167" s="17" t="s">
        <v>169</v>
      </c>
      <c r="AP167" s="17" t="s">
        <v>169</v>
      </c>
      <c r="AQ167" s="17" t="s">
        <v>169</v>
      </c>
      <c r="AR167" s="17">
        <v>-42751</v>
      </c>
      <c r="AS167" s="18"/>
      <c r="AT167" s="24">
        <v>0</v>
      </c>
      <c r="AU167" s="24">
        <v>0</v>
      </c>
      <c r="AV167" s="24">
        <v>0</v>
      </c>
      <c r="AW167" s="24">
        <v>0</v>
      </c>
      <c r="AX167" s="24">
        <v>0</v>
      </c>
      <c r="AY167" s="24">
        <v>0</v>
      </c>
      <c r="AZ167" s="18"/>
    </row>
    <row r="168" spans="1:52" x14ac:dyDescent="0.25">
      <c r="A168" s="16"/>
      <c r="B168" s="16"/>
      <c r="C168" s="65"/>
      <c r="D168" s="15"/>
      <c r="E168" s="15"/>
      <c r="F168" s="15"/>
      <c r="G168" s="16"/>
      <c r="H168" s="16"/>
      <c r="I168" s="16"/>
      <c r="J168" s="22"/>
      <c r="K168" s="86"/>
      <c r="L168" s="16"/>
      <c r="M168" s="15"/>
      <c r="N168" s="15"/>
      <c r="O168" s="20"/>
      <c r="P168" s="15"/>
      <c r="Q168" s="20"/>
      <c r="R168" s="15"/>
      <c r="S168" s="15"/>
      <c r="T168" s="15"/>
      <c r="U168" s="15"/>
      <c r="V168" s="17"/>
      <c r="W168" s="17"/>
      <c r="X168" s="16"/>
      <c r="Y168" s="20"/>
      <c r="Z168" s="15"/>
      <c r="AA168" s="22"/>
      <c r="AB168" s="90"/>
      <c r="AC168" s="22"/>
      <c r="AD168" s="25"/>
      <c r="AE168" s="25">
        <v>1</v>
      </c>
      <c r="AF168" s="17">
        <v>17</v>
      </c>
      <c r="AG168" s="17">
        <v>16</v>
      </c>
      <c r="AH168" s="17">
        <v>16</v>
      </c>
      <c r="AI168" s="17" t="s">
        <v>168</v>
      </c>
      <c r="AJ168" s="17">
        <v>4</v>
      </c>
      <c r="AK168" s="17">
        <v>3</v>
      </c>
      <c r="AL168" s="17">
        <v>3</v>
      </c>
      <c r="AM168" s="17" t="s">
        <v>168</v>
      </c>
      <c r="AN168" s="17">
        <v>0</v>
      </c>
      <c r="AO168" s="17" t="s">
        <v>169</v>
      </c>
      <c r="AP168" s="17" t="s">
        <v>169</v>
      </c>
      <c r="AQ168" s="17" t="s">
        <v>169</v>
      </c>
      <c r="AR168" s="17">
        <v>-42751</v>
      </c>
      <c r="AS168" s="18"/>
      <c r="AT168" s="24">
        <v>0</v>
      </c>
      <c r="AU168" s="24">
        <v>0</v>
      </c>
      <c r="AV168" s="24">
        <v>0</v>
      </c>
      <c r="AW168" s="24">
        <v>0</v>
      </c>
      <c r="AX168" s="24">
        <v>0</v>
      </c>
      <c r="AY168" s="24">
        <v>0</v>
      </c>
      <c r="AZ168" s="18"/>
    </row>
    <row r="169" spans="1:52" x14ac:dyDescent="0.25">
      <c r="A169" s="16"/>
      <c r="B169" s="16"/>
      <c r="C169" s="65"/>
      <c r="D169" s="15"/>
      <c r="E169" s="15"/>
      <c r="F169" s="15"/>
      <c r="G169" s="16"/>
      <c r="H169" s="16"/>
      <c r="I169" s="16"/>
      <c r="J169" s="22"/>
      <c r="K169" s="86"/>
      <c r="L169" s="16"/>
      <c r="M169" s="15"/>
      <c r="N169" s="15"/>
      <c r="O169" s="20"/>
      <c r="P169" s="15"/>
      <c r="Q169" s="20"/>
      <c r="R169" s="15"/>
      <c r="S169" s="15"/>
      <c r="T169" s="15"/>
      <c r="U169" s="15"/>
      <c r="V169" s="17"/>
      <c r="W169" s="17"/>
      <c r="X169" s="16"/>
      <c r="Y169" s="20"/>
      <c r="Z169" s="15"/>
      <c r="AA169" s="22"/>
      <c r="AB169" s="90"/>
      <c r="AC169" s="22"/>
      <c r="AD169" s="25"/>
      <c r="AE169" s="25">
        <v>1</v>
      </c>
      <c r="AF169" s="17">
        <v>17</v>
      </c>
      <c r="AG169" s="17">
        <v>16</v>
      </c>
      <c r="AH169" s="17">
        <v>16</v>
      </c>
      <c r="AI169" s="17" t="s">
        <v>168</v>
      </c>
      <c r="AJ169" s="17">
        <v>4</v>
      </c>
      <c r="AK169" s="17">
        <v>3</v>
      </c>
      <c r="AL169" s="17">
        <v>3</v>
      </c>
      <c r="AM169" s="17" t="s">
        <v>168</v>
      </c>
      <c r="AN169" s="17">
        <v>0</v>
      </c>
      <c r="AO169" s="17" t="s">
        <v>169</v>
      </c>
      <c r="AP169" s="17" t="s">
        <v>169</v>
      </c>
      <c r="AQ169" s="17" t="s">
        <v>169</v>
      </c>
      <c r="AR169" s="17">
        <v>-42751</v>
      </c>
      <c r="AS169" s="18"/>
      <c r="AT169" s="24">
        <v>0</v>
      </c>
      <c r="AU169" s="24">
        <v>0</v>
      </c>
      <c r="AV169" s="24">
        <v>0</v>
      </c>
      <c r="AW169" s="24">
        <v>0</v>
      </c>
      <c r="AX169" s="24">
        <v>0</v>
      </c>
      <c r="AY169" s="24">
        <v>0</v>
      </c>
      <c r="AZ169" s="18"/>
    </row>
    <row r="170" spans="1:52" x14ac:dyDescent="0.25">
      <c r="A170" s="16"/>
      <c r="B170" s="16"/>
      <c r="C170" s="65"/>
      <c r="D170" s="15"/>
      <c r="E170" s="15"/>
      <c r="F170" s="15"/>
      <c r="G170" s="16"/>
      <c r="H170" s="16"/>
      <c r="I170" s="16"/>
      <c r="J170" s="22"/>
      <c r="K170" s="86"/>
      <c r="L170" s="16"/>
      <c r="M170" s="15"/>
      <c r="N170" s="15"/>
      <c r="O170" s="20"/>
      <c r="P170" s="15"/>
      <c r="Q170" s="20"/>
      <c r="R170" s="15"/>
      <c r="S170" s="15"/>
      <c r="T170" s="15"/>
      <c r="U170" s="15"/>
      <c r="V170" s="17"/>
      <c r="W170" s="17"/>
      <c r="X170" s="16"/>
      <c r="Y170" s="20"/>
      <c r="Z170" s="15"/>
      <c r="AA170" s="22"/>
      <c r="AB170" s="90"/>
      <c r="AC170" s="22"/>
      <c r="AD170" s="25"/>
      <c r="AE170" s="25">
        <v>1</v>
      </c>
      <c r="AF170" s="17">
        <v>17</v>
      </c>
      <c r="AG170" s="17">
        <v>16</v>
      </c>
      <c r="AH170" s="17">
        <v>16</v>
      </c>
      <c r="AI170" s="17" t="s">
        <v>168</v>
      </c>
      <c r="AJ170" s="17">
        <v>4</v>
      </c>
      <c r="AK170" s="17">
        <v>3</v>
      </c>
      <c r="AL170" s="17">
        <v>3</v>
      </c>
      <c r="AM170" s="17" t="s">
        <v>168</v>
      </c>
      <c r="AN170" s="17">
        <v>0</v>
      </c>
      <c r="AO170" s="17" t="s">
        <v>169</v>
      </c>
      <c r="AP170" s="17" t="s">
        <v>169</v>
      </c>
      <c r="AQ170" s="17" t="s">
        <v>169</v>
      </c>
      <c r="AR170" s="17">
        <v>-42751</v>
      </c>
      <c r="AS170" s="18"/>
      <c r="AT170" s="24">
        <v>0</v>
      </c>
      <c r="AU170" s="24">
        <v>0</v>
      </c>
      <c r="AV170" s="24">
        <v>0</v>
      </c>
      <c r="AW170" s="24">
        <v>0</v>
      </c>
      <c r="AX170" s="24">
        <v>0</v>
      </c>
      <c r="AY170" s="24">
        <v>0</v>
      </c>
      <c r="AZ170" s="18"/>
    </row>
    <row r="171" spans="1:52" x14ac:dyDescent="0.25">
      <c r="A171" s="16"/>
      <c r="B171" s="16"/>
      <c r="C171" s="65"/>
      <c r="D171" s="15"/>
      <c r="E171" s="15"/>
      <c r="F171" s="15"/>
      <c r="G171" s="16"/>
      <c r="H171" s="16"/>
      <c r="I171" s="16"/>
      <c r="J171" s="22"/>
      <c r="K171" s="86"/>
      <c r="L171" s="16"/>
      <c r="M171" s="15"/>
      <c r="N171" s="15"/>
      <c r="O171" s="20"/>
      <c r="P171" s="15"/>
      <c r="Q171" s="20"/>
      <c r="R171" s="15"/>
      <c r="S171" s="15"/>
      <c r="T171" s="15"/>
      <c r="U171" s="15"/>
      <c r="V171" s="17"/>
      <c r="W171" s="17"/>
      <c r="X171" s="16"/>
      <c r="Y171" s="20"/>
      <c r="Z171" s="15"/>
      <c r="AA171" s="22"/>
      <c r="AB171" s="90"/>
      <c r="AC171" s="22"/>
      <c r="AD171" s="25"/>
      <c r="AE171" s="25">
        <v>1</v>
      </c>
      <c r="AF171" s="17">
        <v>17</v>
      </c>
      <c r="AG171" s="17">
        <v>16</v>
      </c>
      <c r="AH171" s="17">
        <v>16</v>
      </c>
      <c r="AI171" s="17" t="s">
        <v>168</v>
      </c>
      <c r="AJ171" s="17">
        <v>4</v>
      </c>
      <c r="AK171" s="17">
        <v>3</v>
      </c>
      <c r="AL171" s="17">
        <v>3</v>
      </c>
      <c r="AM171" s="17" t="s">
        <v>168</v>
      </c>
      <c r="AN171" s="17">
        <v>0</v>
      </c>
      <c r="AO171" s="17" t="s">
        <v>169</v>
      </c>
      <c r="AP171" s="17" t="s">
        <v>169</v>
      </c>
      <c r="AQ171" s="17" t="s">
        <v>169</v>
      </c>
      <c r="AR171" s="17">
        <v>-42751</v>
      </c>
      <c r="AS171" s="18"/>
      <c r="AT171" s="24">
        <v>0</v>
      </c>
      <c r="AU171" s="24">
        <v>0</v>
      </c>
      <c r="AV171" s="24">
        <v>0</v>
      </c>
      <c r="AW171" s="24">
        <v>0</v>
      </c>
      <c r="AX171" s="24">
        <v>0</v>
      </c>
      <c r="AY171" s="24">
        <v>0</v>
      </c>
      <c r="AZ171" s="18"/>
    </row>
    <row r="172" spans="1:52" x14ac:dyDescent="0.25">
      <c r="A172" s="16"/>
      <c r="B172" s="16"/>
      <c r="C172" s="65"/>
      <c r="D172" s="15"/>
      <c r="E172" s="15"/>
      <c r="F172" s="15"/>
      <c r="G172" s="16"/>
      <c r="H172" s="16"/>
      <c r="I172" s="16"/>
      <c r="J172" s="22"/>
      <c r="K172" s="86"/>
      <c r="L172" s="16"/>
      <c r="M172" s="15"/>
      <c r="N172" s="15"/>
      <c r="O172" s="20"/>
      <c r="P172" s="15"/>
      <c r="Q172" s="20"/>
      <c r="R172" s="15"/>
      <c r="S172" s="15"/>
      <c r="T172" s="15"/>
      <c r="U172" s="15"/>
      <c r="V172" s="17"/>
      <c r="W172" s="17"/>
      <c r="X172" s="16"/>
      <c r="Y172" s="20"/>
      <c r="Z172" s="15"/>
      <c r="AA172" s="22"/>
      <c r="AB172" s="90"/>
      <c r="AC172" s="22"/>
      <c r="AD172" s="25"/>
      <c r="AE172" s="25">
        <v>1</v>
      </c>
      <c r="AF172" s="17">
        <v>17</v>
      </c>
      <c r="AG172" s="17">
        <v>16</v>
      </c>
      <c r="AH172" s="17">
        <v>16</v>
      </c>
      <c r="AI172" s="17" t="s">
        <v>168</v>
      </c>
      <c r="AJ172" s="17">
        <v>4</v>
      </c>
      <c r="AK172" s="17">
        <v>3</v>
      </c>
      <c r="AL172" s="17">
        <v>3</v>
      </c>
      <c r="AM172" s="17" t="s">
        <v>168</v>
      </c>
      <c r="AN172" s="17">
        <v>0</v>
      </c>
      <c r="AO172" s="17" t="s">
        <v>169</v>
      </c>
      <c r="AP172" s="17" t="s">
        <v>169</v>
      </c>
      <c r="AQ172" s="17" t="s">
        <v>169</v>
      </c>
      <c r="AR172" s="17">
        <v>-42751</v>
      </c>
      <c r="AS172" s="18"/>
      <c r="AT172" s="24">
        <v>0</v>
      </c>
      <c r="AU172" s="24">
        <v>0</v>
      </c>
      <c r="AV172" s="24">
        <v>0</v>
      </c>
      <c r="AW172" s="24">
        <v>0</v>
      </c>
      <c r="AX172" s="24">
        <v>0</v>
      </c>
      <c r="AY172" s="24">
        <v>0</v>
      </c>
      <c r="AZ172" s="18"/>
    </row>
    <row r="173" spans="1:52" x14ac:dyDescent="0.25">
      <c r="A173" s="16"/>
      <c r="B173" s="16"/>
      <c r="C173" s="65"/>
      <c r="D173" s="15"/>
      <c r="E173" s="15"/>
      <c r="F173" s="15"/>
      <c r="G173" s="16"/>
      <c r="H173" s="16"/>
      <c r="I173" s="16"/>
      <c r="J173" s="22"/>
      <c r="K173" s="86"/>
      <c r="L173" s="16"/>
      <c r="M173" s="15"/>
      <c r="N173" s="15"/>
      <c r="O173" s="20"/>
      <c r="P173" s="15"/>
      <c r="Q173" s="20"/>
      <c r="R173" s="15"/>
      <c r="S173" s="15"/>
      <c r="T173" s="15"/>
      <c r="U173" s="15"/>
      <c r="V173" s="17"/>
      <c r="W173" s="17"/>
      <c r="X173" s="16"/>
      <c r="Y173" s="20"/>
      <c r="Z173" s="15"/>
      <c r="AA173" s="22"/>
      <c r="AB173" s="90"/>
      <c r="AC173" s="22"/>
      <c r="AD173" s="25"/>
      <c r="AE173" s="25">
        <v>1</v>
      </c>
      <c r="AF173" s="17">
        <v>17</v>
      </c>
      <c r="AG173" s="17">
        <v>16</v>
      </c>
      <c r="AH173" s="17">
        <v>16</v>
      </c>
      <c r="AI173" s="17" t="s">
        <v>168</v>
      </c>
      <c r="AJ173" s="17">
        <v>4</v>
      </c>
      <c r="AK173" s="17">
        <v>3</v>
      </c>
      <c r="AL173" s="17">
        <v>3</v>
      </c>
      <c r="AM173" s="17" t="s">
        <v>168</v>
      </c>
      <c r="AN173" s="17">
        <v>0</v>
      </c>
      <c r="AO173" s="17" t="s">
        <v>169</v>
      </c>
      <c r="AP173" s="17" t="s">
        <v>169</v>
      </c>
      <c r="AQ173" s="17" t="s">
        <v>169</v>
      </c>
      <c r="AR173" s="17">
        <v>-42751</v>
      </c>
      <c r="AS173" s="18"/>
      <c r="AT173" s="24">
        <v>0</v>
      </c>
      <c r="AU173" s="24">
        <v>0</v>
      </c>
      <c r="AV173" s="24">
        <v>0</v>
      </c>
      <c r="AW173" s="24">
        <v>0</v>
      </c>
      <c r="AX173" s="24">
        <v>0</v>
      </c>
      <c r="AY173" s="24">
        <v>0</v>
      </c>
      <c r="AZ173" s="18"/>
    </row>
    <row r="174" spans="1:52" x14ac:dyDescent="0.25">
      <c r="A174" s="16"/>
      <c r="B174" s="16"/>
      <c r="C174" s="65"/>
      <c r="D174" s="15"/>
      <c r="E174" s="15"/>
      <c r="F174" s="15"/>
      <c r="G174" s="16"/>
      <c r="H174" s="16"/>
      <c r="I174" s="16"/>
      <c r="J174" s="22"/>
      <c r="K174" s="86"/>
      <c r="L174" s="16"/>
      <c r="M174" s="15"/>
      <c r="N174" s="15"/>
      <c r="O174" s="20"/>
      <c r="P174" s="15"/>
      <c r="Q174" s="20"/>
      <c r="R174" s="15"/>
      <c r="S174" s="15"/>
      <c r="T174" s="15"/>
      <c r="U174" s="15"/>
      <c r="V174" s="17"/>
      <c r="W174" s="17"/>
      <c r="X174" s="16"/>
      <c r="Y174" s="20"/>
      <c r="Z174" s="15"/>
      <c r="AA174" s="22"/>
      <c r="AB174" s="90"/>
      <c r="AC174" s="22"/>
      <c r="AD174" s="25"/>
      <c r="AE174" s="25">
        <v>1</v>
      </c>
      <c r="AF174" s="17">
        <v>17</v>
      </c>
      <c r="AG174" s="17">
        <v>16</v>
      </c>
      <c r="AH174" s="17">
        <v>16</v>
      </c>
      <c r="AI174" s="17" t="s">
        <v>168</v>
      </c>
      <c r="AJ174" s="17">
        <v>4</v>
      </c>
      <c r="AK174" s="17">
        <v>3</v>
      </c>
      <c r="AL174" s="17">
        <v>3</v>
      </c>
      <c r="AM174" s="17" t="s">
        <v>168</v>
      </c>
      <c r="AN174" s="17">
        <v>0</v>
      </c>
      <c r="AO174" s="17" t="s">
        <v>169</v>
      </c>
      <c r="AP174" s="17" t="s">
        <v>169</v>
      </c>
      <c r="AQ174" s="17" t="s">
        <v>169</v>
      </c>
      <c r="AR174" s="17">
        <v>-42751</v>
      </c>
      <c r="AS174" s="18"/>
      <c r="AT174" s="24">
        <v>0</v>
      </c>
      <c r="AU174" s="24">
        <v>0</v>
      </c>
      <c r="AV174" s="24">
        <v>0</v>
      </c>
      <c r="AW174" s="24">
        <v>0</v>
      </c>
      <c r="AX174" s="24">
        <v>0</v>
      </c>
      <c r="AY174" s="24">
        <v>0</v>
      </c>
      <c r="AZ174" s="18"/>
    </row>
    <row r="175" spans="1:52" x14ac:dyDescent="0.25">
      <c r="A175" s="16"/>
      <c r="B175" s="16"/>
      <c r="C175" s="65"/>
      <c r="D175" s="15"/>
      <c r="E175" s="15"/>
      <c r="F175" s="15"/>
      <c r="G175" s="16"/>
      <c r="H175" s="16"/>
      <c r="I175" s="16"/>
      <c r="J175" s="22"/>
      <c r="K175" s="86"/>
      <c r="L175" s="16"/>
      <c r="M175" s="15"/>
      <c r="N175" s="15"/>
      <c r="O175" s="20"/>
      <c r="P175" s="15"/>
      <c r="Q175" s="20"/>
      <c r="R175" s="15"/>
      <c r="S175" s="15"/>
      <c r="T175" s="15"/>
      <c r="U175" s="15"/>
      <c r="V175" s="17"/>
      <c r="W175" s="17"/>
      <c r="X175" s="16"/>
      <c r="Y175" s="20"/>
      <c r="Z175" s="15"/>
      <c r="AA175" s="22"/>
      <c r="AB175" s="90"/>
      <c r="AC175" s="22"/>
      <c r="AD175" s="25"/>
      <c r="AE175" s="25">
        <v>1</v>
      </c>
      <c r="AF175" s="17">
        <v>17</v>
      </c>
      <c r="AG175" s="17">
        <v>16</v>
      </c>
      <c r="AH175" s="17">
        <v>16</v>
      </c>
      <c r="AI175" s="17" t="s">
        <v>168</v>
      </c>
      <c r="AJ175" s="17">
        <v>4</v>
      </c>
      <c r="AK175" s="17">
        <v>3</v>
      </c>
      <c r="AL175" s="17">
        <v>3</v>
      </c>
      <c r="AM175" s="17" t="s">
        <v>168</v>
      </c>
      <c r="AN175" s="17">
        <v>0</v>
      </c>
      <c r="AO175" s="17" t="s">
        <v>169</v>
      </c>
      <c r="AP175" s="17" t="s">
        <v>169</v>
      </c>
      <c r="AQ175" s="17" t="s">
        <v>169</v>
      </c>
      <c r="AR175" s="17">
        <v>-42751</v>
      </c>
      <c r="AS175" s="18"/>
      <c r="AT175" s="24">
        <v>0</v>
      </c>
      <c r="AU175" s="24">
        <v>0</v>
      </c>
      <c r="AV175" s="24">
        <v>0</v>
      </c>
      <c r="AW175" s="24">
        <v>0</v>
      </c>
      <c r="AX175" s="24">
        <v>0</v>
      </c>
      <c r="AY175" s="24">
        <v>0</v>
      </c>
      <c r="AZ175" s="18"/>
    </row>
    <row r="176" spans="1:52" x14ac:dyDescent="0.25">
      <c r="A176" s="16"/>
      <c r="B176" s="16"/>
      <c r="C176" s="65"/>
      <c r="D176" s="15"/>
      <c r="E176" s="15"/>
      <c r="F176" s="15"/>
      <c r="G176" s="16"/>
      <c r="H176" s="16"/>
      <c r="I176" s="16"/>
      <c r="J176" s="22"/>
      <c r="K176" s="86"/>
      <c r="L176" s="16"/>
      <c r="M176" s="15"/>
      <c r="N176" s="15"/>
      <c r="O176" s="20"/>
      <c r="P176" s="15"/>
      <c r="Q176" s="20"/>
      <c r="R176" s="15"/>
      <c r="S176" s="15"/>
      <c r="T176" s="15"/>
      <c r="U176" s="15"/>
      <c r="V176" s="17"/>
      <c r="W176" s="17"/>
      <c r="X176" s="16"/>
      <c r="Y176" s="20"/>
      <c r="Z176" s="15"/>
      <c r="AA176" s="22"/>
      <c r="AB176" s="90"/>
      <c r="AC176" s="22"/>
      <c r="AD176" s="25"/>
      <c r="AE176" s="25">
        <v>1</v>
      </c>
      <c r="AF176" s="17">
        <v>17</v>
      </c>
      <c r="AG176" s="17">
        <v>16</v>
      </c>
      <c r="AH176" s="17">
        <v>16</v>
      </c>
      <c r="AI176" s="17" t="s">
        <v>168</v>
      </c>
      <c r="AJ176" s="17">
        <v>4</v>
      </c>
      <c r="AK176" s="17">
        <v>3</v>
      </c>
      <c r="AL176" s="17">
        <v>3</v>
      </c>
      <c r="AM176" s="17" t="s">
        <v>168</v>
      </c>
      <c r="AN176" s="17">
        <v>0</v>
      </c>
      <c r="AO176" s="17" t="s">
        <v>169</v>
      </c>
      <c r="AP176" s="17" t="s">
        <v>169</v>
      </c>
      <c r="AQ176" s="17" t="s">
        <v>169</v>
      </c>
      <c r="AR176" s="17">
        <v>-42751</v>
      </c>
      <c r="AS176" s="18"/>
      <c r="AT176" s="24">
        <v>0</v>
      </c>
      <c r="AU176" s="24">
        <v>0</v>
      </c>
      <c r="AV176" s="24">
        <v>0</v>
      </c>
      <c r="AW176" s="24">
        <v>0</v>
      </c>
      <c r="AX176" s="24">
        <v>0</v>
      </c>
      <c r="AY176" s="24">
        <v>0</v>
      </c>
      <c r="AZ176" s="18"/>
    </row>
    <row r="177" spans="1:52" x14ac:dyDescent="0.25">
      <c r="A177" s="16"/>
      <c r="B177" s="16"/>
      <c r="C177" s="65"/>
      <c r="D177" s="15"/>
      <c r="E177" s="15"/>
      <c r="F177" s="15"/>
      <c r="G177" s="16"/>
      <c r="H177" s="16"/>
      <c r="I177" s="16"/>
      <c r="J177" s="22"/>
      <c r="K177" s="86"/>
      <c r="L177" s="16"/>
      <c r="M177" s="15"/>
      <c r="N177" s="15"/>
      <c r="O177" s="20"/>
      <c r="P177" s="15"/>
      <c r="Q177" s="20"/>
      <c r="R177" s="15"/>
      <c r="S177" s="15"/>
      <c r="T177" s="15"/>
      <c r="U177" s="15"/>
      <c r="V177" s="17"/>
      <c r="W177" s="17"/>
      <c r="X177" s="16"/>
      <c r="Y177" s="20"/>
      <c r="Z177" s="15"/>
      <c r="AA177" s="22"/>
      <c r="AB177" s="90"/>
      <c r="AC177" s="22"/>
      <c r="AD177" s="25"/>
      <c r="AE177" s="25">
        <v>1</v>
      </c>
      <c r="AF177" s="17">
        <v>17</v>
      </c>
      <c r="AG177" s="17">
        <v>16</v>
      </c>
      <c r="AH177" s="17">
        <v>16</v>
      </c>
      <c r="AI177" s="17" t="s">
        <v>168</v>
      </c>
      <c r="AJ177" s="17">
        <v>4</v>
      </c>
      <c r="AK177" s="17">
        <v>3</v>
      </c>
      <c r="AL177" s="17">
        <v>3</v>
      </c>
      <c r="AM177" s="17" t="s">
        <v>168</v>
      </c>
      <c r="AN177" s="17">
        <v>0</v>
      </c>
      <c r="AO177" s="17" t="s">
        <v>169</v>
      </c>
      <c r="AP177" s="17" t="s">
        <v>169</v>
      </c>
      <c r="AQ177" s="17" t="s">
        <v>169</v>
      </c>
      <c r="AR177" s="17">
        <v>-42751</v>
      </c>
      <c r="AS177" s="18"/>
      <c r="AT177" s="24">
        <v>0</v>
      </c>
      <c r="AU177" s="24">
        <v>0</v>
      </c>
      <c r="AV177" s="24">
        <v>0</v>
      </c>
      <c r="AW177" s="24">
        <v>0</v>
      </c>
      <c r="AX177" s="24">
        <v>0</v>
      </c>
      <c r="AY177" s="24">
        <v>0</v>
      </c>
      <c r="AZ177" s="18"/>
    </row>
    <row r="178" spans="1:52" x14ac:dyDescent="0.25">
      <c r="A178" s="16"/>
      <c r="B178" s="16"/>
      <c r="C178" s="65"/>
      <c r="D178" s="15"/>
      <c r="E178" s="15"/>
      <c r="F178" s="15"/>
      <c r="G178" s="16"/>
      <c r="H178" s="16"/>
      <c r="I178" s="16"/>
      <c r="J178" s="22"/>
      <c r="K178" s="86"/>
      <c r="L178" s="16"/>
      <c r="M178" s="15"/>
      <c r="N178" s="15"/>
      <c r="O178" s="20"/>
      <c r="P178" s="15"/>
      <c r="Q178" s="20"/>
      <c r="R178" s="15"/>
      <c r="S178" s="15"/>
      <c r="T178" s="15"/>
      <c r="U178" s="15"/>
      <c r="V178" s="17"/>
      <c r="W178" s="17"/>
      <c r="X178" s="16"/>
      <c r="Y178" s="20"/>
      <c r="Z178" s="15"/>
      <c r="AA178" s="22"/>
      <c r="AB178" s="90"/>
      <c r="AC178" s="22"/>
      <c r="AD178" s="25"/>
      <c r="AE178" s="25">
        <v>1</v>
      </c>
      <c r="AF178" s="17">
        <v>17</v>
      </c>
      <c r="AG178" s="17">
        <v>16</v>
      </c>
      <c r="AH178" s="17">
        <v>16</v>
      </c>
      <c r="AI178" s="17" t="s">
        <v>168</v>
      </c>
      <c r="AJ178" s="17">
        <v>4</v>
      </c>
      <c r="AK178" s="17">
        <v>3</v>
      </c>
      <c r="AL178" s="17">
        <v>3</v>
      </c>
      <c r="AM178" s="17" t="s">
        <v>168</v>
      </c>
      <c r="AN178" s="17">
        <v>0</v>
      </c>
      <c r="AO178" s="17" t="s">
        <v>169</v>
      </c>
      <c r="AP178" s="17" t="s">
        <v>169</v>
      </c>
      <c r="AQ178" s="17" t="s">
        <v>169</v>
      </c>
      <c r="AR178" s="17">
        <v>-42751</v>
      </c>
      <c r="AS178" s="18"/>
      <c r="AT178" s="24">
        <v>0</v>
      </c>
      <c r="AU178" s="24">
        <v>0</v>
      </c>
      <c r="AV178" s="24">
        <v>0</v>
      </c>
      <c r="AW178" s="24">
        <v>0</v>
      </c>
      <c r="AX178" s="24">
        <v>0</v>
      </c>
      <c r="AY178" s="24">
        <v>0</v>
      </c>
      <c r="AZ178" s="18"/>
    </row>
    <row r="179" spans="1:52" x14ac:dyDescent="0.25">
      <c r="A179" s="16"/>
      <c r="B179" s="16"/>
      <c r="C179" s="65"/>
      <c r="D179" s="15"/>
      <c r="E179" s="15"/>
      <c r="F179" s="15"/>
      <c r="G179" s="16"/>
      <c r="H179" s="16"/>
      <c r="I179" s="16"/>
      <c r="J179" s="22"/>
      <c r="K179" s="86"/>
      <c r="L179" s="16"/>
      <c r="M179" s="15"/>
      <c r="N179" s="15"/>
      <c r="O179" s="20"/>
      <c r="P179" s="15"/>
      <c r="Q179" s="20"/>
      <c r="R179" s="15"/>
      <c r="S179" s="15"/>
      <c r="T179" s="15"/>
      <c r="U179" s="15"/>
      <c r="V179" s="17"/>
      <c r="W179" s="17"/>
      <c r="X179" s="16"/>
      <c r="Y179" s="20"/>
      <c r="Z179" s="15"/>
      <c r="AA179" s="22"/>
      <c r="AB179" s="90"/>
      <c r="AC179" s="22"/>
      <c r="AD179" s="25"/>
      <c r="AE179" s="25">
        <v>1</v>
      </c>
      <c r="AF179" s="17">
        <v>17</v>
      </c>
      <c r="AG179" s="17">
        <v>16</v>
      </c>
      <c r="AH179" s="17">
        <v>16</v>
      </c>
      <c r="AI179" s="17" t="s">
        <v>168</v>
      </c>
      <c r="AJ179" s="17">
        <v>4</v>
      </c>
      <c r="AK179" s="17">
        <v>3</v>
      </c>
      <c r="AL179" s="17">
        <v>3</v>
      </c>
      <c r="AM179" s="17" t="s">
        <v>168</v>
      </c>
      <c r="AN179" s="17">
        <v>0</v>
      </c>
      <c r="AO179" s="17" t="s">
        <v>169</v>
      </c>
      <c r="AP179" s="17" t="s">
        <v>169</v>
      </c>
      <c r="AQ179" s="17" t="s">
        <v>169</v>
      </c>
      <c r="AR179" s="17">
        <v>-42751</v>
      </c>
      <c r="AS179" s="18"/>
      <c r="AT179" s="24">
        <v>0</v>
      </c>
      <c r="AU179" s="24">
        <v>0</v>
      </c>
      <c r="AV179" s="24">
        <v>0</v>
      </c>
      <c r="AW179" s="24">
        <v>0</v>
      </c>
      <c r="AX179" s="24">
        <v>0</v>
      </c>
      <c r="AY179" s="24">
        <v>0</v>
      </c>
      <c r="AZ179" s="18"/>
    </row>
    <row r="180" spans="1:52" x14ac:dyDescent="0.25">
      <c r="A180" s="16"/>
      <c r="B180" s="16"/>
      <c r="C180" s="65"/>
      <c r="D180" s="15"/>
      <c r="E180" s="15"/>
      <c r="F180" s="15"/>
      <c r="G180" s="16"/>
      <c r="H180" s="16"/>
      <c r="I180" s="16"/>
      <c r="J180" s="22"/>
      <c r="K180" s="86"/>
      <c r="L180" s="16"/>
      <c r="M180" s="15"/>
      <c r="N180" s="15"/>
      <c r="O180" s="20"/>
      <c r="P180" s="15"/>
      <c r="Q180" s="20"/>
      <c r="R180" s="15"/>
      <c r="S180" s="15"/>
      <c r="T180" s="15"/>
      <c r="U180" s="15"/>
      <c r="V180" s="17"/>
      <c r="W180" s="17"/>
      <c r="X180" s="16"/>
      <c r="Y180" s="20"/>
      <c r="Z180" s="15"/>
      <c r="AA180" s="22"/>
      <c r="AB180" s="90"/>
      <c r="AC180" s="22"/>
      <c r="AD180" s="25"/>
      <c r="AE180" s="25">
        <v>1</v>
      </c>
      <c r="AF180" s="17">
        <v>17</v>
      </c>
      <c r="AG180" s="17">
        <v>16</v>
      </c>
      <c r="AH180" s="17">
        <v>16</v>
      </c>
      <c r="AI180" s="17" t="s">
        <v>168</v>
      </c>
      <c r="AJ180" s="17">
        <v>4</v>
      </c>
      <c r="AK180" s="17">
        <v>3</v>
      </c>
      <c r="AL180" s="17">
        <v>3</v>
      </c>
      <c r="AM180" s="17" t="s">
        <v>168</v>
      </c>
      <c r="AN180" s="17">
        <v>0</v>
      </c>
      <c r="AO180" s="17" t="s">
        <v>169</v>
      </c>
      <c r="AP180" s="17" t="s">
        <v>169</v>
      </c>
      <c r="AQ180" s="17" t="s">
        <v>169</v>
      </c>
      <c r="AR180" s="17">
        <v>-42751</v>
      </c>
      <c r="AS180" s="18"/>
      <c r="AT180" s="24">
        <v>0</v>
      </c>
      <c r="AU180" s="24">
        <v>0</v>
      </c>
      <c r="AV180" s="24">
        <v>0</v>
      </c>
      <c r="AW180" s="24">
        <v>0</v>
      </c>
      <c r="AX180" s="24">
        <v>0</v>
      </c>
      <c r="AY180" s="24">
        <v>0</v>
      </c>
      <c r="AZ180" s="18"/>
    </row>
    <row r="181" spans="1:52" x14ac:dyDescent="0.25">
      <c r="A181" s="16"/>
      <c r="B181" s="16"/>
      <c r="C181" s="65"/>
      <c r="D181" s="15"/>
      <c r="E181" s="15"/>
      <c r="F181" s="15"/>
      <c r="G181" s="16"/>
      <c r="H181" s="16"/>
      <c r="I181" s="16"/>
      <c r="J181" s="22"/>
      <c r="K181" s="86"/>
      <c r="L181" s="16"/>
      <c r="M181" s="15"/>
      <c r="N181" s="15"/>
      <c r="O181" s="20"/>
      <c r="P181" s="15"/>
      <c r="Q181" s="20"/>
      <c r="R181" s="15"/>
      <c r="S181" s="15"/>
      <c r="T181" s="15"/>
      <c r="U181" s="15"/>
      <c r="V181" s="17"/>
      <c r="W181" s="17"/>
      <c r="X181" s="16"/>
      <c r="Y181" s="20"/>
      <c r="Z181" s="15"/>
      <c r="AA181" s="22"/>
      <c r="AB181" s="90"/>
      <c r="AC181" s="22"/>
      <c r="AD181" s="25"/>
      <c r="AE181" s="25">
        <v>1</v>
      </c>
      <c r="AF181" s="17">
        <v>17</v>
      </c>
      <c r="AG181" s="17">
        <v>16</v>
      </c>
      <c r="AH181" s="17">
        <v>16</v>
      </c>
      <c r="AI181" s="17" t="s">
        <v>168</v>
      </c>
      <c r="AJ181" s="17">
        <v>4</v>
      </c>
      <c r="AK181" s="17">
        <v>3</v>
      </c>
      <c r="AL181" s="17">
        <v>3</v>
      </c>
      <c r="AM181" s="17" t="s">
        <v>168</v>
      </c>
      <c r="AN181" s="17">
        <v>0</v>
      </c>
      <c r="AO181" s="17" t="s">
        <v>169</v>
      </c>
      <c r="AP181" s="17" t="s">
        <v>169</v>
      </c>
      <c r="AQ181" s="17" t="s">
        <v>169</v>
      </c>
      <c r="AR181" s="17">
        <v>-42751</v>
      </c>
      <c r="AS181" s="18"/>
      <c r="AT181" s="24">
        <v>0</v>
      </c>
      <c r="AU181" s="24">
        <v>0</v>
      </c>
      <c r="AV181" s="24">
        <v>0</v>
      </c>
      <c r="AW181" s="24">
        <v>0</v>
      </c>
      <c r="AX181" s="24">
        <v>0</v>
      </c>
      <c r="AY181" s="24">
        <v>0</v>
      </c>
      <c r="AZ181" s="18"/>
    </row>
    <row r="182" spans="1:52" x14ac:dyDescent="0.25">
      <c r="A182" s="16"/>
      <c r="B182" s="16"/>
      <c r="C182" s="65"/>
      <c r="D182" s="15"/>
      <c r="E182" s="15"/>
      <c r="F182" s="15"/>
      <c r="G182" s="16"/>
      <c r="H182" s="16"/>
      <c r="I182" s="16"/>
      <c r="J182" s="22"/>
      <c r="K182" s="86"/>
      <c r="L182" s="16"/>
      <c r="M182" s="15"/>
      <c r="N182" s="15"/>
      <c r="O182" s="20"/>
      <c r="P182" s="15"/>
      <c r="Q182" s="20"/>
      <c r="R182" s="15"/>
      <c r="S182" s="15"/>
      <c r="T182" s="15"/>
      <c r="U182" s="15"/>
      <c r="V182" s="17"/>
      <c r="W182" s="17"/>
      <c r="X182" s="16"/>
      <c r="Y182" s="20"/>
      <c r="Z182" s="15"/>
      <c r="AA182" s="22"/>
      <c r="AB182" s="90"/>
      <c r="AC182" s="22"/>
      <c r="AD182" s="25"/>
      <c r="AE182" s="25">
        <v>1</v>
      </c>
      <c r="AF182" s="17">
        <v>17</v>
      </c>
      <c r="AG182" s="17">
        <v>16</v>
      </c>
      <c r="AH182" s="17">
        <v>16</v>
      </c>
      <c r="AI182" s="17" t="s">
        <v>168</v>
      </c>
      <c r="AJ182" s="17">
        <v>4</v>
      </c>
      <c r="AK182" s="17">
        <v>3</v>
      </c>
      <c r="AL182" s="17">
        <v>3</v>
      </c>
      <c r="AM182" s="17" t="s">
        <v>168</v>
      </c>
      <c r="AN182" s="17">
        <v>0</v>
      </c>
      <c r="AO182" s="17" t="s">
        <v>169</v>
      </c>
      <c r="AP182" s="17" t="s">
        <v>169</v>
      </c>
      <c r="AQ182" s="17" t="s">
        <v>169</v>
      </c>
      <c r="AR182" s="17">
        <v>-42751</v>
      </c>
      <c r="AS182" s="18"/>
      <c r="AT182" s="24">
        <v>0</v>
      </c>
      <c r="AU182" s="24">
        <v>0</v>
      </c>
      <c r="AV182" s="24">
        <v>0</v>
      </c>
      <c r="AW182" s="24">
        <v>0</v>
      </c>
      <c r="AX182" s="24">
        <v>0</v>
      </c>
      <c r="AY182" s="24">
        <v>0</v>
      </c>
      <c r="AZ182" s="18"/>
    </row>
    <row r="183" spans="1:52" x14ac:dyDescent="0.25">
      <c r="A183" s="16"/>
      <c r="B183" s="16"/>
      <c r="C183" s="65"/>
      <c r="D183" s="15"/>
      <c r="E183" s="15"/>
      <c r="F183" s="15"/>
      <c r="G183" s="16"/>
      <c r="H183" s="16"/>
      <c r="I183" s="16"/>
      <c r="J183" s="22"/>
      <c r="K183" s="86"/>
      <c r="L183" s="16"/>
      <c r="M183" s="15"/>
      <c r="N183" s="15"/>
      <c r="O183" s="20"/>
      <c r="P183" s="15"/>
      <c r="Q183" s="20"/>
      <c r="R183" s="15"/>
      <c r="S183" s="15"/>
      <c r="T183" s="15"/>
      <c r="U183" s="15"/>
      <c r="V183" s="17"/>
      <c r="W183" s="17"/>
      <c r="X183" s="16"/>
      <c r="Y183" s="20"/>
      <c r="Z183" s="15"/>
      <c r="AA183" s="22"/>
      <c r="AB183" s="90"/>
      <c r="AC183" s="22"/>
      <c r="AD183" s="25"/>
      <c r="AE183" s="25">
        <v>1</v>
      </c>
      <c r="AF183" s="17">
        <v>17</v>
      </c>
      <c r="AG183" s="17">
        <v>16</v>
      </c>
      <c r="AH183" s="17">
        <v>16</v>
      </c>
      <c r="AI183" s="17" t="s">
        <v>168</v>
      </c>
      <c r="AJ183" s="17">
        <v>4</v>
      </c>
      <c r="AK183" s="17">
        <v>3</v>
      </c>
      <c r="AL183" s="17">
        <v>3</v>
      </c>
      <c r="AM183" s="17" t="s">
        <v>168</v>
      </c>
      <c r="AN183" s="17">
        <v>0</v>
      </c>
      <c r="AO183" s="17" t="s">
        <v>169</v>
      </c>
      <c r="AP183" s="17" t="s">
        <v>169</v>
      </c>
      <c r="AQ183" s="17" t="s">
        <v>169</v>
      </c>
      <c r="AR183" s="17">
        <v>-42751</v>
      </c>
      <c r="AS183" s="18"/>
      <c r="AT183" s="24">
        <v>0</v>
      </c>
      <c r="AU183" s="24">
        <v>0</v>
      </c>
      <c r="AV183" s="24">
        <v>0</v>
      </c>
      <c r="AW183" s="24">
        <v>0</v>
      </c>
      <c r="AX183" s="24">
        <v>0</v>
      </c>
      <c r="AY183" s="24">
        <v>0</v>
      </c>
      <c r="AZ183" s="18"/>
    </row>
    <row r="184" spans="1:52" x14ac:dyDescent="0.25">
      <c r="A184" s="16"/>
      <c r="B184" s="16"/>
      <c r="C184" s="65"/>
      <c r="D184" s="15"/>
      <c r="E184" s="15"/>
      <c r="F184" s="15"/>
      <c r="G184" s="16"/>
      <c r="H184" s="16"/>
      <c r="I184" s="16"/>
      <c r="J184" s="22"/>
      <c r="K184" s="86"/>
      <c r="L184" s="16"/>
      <c r="M184" s="15"/>
      <c r="N184" s="15"/>
      <c r="O184" s="20"/>
      <c r="P184" s="15"/>
      <c r="Q184" s="20"/>
      <c r="R184" s="15"/>
      <c r="S184" s="15"/>
      <c r="T184" s="15"/>
      <c r="U184" s="15"/>
      <c r="V184" s="17"/>
      <c r="W184" s="17"/>
      <c r="X184" s="16"/>
      <c r="Y184" s="20"/>
      <c r="Z184" s="15"/>
      <c r="AA184" s="22"/>
      <c r="AB184" s="90"/>
      <c r="AC184" s="22"/>
      <c r="AD184" s="25"/>
      <c r="AE184" s="25">
        <v>1</v>
      </c>
      <c r="AF184" s="17">
        <v>17</v>
      </c>
      <c r="AG184" s="17">
        <v>16</v>
      </c>
      <c r="AH184" s="17">
        <v>16</v>
      </c>
      <c r="AI184" s="17" t="s">
        <v>168</v>
      </c>
      <c r="AJ184" s="17">
        <v>4</v>
      </c>
      <c r="AK184" s="17">
        <v>3</v>
      </c>
      <c r="AL184" s="17">
        <v>3</v>
      </c>
      <c r="AM184" s="17" t="s">
        <v>168</v>
      </c>
      <c r="AN184" s="17">
        <v>0</v>
      </c>
      <c r="AO184" s="17" t="s">
        <v>169</v>
      </c>
      <c r="AP184" s="17" t="s">
        <v>169</v>
      </c>
      <c r="AQ184" s="17" t="s">
        <v>169</v>
      </c>
      <c r="AR184" s="17">
        <v>-42751</v>
      </c>
      <c r="AS184" s="18"/>
      <c r="AT184" s="24">
        <v>0</v>
      </c>
      <c r="AU184" s="24">
        <v>0</v>
      </c>
      <c r="AV184" s="24">
        <v>0</v>
      </c>
      <c r="AW184" s="24">
        <v>0</v>
      </c>
      <c r="AX184" s="24">
        <v>0</v>
      </c>
      <c r="AY184" s="24">
        <v>0</v>
      </c>
      <c r="AZ184" s="18"/>
    </row>
    <row r="185" spans="1:52" x14ac:dyDescent="0.25">
      <c r="A185" s="16"/>
      <c r="B185" s="16"/>
      <c r="C185" s="65"/>
      <c r="D185" s="15"/>
      <c r="E185" s="15"/>
      <c r="F185" s="15"/>
      <c r="G185" s="16"/>
      <c r="H185" s="16"/>
      <c r="I185" s="16"/>
      <c r="J185" s="22"/>
      <c r="K185" s="86"/>
      <c r="L185" s="16"/>
      <c r="M185" s="15"/>
      <c r="N185" s="15"/>
      <c r="O185" s="20"/>
      <c r="P185" s="15"/>
      <c r="Q185" s="20"/>
      <c r="R185" s="15"/>
      <c r="S185" s="15"/>
      <c r="T185" s="15"/>
      <c r="U185" s="15"/>
      <c r="V185" s="17"/>
      <c r="W185" s="17"/>
      <c r="X185" s="16"/>
      <c r="Y185" s="20"/>
      <c r="Z185" s="15"/>
      <c r="AA185" s="22"/>
      <c r="AB185" s="90"/>
      <c r="AC185" s="22"/>
      <c r="AD185" s="25"/>
      <c r="AE185" s="25">
        <v>1</v>
      </c>
      <c r="AF185" s="17">
        <v>17</v>
      </c>
      <c r="AG185" s="17">
        <v>16</v>
      </c>
      <c r="AH185" s="17">
        <v>16</v>
      </c>
      <c r="AI185" s="17" t="s">
        <v>168</v>
      </c>
      <c r="AJ185" s="17">
        <v>4</v>
      </c>
      <c r="AK185" s="17">
        <v>3</v>
      </c>
      <c r="AL185" s="17">
        <v>3</v>
      </c>
      <c r="AM185" s="17" t="s">
        <v>168</v>
      </c>
      <c r="AN185" s="17">
        <v>0</v>
      </c>
      <c r="AO185" s="17" t="s">
        <v>169</v>
      </c>
      <c r="AP185" s="17" t="s">
        <v>169</v>
      </c>
      <c r="AQ185" s="17" t="s">
        <v>169</v>
      </c>
      <c r="AR185" s="17">
        <v>-42751</v>
      </c>
      <c r="AS185" s="18"/>
      <c r="AT185" s="24">
        <v>0</v>
      </c>
      <c r="AU185" s="24">
        <v>0</v>
      </c>
      <c r="AV185" s="24">
        <v>0</v>
      </c>
      <c r="AW185" s="24">
        <v>0</v>
      </c>
      <c r="AX185" s="24">
        <v>0</v>
      </c>
      <c r="AY185" s="24">
        <v>0</v>
      </c>
      <c r="AZ185" s="18"/>
    </row>
    <row r="186" spans="1:52" x14ac:dyDescent="0.25">
      <c r="A186" s="16"/>
      <c r="B186" s="16"/>
      <c r="C186" s="65"/>
      <c r="D186" s="15"/>
      <c r="E186" s="15"/>
      <c r="F186" s="15"/>
      <c r="G186" s="16"/>
      <c r="H186" s="16"/>
      <c r="I186" s="16"/>
      <c r="J186" s="22"/>
      <c r="K186" s="86"/>
      <c r="L186" s="16"/>
      <c r="M186" s="15"/>
      <c r="N186" s="15"/>
      <c r="O186" s="20"/>
      <c r="P186" s="15"/>
      <c r="Q186" s="20"/>
      <c r="R186" s="15"/>
      <c r="S186" s="15"/>
      <c r="T186" s="15"/>
      <c r="U186" s="15"/>
      <c r="V186" s="17"/>
      <c r="W186" s="17"/>
      <c r="X186" s="16"/>
      <c r="Y186" s="20"/>
      <c r="Z186" s="15"/>
      <c r="AA186" s="22"/>
      <c r="AB186" s="90"/>
      <c r="AC186" s="22"/>
      <c r="AD186" s="25"/>
      <c r="AE186" s="25">
        <v>1</v>
      </c>
      <c r="AF186" s="17">
        <v>17</v>
      </c>
      <c r="AG186" s="17">
        <v>16</v>
      </c>
      <c r="AH186" s="17">
        <v>16</v>
      </c>
      <c r="AI186" s="17" t="s">
        <v>168</v>
      </c>
      <c r="AJ186" s="17">
        <v>4</v>
      </c>
      <c r="AK186" s="17">
        <v>3</v>
      </c>
      <c r="AL186" s="17">
        <v>3</v>
      </c>
      <c r="AM186" s="17" t="s">
        <v>168</v>
      </c>
      <c r="AN186" s="17">
        <v>0</v>
      </c>
      <c r="AO186" s="17" t="s">
        <v>169</v>
      </c>
      <c r="AP186" s="17" t="s">
        <v>169</v>
      </c>
      <c r="AQ186" s="17" t="s">
        <v>169</v>
      </c>
      <c r="AR186" s="17">
        <v>-42751</v>
      </c>
      <c r="AS186" s="18"/>
      <c r="AT186" s="24">
        <v>0</v>
      </c>
      <c r="AU186" s="24">
        <v>0</v>
      </c>
      <c r="AV186" s="24">
        <v>0</v>
      </c>
      <c r="AW186" s="24">
        <v>0</v>
      </c>
      <c r="AX186" s="24">
        <v>0</v>
      </c>
      <c r="AY186" s="24">
        <v>0</v>
      </c>
      <c r="AZ186" s="18"/>
    </row>
    <row r="187" spans="1:52" x14ac:dyDescent="0.25">
      <c r="A187" s="16"/>
      <c r="B187" s="16"/>
      <c r="C187" s="65"/>
      <c r="D187" s="15"/>
      <c r="E187" s="15"/>
      <c r="F187" s="15"/>
      <c r="G187" s="16"/>
      <c r="H187" s="16"/>
      <c r="I187" s="16"/>
      <c r="J187" s="22"/>
      <c r="K187" s="86"/>
      <c r="L187" s="16"/>
      <c r="M187" s="15"/>
      <c r="N187" s="15"/>
      <c r="O187" s="20"/>
      <c r="P187" s="15"/>
      <c r="Q187" s="20"/>
      <c r="R187" s="15"/>
      <c r="S187" s="15"/>
      <c r="T187" s="15"/>
      <c r="U187" s="15"/>
      <c r="V187" s="17"/>
      <c r="W187" s="17"/>
      <c r="X187" s="16"/>
      <c r="Y187" s="20"/>
      <c r="Z187" s="15"/>
      <c r="AA187" s="22"/>
      <c r="AB187" s="90"/>
      <c r="AC187" s="22"/>
      <c r="AD187" s="25"/>
      <c r="AE187" s="25">
        <v>1</v>
      </c>
      <c r="AF187" s="17">
        <v>17</v>
      </c>
      <c r="AG187" s="17">
        <v>16</v>
      </c>
      <c r="AH187" s="17">
        <v>16</v>
      </c>
      <c r="AI187" s="17" t="s">
        <v>168</v>
      </c>
      <c r="AJ187" s="17">
        <v>4</v>
      </c>
      <c r="AK187" s="17">
        <v>3</v>
      </c>
      <c r="AL187" s="17">
        <v>3</v>
      </c>
      <c r="AM187" s="17" t="s">
        <v>168</v>
      </c>
      <c r="AN187" s="17">
        <v>0</v>
      </c>
      <c r="AO187" s="17" t="s">
        <v>169</v>
      </c>
      <c r="AP187" s="17" t="s">
        <v>169</v>
      </c>
      <c r="AQ187" s="17" t="s">
        <v>169</v>
      </c>
      <c r="AR187" s="17">
        <v>-42751</v>
      </c>
      <c r="AS187" s="18"/>
      <c r="AT187" s="24">
        <v>0</v>
      </c>
      <c r="AU187" s="24">
        <v>0</v>
      </c>
      <c r="AV187" s="24">
        <v>0</v>
      </c>
      <c r="AW187" s="24">
        <v>0</v>
      </c>
      <c r="AX187" s="24">
        <v>0</v>
      </c>
      <c r="AY187" s="24">
        <v>0</v>
      </c>
      <c r="AZ187" s="18"/>
    </row>
    <row r="188" spans="1:52" x14ac:dyDescent="0.25">
      <c r="A188" s="16"/>
      <c r="B188" s="16"/>
      <c r="C188" s="65"/>
      <c r="D188" s="15"/>
      <c r="E188" s="15"/>
      <c r="F188" s="15"/>
      <c r="G188" s="16"/>
      <c r="H188" s="16"/>
      <c r="I188" s="16"/>
      <c r="J188" s="22"/>
      <c r="K188" s="86"/>
      <c r="L188" s="16"/>
      <c r="M188" s="15"/>
      <c r="N188" s="15"/>
      <c r="O188" s="20"/>
      <c r="P188" s="15"/>
      <c r="Q188" s="20"/>
      <c r="R188" s="15"/>
      <c r="S188" s="15"/>
      <c r="T188" s="15"/>
      <c r="U188" s="15"/>
      <c r="V188" s="17"/>
      <c r="W188" s="17"/>
      <c r="X188" s="16"/>
      <c r="Y188" s="20"/>
      <c r="Z188" s="15"/>
      <c r="AA188" s="22"/>
      <c r="AB188" s="90"/>
      <c r="AC188" s="22"/>
      <c r="AD188" s="25"/>
      <c r="AE188" s="25">
        <v>1</v>
      </c>
      <c r="AF188" s="17">
        <v>17</v>
      </c>
      <c r="AG188" s="17">
        <v>16</v>
      </c>
      <c r="AH188" s="17">
        <v>16</v>
      </c>
      <c r="AI188" s="17" t="s">
        <v>168</v>
      </c>
      <c r="AJ188" s="17">
        <v>4</v>
      </c>
      <c r="AK188" s="17">
        <v>3</v>
      </c>
      <c r="AL188" s="17">
        <v>3</v>
      </c>
      <c r="AM188" s="17" t="s">
        <v>168</v>
      </c>
      <c r="AN188" s="17">
        <v>0</v>
      </c>
      <c r="AO188" s="17" t="s">
        <v>169</v>
      </c>
      <c r="AP188" s="17" t="s">
        <v>169</v>
      </c>
      <c r="AQ188" s="17" t="s">
        <v>169</v>
      </c>
      <c r="AR188" s="17">
        <v>-42751</v>
      </c>
      <c r="AS188" s="18"/>
      <c r="AT188" s="24">
        <v>0</v>
      </c>
      <c r="AU188" s="24">
        <v>0</v>
      </c>
      <c r="AV188" s="24">
        <v>0</v>
      </c>
      <c r="AW188" s="24">
        <v>0</v>
      </c>
      <c r="AX188" s="24">
        <v>0</v>
      </c>
      <c r="AY188" s="24">
        <v>0</v>
      </c>
      <c r="AZ188" s="18"/>
    </row>
    <row r="189" spans="1:52" x14ac:dyDescent="0.25">
      <c r="A189" s="16"/>
      <c r="B189" s="16"/>
      <c r="C189" s="65"/>
      <c r="D189" s="15"/>
      <c r="E189" s="15"/>
      <c r="F189" s="15"/>
      <c r="G189" s="16"/>
      <c r="H189" s="16"/>
      <c r="I189" s="16"/>
      <c r="J189" s="22"/>
      <c r="K189" s="86"/>
      <c r="L189" s="16"/>
      <c r="M189" s="15"/>
      <c r="N189" s="15"/>
      <c r="O189" s="20"/>
      <c r="P189" s="15"/>
      <c r="Q189" s="20"/>
      <c r="R189" s="15"/>
      <c r="S189" s="15"/>
      <c r="T189" s="15"/>
      <c r="U189" s="15"/>
      <c r="V189" s="17"/>
      <c r="W189" s="17"/>
      <c r="X189" s="16"/>
      <c r="Y189" s="20"/>
      <c r="Z189" s="15"/>
      <c r="AA189" s="22"/>
      <c r="AB189" s="90"/>
      <c r="AC189" s="22"/>
      <c r="AD189" s="25"/>
      <c r="AE189" s="25">
        <v>1</v>
      </c>
      <c r="AF189" s="17">
        <v>17</v>
      </c>
      <c r="AG189" s="17">
        <v>16</v>
      </c>
      <c r="AH189" s="17">
        <v>16</v>
      </c>
      <c r="AI189" s="17" t="s">
        <v>168</v>
      </c>
      <c r="AJ189" s="17">
        <v>4</v>
      </c>
      <c r="AK189" s="17">
        <v>3</v>
      </c>
      <c r="AL189" s="17">
        <v>3</v>
      </c>
      <c r="AM189" s="17" t="s">
        <v>168</v>
      </c>
      <c r="AN189" s="17">
        <v>0</v>
      </c>
      <c r="AO189" s="17" t="s">
        <v>169</v>
      </c>
      <c r="AP189" s="17" t="s">
        <v>169</v>
      </c>
      <c r="AQ189" s="17" t="s">
        <v>169</v>
      </c>
      <c r="AR189" s="17">
        <v>-42751</v>
      </c>
      <c r="AS189" s="18"/>
      <c r="AT189" s="24">
        <v>0</v>
      </c>
      <c r="AU189" s="24">
        <v>0</v>
      </c>
      <c r="AV189" s="24">
        <v>0</v>
      </c>
      <c r="AW189" s="24">
        <v>0</v>
      </c>
      <c r="AX189" s="24">
        <v>0</v>
      </c>
      <c r="AY189" s="24">
        <v>0</v>
      </c>
      <c r="AZ189" s="18"/>
    </row>
    <row r="190" spans="1:52" x14ac:dyDescent="0.25">
      <c r="A190" s="16"/>
      <c r="B190" s="16"/>
      <c r="C190" s="65"/>
      <c r="D190" s="15"/>
      <c r="E190" s="15"/>
      <c r="F190" s="15"/>
      <c r="G190" s="16"/>
      <c r="H190" s="16"/>
      <c r="I190" s="16"/>
      <c r="J190" s="22"/>
      <c r="K190" s="86"/>
      <c r="L190" s="16"/>
      <c r="M190" s="15"/>
      <c r="N190" s="15"/>
      <c r="O190" s="20"/>
      <c r="P190" s="15"/>
      <c r="Q190" s="20"/>
      <c r="R190" s="15"/>
      <c r="S190" s="15"/>
      <c r="T190" s="15"/>
      <c r="U190" s="15"/>
      <c r="V190" s="17"/>
      <c r="W190" s="17"/>
      <c r="X190" s="16"/>
      <c r="Y190" s="20"/>
      <c r="Z190" s="15"/>
      <c r="AA190" s="22"/>
      <c r="AB190" s="90"/>
      <c r="AC190" s="22"/>
      <c r="AD190" s="25"/>
      <c r="AE190" s="25">
        <v>1</v>
      </c>
      <c r="AF190" s="17">
        <v>17</v>
      </c>
      <c r="AG190" s="17">
        <v>16</v>
      </c>
      <c r="AH190" s="17">
        <v>16</v>
      </c>
      <c r="AI190" s="17" t="s">
        <v>168</v>
      </c>
      <c r="AJ190" s="17">
        <v>4</v>
      </c>
      <c r="AK190" s="17">
        <v>3</v>
      </c>
      <c r="AL190" s="17">
        <v>3</v>
      </c>
      <c r="AM190" s="17" t="s">
        <v>168</v>
      </c>
      <c r="AN190" s="17">
        <v>0</v>
      </c>
      <c r="AO190" s="17" t="s">
        <v>169</v>
      </c>
      <c r="AP190" s="17" t="s">
        <v>169</v>
      </c>
      <c r="AQ190" s="17" t="s">
        <v>169</v>
      </c>
      <c r="AR190" s="17">
        <v>-42751</v>
      </c>
      <c r="AS190" s="18"/>
      <c r="AT190" s="24">
        <v>0</v>
      </c>
      <c r="AU190" s="24">
        <v>0</v>
      </c>
      <c r="AV190" s="24">
        <v>0</v>
      </c>
      <c r="AW190" s="24">
        <v>0</v>
      </c>
      <c r="AX190" s="24">
        <v>0</v>
      </c>
      <c r="AY190" s="24">
        <v>0</v>
      </c>
      <c r="AZ190" s="18"/>
    </row>
    <row r="191" spans="1:52" x14ac:dyDescent="0.25">
      <c r="A191" s="16"/>
      <c r="B191" s="16"/>
      <c r="C191" s="65"/>
      <c r="D191" s="15"/>
      <c r="E191" s="15"/>
      <c r="F191" s="15"/>
      <c r="G191" s="16"/>
      <c r="H191" s="16"/>
      <c r="I191" s="16"/>
      <c r="J191" s="22"/>
      <c r="K191" s="86"/>
      <c r="L191" s="16"/>
      <c r="M191" s="15"/>
      <c r="N191" s="15"/>
      <c r="O191" s="20"/>
      <c r="P191" s="15"/>
      <c r="Q191" s="20"/>
      <c r="R191" s="15"/>
      <c r="S191" s="15"/>
      <c r="T191" s="15"/>
      <c r="U191" s="15"/>
      <c r="V191" s="17"/>
      <c r="W191" s="17"/>
      <c r="X191" s="16"/>
      <c r="Y191" s="20"/>
      <c r="Z191" s="15"/>
      <c r="AA191" s="22"/>
      <c r="AB191" s="90"/>
      <c r="AC191" s="22"/>
      <c r="AD191" s="25"/>
      <c r="AE191" s="25">
        <v>1</v>
      </c>
      <c r="AF191" s="17">
        <v>17</v>
      </c>
      <c r="AG191" s="17">
        <v>16</v>
      </c>
      <c r="AH191" s="17">
        <v>16</v>
      </c>
      <c r="AI191" s="17" t="s">
        <v>168</v>
      </c>
      <c r="AJ191" s="17">
        <v>4</v>
      </c>
      <c r="AK191" s="17">
        <v>3</v>
      </c>
      <c r="AL191" s="17">
        <v>3</v>
      </c>
      <c r="AM191" s="17" t="s">
        <v>168</v>
      </c>
      <c r="AN191" s="17">
        <v>0</v>
      </c>
      <c r="AO191" s="17" t="s">
        <v>169</v>
      </c>
      <c r="AP191" s="17" t="s">
        <v>169</v>
      </c>
      <c r="AQ191" s="17" t="s">
        <v>169</v>
      </c>
      <c r="AR191" s="17">
        <v>-42751</v>
      </c>
      <c r="AS191" s="18"/>
      <c r="AT191" s="24">
        <v>0</v>
      </c>
      <c r="AU191" s="24">
        <v>0</v>
      </c>
      <c r="AV191" s="24">
        <v>0</v>
      </c>
      <c r="AW191" s="24">
        <v>0</v>
      </c>
      <c r="AX191" s="24">
        <v>0</v>
      </c>
      <c r="AY191" s="24">
        <v>0</v>
      </c>
      <c r="AZ191" s="18"/>
    </row>
    <row r="192" spans="1:52" x14ac:dyDescent="0.25">
      <c r="A192" s="16"/>
      <c r="B192" s="16"/>
      <c r="C192" s="65"/>
      <c r="D192" s="15"/>
      <c r="E192" s="15"/>
      <c r="F192" s="15"/>
      <c r="G192" s="16"/>
      <c r="H192" s="16"/>
      <c r="I192" s="16"/>
      <c r="J192" s="22"/>
      <c r="K192" s="86"/>
      <c r="L192" s="16"/>
      <c r="M192" s="15"/>
      <c r="N192" s="15"/>
      <c r="O192" s="20"/>
      <c r="P192" s="15"/>
      <c r="Q192" s="20"/>
      <c r="R192" s="15"/>
      <c r="S192" s="15"/>
      <c r="T192" s="15"/>
      <c r="U192" s="15"/>
      <c r="V192" s="17"/>
      <c r="W192" s="17"/>
      <c r="X192" s="16"/>
      <c r="Y192" s="20"/>
      <c r="Z192" s="15"/>
      <c r="AA192" s="22"/>
      <c r="AB192" s="90"/>
      <c r="AC192" s="22"/>
      <c r="AD192" s="25"/>
      <c r="AE192" s="25">
        <v>1</v>
      </c>
      <c r="AF192" s="17">
        <v>17</v>
      </c>
      <c r="AG192" s="17">
        <v>16</v>
      </c>
      <c r="AH192" s="17">
        <v>16</v>
      </c>
      <c r="AI192" s="17" t="s">
        <v>168</v>
      </c>
      <c r="AJ192" s="17">
        <v>4</v>
      </c>
      <c r="AK192" s="17">
        <v>3</v>
      </c>
      <c r="AL192" s="17">
        <v>3</v>
      </c>
      <c r="AM192" s="17" t="s">
        <v>168</v>
      </c>
      <c r="AN192" s="17">
        <v>0</v>
      </c>
      <c r="AO192" s="17" t="s">
        <v>169</v>
      </c>
      <c r="AP192" s="17" t="s">
        <v>169</v>
      </c>
      <c r="AQ192" s="17" t="s">
        <v>169</v>
      </c>
      <c r="AR192" s="17">
        <v>-42751</v>
      </c>
      <c r="AS192" s="18"/>
      <c r="AT192" s="24">
        <v>0</v>
      </c>
      <c r="AU192" s="24">
        <v>0</v>
      </c>
      <c r="AV192" s="24">
        <v>0</v>
      </c>
      <c r="AW192" s="24">
        <v>0</v>
      </c>
      <c r="AX192" s="24">
        <v>0</v>
      </c>
      <c r="AY192" s="24">
        <v>0</v>
      </c>
      <c r="AZ192" s="18"/>
    </row>
    <row r="193" spans="1:52" x14ac:dyDescent="0.25">
      <c r="A193" s="16"/>
      <c r="B193" s="16"/>
      <c r="C193" s="65"/>
      <c r="D193" s="15"/>
      <c r="E193" s="15"/>
      <c r="F193" s="15"/>
      <c r="G193" s="16"/>
      <c r="H193" s="16"/>
      <c r="I193" s="16"/>
      <c r="J193" s="22"/>
      <c r="K193" s="86"/>
      <c r="L193" s="16"/>
      <c r="M193" s="15"/>
      <c r="N193" s="15"/>
      <c r="O193" s="20"/>
      <c r="P193" s="15"/>
      <c r="Q193" s="20"/>
      <c r="R193" s="15"/>
      <c r="S193" s="15"/>
      <c r="T193" s="15"/>
      <c r="U193" s="15"/>
      <c r="V193" s="17"/>
      <c r="W193" s="17"/>
      <c r="X193" s="16"/>
      <c r="Y193" s="20"/>
      <c r="Z193" s="15"/>
      <c r="AA193" s="22"/>
      <c r="AB193" s="90"/>
      <c r="AC193" s="22"/>
      <c r="AD193" s="25"/>
      <c r="AE193" s="25">
        <v>1</v>
      </c>
      <c r="AF193" s="17">
        <v>17</v>
      </c>
      <c r="AG193" s="17">
        <v>16</v>
      </c>
      <c r="AH193" s="17">
        <v>16</v>
      </c>
      <c r="AI193" s="17" t="s">
        <v>168</v>
      </c>
      <c r="AJ193" s="17">
        <v>4</v>
      </c>
      <c r="AK193" s="17">
        <v>3</v>
      </c>
      <c r="AL193" s="17">
        <v>3</v>
      </c>
      <c r="AM193" s="17" t="s">
        <v>168</v>
      </c>
      <c r="AN193" s="17">
        <v>0</v>
      </c>
      <c r="AO193" s="17" t="s">
        <v>169</v>
      </c>
      <c r="AP193" s="17" t="s">
        <v>169</v>
      </c>
      <c r="AQ193" s="17" t="s">
        <v>169</v>
      </c>
      <c r="AR193" s="17">
        <v>-42751</v>
      </c>
      <c r="AS193" s="18"/>
      <c r="AT193" s="24">
        <v>0</v>
      </c>
      <c r="AU193" s="24">
        <v>0</v>
      </c>
      <c r="AV193" s="24">
        <v>0</v>
      </c>
      <c r="AW193" s="24">
        <v>0</v>
      </c>
      <c r="AX193" s="24">
        <v>0</v>
      </c>
      <c r="AY193" s="24">
        <v>0</v>
      </c>
      <c r="AZ193" s="18"/>
    </row>
    <row r="194" spans="1:52" x14ac:dyDescent="0.25">
      <c r="A194" s="16"/>
      <c r="B194" s="16"/>
      <c r="C194" s="65"/>
      <c r="D194" s="15"/>
      <c r="E194" s="15"/>
      <c r="F194" s="15"/>
      <c r="G194" s="16"/>
      <c r="H194" s="16"/>
      <c r="I194" s="16"/>
      <c r="J194" s="22"/>
      <c r="K194" s="86"/>
      <c r="L194" s="16"/>
      <c r="M194" s="15"/>
      <c r="N194" s="15"/>
      <c r="O194" s="20"/>
      <c r="P194" s="15"/>
      <c r="Q194" s="20"/>
      <c r="R194" s="15"/>
      <c r="S194" s="15"/>
      <c r="T194" s="15"/>
      <c r="U194" s="15"/>
      <c r="V194" s="17"/>
      <c r="W194" s="17"/>
      <c r="X194" s="16"/>
      <c r="Y194" s="20"/>
      <c r="Z194" s="15"/>
      <c r="AA194" s="22"/>
      <c r="AB194" s="90"/>
      <c r="AC194" s="22"/>
      <c r="AD194" s="25"/>
      <c r="AE194" s="25">
        <v>1</v>
      </c>
      <c r="AF194" s="17">
        <v>17</v>
      </c>
      <c r="AG194" s="17">
        <v>16</v>
      </c>
      <c r="AH194" s="17">
        <v>16</v>
      </c>
      <c r="AI194" s="17" t="s">
        <v>168</v>
      </c>
      <c r="AJ194" s="17">
        <v>4</v>
      </c>
      <c r="AK194" s="17">
        <v>3</v>
      </c>
      <c r="AL194" s="17">
        <v>3</v>
      </c>
      <c r="AM194" s="17" t="s">
        <v>168</v>
      </c>
      <c r="AN194" s="17">
        <v>0</v>
      </c>
      <c r="AO194" s="17" t="s">
        <v>169</v>
      </c>
      <c r="AP194" s="17" t="s">
        <v>169</v>
      </c>
      <c r="AQ194" s="17" t="s">
        <v>169</v>
      </c>
      <c r="AR194" s="17">
        <v>-42751</v>
      </c>
      <c r="AS194" s="18"/>
      <c r="AT194" s="24">
        <v>0</v>
      </c>
      <c r="AU194" s="24">
        <v>0</v>
      </c>
      <c r="AV194" s="24">
        <v>0</v>
      </c>
      <c r="AW194" s="24">
        <v>0</v>
      </c>
      <c r="AX194" s="24">
        <v>0</v>
      </c>
      <c r="AY194" s="24">
        <v>0</v>
      </c>
      <c r="AZ194" s="18"/>
    </row>
    <row r="195" spans="1:52" x14ac:dyDescent="0.25">
      <c r="A195" s="16"/>
      <c r="B195" s="16"/>
      <c r="C195" s="65"/>
      <c r="D195" s="15"/>
      <c r="E195" s="15"/>
      <c r="F195" s="15"/>
      <c r="G195" s="16"/>
      <c r="H195" s="16"/>
      <c r="I195" s="16"/>
      <c r="J195" s="22"/>
      <c r="K195" s="86"/>
      <c r="L195" s="16"/>
      <c r="M195" s="15"/>
      <c r="N195" s="15"/>
      <c r="O195" s="20"/>
      <c r="P195" s="15"/>
      <c r="Q195" s="20"/>
      <c r="R195" s="15"/>
      <c r="S195" s="15"/>
      <c r="T195" s="15"/>
      <c r="U195" s="15"/>
      <c r="V195" s="17"/>
      <c r="W195" s="17"/>
      <c r="X195" s="16"/>
      <c r="Y195" s="20"/>
      <c r="Z195" s="15"/>
      <c r="AA195" s="22"/>
      <c r="AB195" s="90"/>
      <c r="AC195" s="22"/>
      <c r="AD195" s="25"/>
      <c r="AE195" s="25">
        <v>1</v>
      </c>
      <c r="AF195" s="17">
        <v>17</v>
      </c>
      <c r="AG195" s="17">
        <v>16</v>
      </c>
      <c r="AH195" s="17">
        <v>16</v>
      </c>
      <c r="AI195" s="17" t="s">
        <v>168</v>
      </c>
      <c r="AJ195" s="17">
        <v>4</v>
      </c>
      <c r="AK195" s="17">
        <v>3</v>
      </c>
      <c r="AL195" s="17">
        <v>3</v>
      </c>
      <c r="AM195" s="17" t="s">
        <v>168</v>
      </c>
      <c r="AN195" s="17">
        <v>0</v>
      </c>
      <c r="AO195" s="17" t="s">
        <v>169</v>
      </c>
      <c r="AP195" s="17" t="s">
        <v>169</v>
      </c>
      <c r="AQ195" s="17" t="s">
        <v>169</v>
      </c>
      <c r="AR195" s="17">
        <v>-42751</v>
      </c>
      <c r="AS195" s="18"/>
      <c r="AT195" s="24">
        <v>0</v>
      </c>
      <c r="AU195" s="24">
        <v>0</v>
      </c>
      <c r="AV195" s="24">
        <v>0</v>
      </c>
      <c r="AW195" s="24">
        <v>0</v>
      </c>
      <c r="AX195" s="24">
        <v>0</v>
      </c>
      <c r="AY195" s="24">
        <v>0</v>
      </c>
      <c r="AZ195" s="18"/>
    </row>
    <row r="196" spans="1:52" x14ac:dyDescent="0.25">
      <c r="A196" s="16"/>
      <c r="B196" s="16"/>
      <c r="C196" s="65"/>
      <c r="D196" s="15"/>
      <c r="E196" s="15"/>
      <c r="F196" s="15"/>
      <c r="G196" s="16"/>
      <c r="H196" s="16"/>
      <c r="I196" s="16"/>
      <c r="J196" s="22"/>
      <c r="K196" s="86"/>
      <c r="L196" s="16"/>
      <c r="M196" s="15"/>
      <c r="N196" s="15"/>
      <c r="O196" s="20"/>
      <c r="P196" s="15"/>
      <c r="Q196" s="20"/>
      <c r="R196" s="15"/>
      <c r="S196" s="15"/>
      <c r="T196" s="15"/>
      <c r="U196" s="15"/>
      <c r="V196" s="17"/>
      <c r="W196" s="17"/>
      <c r="X196" s="16"/>
      <c r="Y196" s="20"/>
      <c r="Z196" s="15"/>
      <c r="AA196" s="22"/>
      <c r="AB196" s="90"/>
      <c r="AC196" s="22"/>
      <c r="AD196" s="25"/>
      <c r="AE196" s="25">
        <v>1</v>
      </c>
      <c r="AF196" s="17">
        <v>17</v>
      </c>
      <c r="AG196" s="17">
        <v>16</v>
      </c>
      <c r="AH196" s="17">
        <v>16</v>
      </c>
      <c r="AI196" s="17" t="s">
        <v>168</v>
      </c>
      <c r="AJ196" s="17">
        <v>4</v>
      </c>
      <c r="AK196" s="17">
        <v>3</v>
      </c>
      <c r="AL196" s="17">
        <v>3</v>
      </c>
      <c r="AM196" s="17" t="s">
        <v>168</v>
      </c>
      <c r="AN196" s="17">
        <v>0</v>
      </c>
      <c r="AO196" s="17" t="s">
        <v>169</v>
      </c>
      <c r="AP196" s="17" t="s">
        <v>169</v>
      </c>
      <c r="AQ196" s="17" t="s">
        <v>169</v>
      </c>
      <c r="AR196" s="17">
        <v>-42751</v>
      </c>
      <c r="AS196" s="18"/>
      <c r="AT196" s="24">
        <v>0</v>
      </c>
      <c r="AU196" s="24">
        <v>0</v>
      </c>
      <c r="AV196" s="24">
        <v>0</v>
      </c>
      <c r="AW196" s="24">
        <v>0</v>
      </c>
      <c r="AX196" s="24">
        <v>0</v>
      </c>
      <c r="AY196" s="24">
        <v>0</v>
      </c>
      <c r="AZ196" s="18"/>
    </row>
    <row r="197" spans="1:52" x14ac:dyDescent="0.25">
      <c r="A197" s="16"/>
      <c r="B197" s="16"/>
      <c r="C197" s="65"/>
      <c r="D197" s="15"/>
      <c r="E197" s="15"/>
      <c r="F197" s="15"/>
      <c r="G197" s="16"/>
      <c r="H197" s="16"/>
      <c r="I197" s="16"/>
      <c r="J197" s="22"/>
      <c r="K197" s="86"/>
      <c r="L197" s="16"/>
      <c r="M197" s="15"/>
      <c r="N197" s="15"/>
      <c r="O197" s="20"/>
      <c r="P197" s="15"/>
      <c r="Q197" s="20"/>
      <c r="R197" s="15"/>
      <c r="S197" s="15"/>
      <c r="T197" s="15"/>
      <c r="U197" s="15"/>
      <c r="V197" s="17"/>
      <c r="W197" s="17"/>
      <c r="X197" s="16"/>
      <c r="Y197" s="20"/>
      <c r="Z197" s="15"/>
      <c r="AA197" s="22"/>
      <c r="AB197" s="90"/>
      <c r="AC197" s="22"/>
      <c r="AD197" s="25"/>
      <c r="AE197" s="25">
        <v>1</v>
      </c>
      <c r="AF197" s="17">
        <v>17</v>
      </c>
      <c r="AG197" s="17">
        <v>16</v>
      </c>
      <c r="AH197" s="17">
        <v>16</v>
      </c>
      <c r="AI197" s="17" t="s">
        <v>168</v>
      </c>
      <c r="AJ197" s="17">
        <v>4</v>
      </c>
      <c r="AK197" s="17">
        <v>3</v>
      </c>
      <c r="AL197" s="17">
        <v>3</v>
      </c>
      <c r="AM197" s="17" t="s">
        <v>168</v>
      </c>
      <c r="AN197" s="17">
        <v>0</v>
      </c>
      <c r="AO197" s="17" t="s">
        <v>169</v>
      </c>
      <c r="AP197" s="17" t="s">
        <v>169</v>
      </c>
      <c r="AQ197" s="17" t="s">
        <v>169</v>
      </c>
      <c r="AR197" s="17">
        <v>-42751</v>
      </c>
      <c r="AS197" s="18"/>
      <c r="AT197" s="24">
        <v>0</v>
      </c>
      <c r="AU197" s="24">
        <v>0</v>
      </c>
      <c r="AV197" s="24">
        <v>0</v>
      </c>
      <c r="AW197" s="24">
        <v>0</v>
      </c>
      <c r="AX197" s="24">
        <v>0</v>
      </c>
      <c r="AY197" s="24">
        <v>0</v>
      </c>
      <c r="AZ197" s="18"/>
    </row>
    <row r="198" spans="1:52" x14ac:dyDescent="0.25">
      <c r="A198" s="16"/>
      <c r="B198" s="16"/>
      <c r="C198" s="65"/>
      <c r="D198" s="15"/>
      <c r="E198" s="15"/>
      <c r="F198" s="15"/>
      <c r="G198" s="16"/>
      <c r="H198" s="16"/>
      <c r="I198" s="16"/>
      <c r="J198" s="22"/>
      <c r="K198" s="86"/>
      <c r="L198" s="16"/>
      <c r="M198" s="15"/>
      <c r="N198" s="15"/>
      <c r="O198" s="20"/>
      <c r="P198" s="15"/>
      <c r="Q198" s="20"/>
      <c r="R198" s="15"/>
      <c r="S198" s="15"/>
      <c r="T198" s="15"/>
      <c r="U198" s="15"/>
      <c r="V198" s="17"/>
      <c r="W198" s="17"/>
      <c r="X198" s="16"/>
      <c r="Y198" s="20"/>
      <c r="Z198" s="15"/>
      <c r="AA198" s="22"/>
      <c r="AB198" s="90"/>
      <c r="AC198" s="22"/>
      <c r="AD198" s="25"/>
      <c r="AE198" s="25">
        <v>1</v>
      </c>
      <c r="AF198" s="17">
        <v>17</v>
      </c>
      <c r="AG198" s="17">
        <v>16</v>
      </c>
      <c r="AH198" s="17">
        <v>16</v>
      </c>
      <c r="AI198" s="17" t="s">
        <v>168</v>
      </c>
      <c r="AJ198" s="17">
        <v>4</v>
      </c>
      <c r="AK198" s="17">
        <v>3</v>
      </c>
      <c r="AL198" s="17">
        <v>3</v>
      </c>
      <c r="AM198" s="17" t="s">
        <v>168</v>
      </c>
      <c r="AN198" s="17">
        <v>0</v>
      </c>
      <c r="AO198" s="17" t="s">
        <v>169</v>
      </c>
      <c r="AP198" s="17" t="s">
        <v>169</v>
      </c>
      <c r="AQ198" s="17" t="s">
        <v>169</v>
      </c>
      <c r="AR198" s="17">
        <v>-42751</v>
      </c>
      <c r="AS198" s="18"/>
      <c r="AT198" s="24">
        <v>0</v>
      </c>
      <c r="AU198" s="24">
        <v>0</v>
      </c>
      <c r="AV198" s="24">
        <v>0</v>
      </c>
      <c r="AW198" s="24">
        <v>0</v>
      </c>
      <c r="AX198" s="24">
        <v>0</v>
      </c>
      <c r="AY198" s="24">
        <v>0</v>
      </c>
      <c r="AZ198" s="18"/>
    </row>
    <row r="199" spans="1:52" x14ac:dyDescent="0.25">
      <c r="A199" s="16"/>
      <c r="B199" s="16"/>
      <c r="C199" s="65"/>
      <c r="D199" s="15"/>
      <c r="E199" s="15"/>
      <c r="F199" s="15"/>
      <c r="G199" s="16"/>
      <c r="H199" s="16"/>
      <c r="I199" s="16"/>
      <c r="J199" s="22"/>
      <c r="K199" s="86"/>
      <c r="L199" s="16"/>
      <c r="M199" s="15"/>
      <c r="N199" s="15"/>
      <c r="O199" s="20"/>
      <c r="P199" s="15"/>
      <c r="Q199" s="20"/>
      <c r="R199" s="15"/>
      <c r="S199" s="15"/>
      <c r="T199" s="15"/>
      <c r="U199" s="15"/>
      <c r="V199" s="17"/>
      <c r="W199" s="17"/>
      <c r="X199" s="16"/>
      <c r="Y199" s="20"/>
      <c r="Z199" s="15"/>
      <c r="AA199" s="22"/>
      <c r="AB199" s="90"/>
      <c r="AC199" s="22"/>
      <c r="AD199" s="25"/>
      <c r="AE199" s="25">
        <v>1</v>
      </c>
      <c r="AF199" s="17">
        <v>17</v>
      </c>
      <c r="AG199" s="17">
        <v>16</v>
      </c>
      <c r="AH199" s="17">
        <v>16</v>
      </c>
      <c r="AI199" s="17" t="s">
        <v>168</v>
      </c>
      <c r="AJ199" s="17">
        <v>4</v>
      </c>
      <c r="AK199" s="17">
        <v>3</v>
      </c>
      <c r="AL199" s="17">
        <v>3</v>
      </c>
      <c r="AM199" s="17" t="s">
        <v>168</v>
      </c>
      <c r="AN199" s="17">
        <v>0</v>
      </c>
      <c r="AO199" s="17" t="s">
        <v>169</v>
      </c>
      <c r="AP199" s="17" t="s">
        <v>169</v>
      </c>
      <c r="AQ199" s="17" t="s">
        <v>169</v>
      </c>
      <c r="AR199" s="17">
        <v>-42751</v>
      </c>
      <c r="AS199" s="18"/>
      <c r="AT199" s="24">
        <v>0</v>
      </c>
      <c r="AU199" s="24">
        <v>0</v>
      </c>
      <c r="AV199" s="24">
        <v>0</v>
      </c>
      <c r="AW199" s="24">
        <v>0</v>
      </c>
      <c r="AX199" s="24">
        <v>0</v>
      </c>
      <c r="AY199" s="24">
        <v>0</v>
      </c>
      <c r="AZ199" s="18"/>
    </row>
    <row r="200" spans="1:52" x14ac:dyDescent="0.25">
      <c r="A200" s="16"/>
      <c r="B200" s="16"/>
      <c r="C200" s="65"/>
      <c r="D200" s="15"/>
      <c r="E200" s="15"/>
      <c r="F200" s="15"/>
      <c r="G200" s="16"/>
      <c r="H200" s="16"/>
      <c r="I200" s="16"/>
      <c r="J200" s="16"/>
      <c r="K200" s="86"/>
      <c r="L200" s="16"/>
      <c r="M200" s="15"/>
      <c r="N200" s="15"/>
      <c r="O200" s="20"/>
      <c r="P200" s="15"/>
      <c r="Q200" s="20"/>
      <c r="R200" s="15"/>
      <c r="S200" s="15"/>
      <c r="T200" s="15"/>
      <c r="U200" s="15"/>
      <c r="V200" s="17"/>
      <c r="W200" s="17"/>
      <c r="X200" s="16"/>
      <c r="Y200" s="20"/>
      <c r="Z200" s="15"/>
      <c r="AA200" s="22"/>
      <c r="AB200" s="90"/>
      <c r="AC200" s="22"/>
      <c r="AD200" s="25"/>
      <c r="AE200" s="25">
        <v>1</v>
      </c>
      <c r="AF200" s="17">
        <v>17</v>
      </c>
      <c r="AG200" s="17">
        <v>16</v>
      </c>
      <c r="AH200" s="17">
        <v>16</v>
      </c>
      <c r="AI200" s="17" t="s">
        <v>168</v>
      </c>
      <c r="AJ200" s="17">
        <v>4</v>
      </c>
      <c r="AK200" s="17">
        <v>3</v>
      </c>
      <c r="AL200" s="17">
        <v>3</v>
      </c>
      <c r="AM200" s="17" t="s">
        <v>168</v>
      </c>
      <c r="AN200" s="17">
        <v>0</v>
      </c>
      <c r="AO200" s="17" t="s">
        <v>169</v>
      </c>
      <c r="AP200" s="17" t="s">
        <v>169</v>
      </c>
      <c r="AQ200" s="17" t="s">
        <v>169</v>
      </c>
      <c r="AR200" s="17">
        <v>-42751</v>
      </c>
      <c r="AS200" s="18"/>
      <c r="AT200" s="24">
        <v>0</v>
      </c>
      <c r="AU200" s="24">
        <v>0</v>
      </c>
      <c r="AV200" s="24">
        <v>0</v>
      </c>
      <c r="AW200" s="24">
        <v>0</v>
      </c>
      <c r="AX200" s="24">
        <v>0</v>
      </c>
      <c r="AY200" s="24">
        <v>0</v>
      </c>
      <c r="AZ200" s="18"/>
    </row>
    <row r="201" spans="1:52" x14ac:dyDescent="0.25">
      <c r="A201" s="16"/>
      <c r="B201" s="16"/>
      <c r="C201" s="65"/>
      <c r="D201" s="15"/>
      <c r="E201" s="15"/>
      <c r="F201" s="15"/>
      <c r="G201" s="16"/>
      <c r="H201" s="16"/>
      <c r="I201" s="16"/>
      <c r="J201" s="16"/>
      <c r="K201" s="86"/>
      <c r="L201" s="16"/>
      <c r="M201" s="15"/>
      <c r="N201" s="15"/>
      <c r="O201" s="20"/>
      <c r="P201" s="15"/>
      <c r="Q201" s="20"/>
      <c r="R201" s="15"/>
      <c r="S201" s="15"/>
      <c r="T201" s="15"/>
      <c r="U201" s="15"/>
      <c r="V201" s="17"/>
      <c r="W201" s="17"/>
      <c r="X201" s="16"/>
      <c r="Y201" s="20"/>
      <c r="Z201" s="15"/>
      <c r="AA201" s="22"/>
      <c r="AB201" s="90"/>
      <c r="AC201" s="22"/>
      <c r="AD201" s="25"/>
      <c r="AE201" s="25" t="str">
        <f t="shared" ref="AE201:AE259" si="0">IF(F201="","",IF(F201="PMR",3,1))</f>
        <v/>
      </c>
      <c r="AF201" s="17" t="str">
        <f t="shared" ref="AF201:AF259" ca="1" si="1">IF(J201="","",IF(O201="",TODAY()-J201,O201-J201))</f>
        <v/>
      </c>
      <c r="AG201" s="17" t="str">
        <f t="shared" ref="AG201:AG259" si="2">IF(AE201="","",IF(AF201="","",AF201-AE201))</f>
        <v/>
      </c>
      <c r="AH201" s="17" t="str">
        <f t="shared" ref="AH201:AH259" si="3">IF(AG201&lt;0,0,AG201)</f>
        <v/>
      </c>
      <c r="AI201" s="17" t="str">
        <f t="shared" ref="AI201:AI259" ca="1" si="4">IF(AF201="","",IF(F201="","",IF(AG201&lt;1,"WITHIN SLA","EXCEEDED SLA")))</f>
        <v/>
      </c>
      <c r="AJ201" s="17" t="str">
        <f t="shared" ref="AJ201:AJ214" ca="1" si="5">IF(O201="","",IF(AA201="",TODAY()-O201,AA201-O201))</f>
        <v/>
      </c>
      <c r="AK201" s="17" t="str">
        <f t="shared" ref="AK201:AK214" si="6">IF(O201="","",IF(W201="WFM",AJ201,AJ201-1))</f>
        <v/>
      </c>
      <c r="AL201" s="17" t="str">
        <f t="shared" ref="AL201:AL214" si="7">IF(AK201&lt;0,0,AK201)</f>
        <v/>
      </c>
      <c r="AM201" s="17" t="str">
        <f t="shared" ref="AM201:AM214" si="8">IF(O201="","",IF(W201="WFM","WFM SLA",IF(AK201&gt;0,"EXCEEDED SLA","WITHIN SLA")))</f>
        <v/>
      </c>
      <c r="AN201" s="17">
        <f t="shared" ref="AN201:AN214" si="9">AC201-AA201</f>
        <v>0</v>
      </c>
      <c r="AO201" s="17" t="str">
        <f t="shared" ref="AO201:AO214" ca="1" si="10">IF(AA201="","",IF(AC201="",TODAY()-AA201-V201,AC201-AA201-V201))</f>
        <v/>
      </c>
      <c r="AP201" s="17" t="str">
        <f t="shared" ref="AP201:AP214" ca="1" si="11">IF(AO201&lt;=0,0,AO201)</f>
        <v/>
      </c>
      <c r="AQ201" s="17" t="str">
        <f t="shared" ref="AQ201:AQ214" si="12">IF(AA201="","",IF(AP201&lt;1,"WITHIN SLA","EXCEEDED SLA"))</f>
        <v/>
      </c>
      <c r="AR201" s="17" t="str">
        <f t="shared" ref="AR201:AR214" ca="1" si="13">IF(B201="","",IF(L201="DONE",AC201-J201,TODAY()-J201))</f>
        <v/>
      </c>
      <c r="AS201" s="18"/>
      <c r="AT201" s="24">
        <f t="shared" ref="AT201:AT263" si="14">IF(AND(L201="DONE",AC201&gt;0,AQ201="WITHIN SLA"),1,0)</f>
        <v>0</v>
      </c>
      <c r="AU201" s="24">
        <f t="shared" ref="AU201:AU263" si="15">IF(AND(L201="DONE",AC201&gt;0,AQ201="EXCEEDED SLA"),1,0)</f>
        <v>0</v>
      </c>
      <c r="AV201" s="24">
        <f t="shared" ref="AV201:AV263" si="16">IF(AND(L201="PENDING",M201="AWAITING FROM CSMP"),1,0)</f>
        <v>0</v>
      </c>
      <c r="AW201" s="24">
        <f t="shared" ref="AW201:AW263" si="17">IF(AND(L201="PENDING",M201="WATO ON-HAND",O201&gt;0,W201="WATO",AA201=0),1,0)</f>
        <v>0</v>
      </c>
      <c r="AX201" s="24">
        <f t="shared" ref="AX201:AX263" si="18">IF(AND(L201="PENDING",M201="SUBMITTED TO WFM",O201&gt;0,W201="WFM",AA201=0),1,0)</f>
        <v>0</v>
      </c>
      <c r="AY201" s="24">
        <f t="shared" ref="AY201:AY263" si="19">IF(AND(L201="PENDING",AA201&gt;0),1,0)</f>
        <v>0</v>
      </c>
      <c r="AZ201" s="18"/>
    </row>
    <row r="202" spans="1:52" x14ac:dyDescent="0.25">
      <c r="A202" s="16"/>
      <c r="B202" s="16"/>
      <c r="C202" s="65"/>
      <c r="D202" s="15"/>
      <c r="E202" s="15"/>
      <c r="F202" s="15"/>
      <c r="G202" s="16"/>
      <c r="H202" s="16"/>
      <c r="I202" s="16"/>
      <c r="J202" s="16"/>
      <c r="K202" s="86"/>
      <c r="L202" s="16"/>
      <c r="M202" s="15"/>
      <c r="N202" s="15"/>
      <c r="O202" s="20"/>
      <c r="P202" s="15"/>
      <c r="Q202" s="20"/>
      <c r="R202" s="15"/>
      <c r="S202" s="15"/>
      <c r="T202" s="15"/>
      <c r="U202" s="15"/>
      <c r="V202" s="17"/>
      <c r="W202" s="17"/>
      <c r="X202" s="16"/>
      <c r="Y202" s="20"/>
      <c r="Z202" s="15"/>
      <c r="AA202" s="22"/>
      <c r="AB202" s="90"/>
      <c r="AC202" s="22"/>
      <c r="AD202" s="25"/>
      <c r="AE202" s="25" t="str">
        <f t="shared" si="0"/>
        <v/>
      </c>
      <c r="AF202" s="17" t="str">
        <f t="shared" ca="1" si="1"/>
        <v/>
      </c>
      <c r="AG202" s="17" t="str">
        <f t="shared" si="2"/>
        <v/>
      </c>
      <c r="AH202" s="17" t="str">
        <f t="shared" si="3"/>
        <v/>
      </c>
      <c r="AI202" s="17" t="str">
        <f t="shared" ca="1" si="4"/>
        <v/>
      </c>
      <c r="AJ202" s="17" t="str">
        <f t="shared" ca="1" si="5"/>
        <v/>
      </c>
      <c r="AK202" s="17" t="str">
        <f t="shared" si="6"/>
        <v/>
      </c>
      <c r="AL202" s="17" t="str">
        <f t="shared" si="7"/>
        <v/>
      </c>
      <c r="AM202" s="17" t="str">
        <f t="shared" si="8"/>
        <v/>
      </c>
      <c r="AN202" s="17">
        <f t="shared" si="9"/>
        <v>0</v>
      </c>
      <c r="AO202" s="17" t="str">
        <f t="shared" ca="1" si="10"/>
        <v/>
      </c>
      <c r="AP202" s="17" t="str">
        <f t="shared" ca="1" si="11"/>
        <v/>
      </c>
      <c r="AQ202" s="17" t="str">
        <f t="shared" si="12"/>
        <v/>
      </c>
      <c r="AR202" s="17" t="str">
        <f t="shared" ca="1" si="13"/>
        <v/>
      </c>
      <c r="AS202" s="18"/>
      <c r="AT202" s="24">
        <f t="shared" si="14"/>
        <v>0</v>
      </c>
      <c r="AU202" s="24">
        <f t="shared" si="15"/>
        <v>0</v>
      </c>
      <c r="AV202" s="24">
        <f t="shared" si="16"/>
        <v>0</v>
      </c>
      <c r="AW202" s="24">
        <f t="shared" si="17"/>
        <v>0</v>
      </c>
      <c r="AX202" s="24">
        <f t="shared" si="18"/>
        <v>0</v>
      </c>
      <c r="AY202" s="24">
        <f t="shared" si="19"/>
        <v>0</v>
      </c>
      <c r="AZ202" s="18"/>
    </row>
    <row r="203" spans="1:52" x14ac:dyDescent="0.25">
      <c r="A203" s="16"/>
      <c r="B203" s="16"/>
      <c r="C203" s="65"/>
      <c r="D203" s="15"/>
      <c r="E203" s="15"/>
      <c r="F203" s="15"/>
      <c r="G203" s="16"/>
      <c r="H203" s="16"/>
      <c r="I203" s="16"/>
      <c r="J203" s="16"/>
      <c r="K203" s="86"/>
      <c r="L203" s="16"/>
      <c r="M203" s="15"/>
      <c r="N203" s="15"/>
      <c r="O203" s="20"/>
      <c r="P203" s="15"/>
      <c r="Q203" s="20"/>
      <c r="R203" s="15"/>
      <c r="S203" s="15"/>
      <c r="T203" s="15"/>
      <c r="U203" s="15"/>
      <c r="V203" s="17"/>
      <c r="W203" s="17"/>
      <c r="X203" s="16"/>
      <c r="Y203" s="20"/>
      <c r="Z203" s="15"/>
      <c r="AA203" s="22"/>
      <c r="AB203" s="90"/>
      <c r="AC203" s="22"/>
      <c r="AD203" s="25"/>
      <c r="AE203" s="25" t="str">
        <f t="shared" si="0"/>
        <v/>
      </c>
      <c r="AF203" s="17" t="str">
        <f t="shared" ca="1" si="1"/>
        <v/>
      </c>
      <c r="AG203" s="17" t="str">
        <f t="shared" si="2"/>
        <v/>
      </c>
      <c r="AH203" s="17" t="str">
        <f t="shared" si="3"/>
        <v/>
      </c>
      <c r="AI203" s="17" t="str">
        <f t="shared" ca="1" si="4"/>
        <v/>
      </c>
      <c r="AJ203" s="17" t="str">
        <f t="shared" ca="1" si="5"/>
        <v/>
      </c>
      <c r="AK203" s="17" t="str">
        <f t="shared" si="6"/>
        <v/>
      </c>
      <c r="AL203" s="17" t="str">
        <f t="shared" si="7"/>
        <v/>
      </c>
      <c r="AM203" s="17" t="str">
        <f t="shared" si="8"/>
        <v/>
      </c>
      <c r="AN203" s="17">
        <f t="shared" si="9"/>
        <v>0</v>
      </c>
      <c r="AO203" s="17" t="str">
        <f t="shared" ca="1" si="10"/>
        <v/>
      </c>
      <c r="AP203" s="17" t="str">
        <f t="shared" ca="1" si="11"/>
        <v/>
      </c>
      <c r="AQ203" s="17" t="str">
        <f t="shared" si="12"/>
        <v/>
      </c>
      <c r="AR203" s="17" t="str">
        <f t="shared" ca="1" si="13"/>
        <v/>
      </c>
      <c r="AS203" s="18"/>
      <c r="AT203" s="24">
        <f t="shared" si="14"/>
        <v>0</v>
      </c>
      <c r="AU203" s="24">
        <f t="shared" si="15"/>
        <v>0</v>
      </c>
      <c r="AV203" s="24">
        <f t="shared" si="16"/>
        <v>0</v>
      </c>
      <c r="AW203" s="24">
        <f t="shared" si="17"/>
        <v>0</v>
      </c>
      <c r="AX203" s="24">
        <f t="shared" si="18"/>
        <v>0</v>
      </c>
      <c r="AY203" s="24">
        <f t="shared" si="19"/>
        <v>0</v>
      </c>
      <c r="AZ203" s="18"/>
    </row>
    <row r="204" spans="1:52" x14ac:dyDescent="0.25">
      <c r="A204" s="16"/>
      <c r="B204" s="16"/>
      <c r="C204" s="65"/>
      <c r="D204" s="15"/>
      <c r="E204" s="15"/>
      <c r="F204" s="15"/>
      <c r="G204" s="16"/>
      <c r="H204" s="16"/>
      <c r="I204" s="16"/>
      <c r="J204" s="16"/>
      <c r="K204" s="86"/>
      <c r="L204" s="16"/>
      <c r="M204" s="15"/>
      <c r="N204" s="15"/>
      <c r="O204" s="20"/>
      <c r="P204" s="15"/>
      <c r="Q204" s="20"/>
      <c r="R204" s="15"/>
      <c r="S204" s="15"/>
      <c r="T204" s="15"/>
      <c r="U204" s="15"/>
      <c r="V204" s="17"/>
      <c r="W204" s="17"/>
      <c r="X204" s="16"/>
      <c r="Y204" s="20"/>
      <c r="Z204" s="15"/>
      <c r="AA204" s="22"/>
      <c r="AB204" s="90"/>
      <c r="AC204" s="22"/>
      <c r="AD204" s="25"/>
      <c r="AE204" s="25" t="str">
        <f t="shared" si="0"/>
        <v/>
      </c>
      <c r="AF204" s="17" t="str">
        <f t="shared" ca="1" si="1"/>
        <v/>
      </c>
      <c r="AG204" s="17" t="str">
        <f t="shared" si="2"/>
        <v/>
      </c>
      <c r="AH204" s="17" t="str">
        <f t="shared" si="3"/>
        <v/>
      </c>
      <c r="AI204" s="17" t="str">
        <f t="shared" ca="1" si="4"/>
        <v/>
      </c>
      <c r="AJ204" s="17" t="str">
        <f t="shared" ca="1" si="5"/>
        <v/>
      </c>
      <c r="AK204" s="17" t="str">
        <f t="shared" si="6"/>
        <v/>
      </c>
      <c r="AL204" s="17" t="str">
        <f t="shared" si="7"/>
        <v/>
      </c>
      <c r="AM204" s="17" t="str">
        <f t="shared" si="8"/>
        <v/>
      </c>
      <c r="AN204" s="17">
        <f t="shared" si="9"/>
        <v>0</v>
      </c>
      <c r="AO204" s="17" t="str">
        <f t="shared" ca="1" si="10"/>
        <v/>
      </c>
      <c r="AP204" s="17" t="str">
        <f t="shared" ca="1" si="11"/>
        <v/>
      </c>
      <c r="AQ204" s="17" t="str">
        <f t="shared" si="12"/>
        <v/>
      </c>
      <c r="AR204" s="17" t="str">
        <f t="shared" ca="1" si="13"/>
        <v/>
      </c>
      <c r="AS204" s="18"/>
      <c r="AT204" s="24">
        <f t="shared" si="14"/>
        <v>0</v>
      </c>
      <c r="AU204" s="24">
        <f t="shared" si="15"/>
        <v>0</v>
      </c>
      <c r="AV204" s="24">
        <f t="shared" si="16"/>
        <v>0</v>
      </c>
      <c r="AW204" s="24">
        <f t="shared" si="17"/>
        <v>0</v>
      </c>
      <c r="AX204" s="24">
        <f t="shared" si="18"/>
        <v>0</v>
      </c>
      <c r="AY204" s="24">
        <f t="shared" si="19"/>
        <v>0</v>
      </c>
      <c r="AZ204" s="18"/>
    </row>
    <row r="205" spans="1:52" x14ac:dyDescent="0.25">
      <c r="A205" s="16"/>
      <c r="B205" s="16"/>
      <c r="C205" s="65"/>
      <c r="D205" s="15"/>
      <c r="E205" s="15"/>
      <c r="F205" s="15"/>
      <c r="G205" s="16"/>
      <c r="H205" s="16"/>
      <c r="I205" s="16"/>
      <c r="J205" s="16"/>
      <c r="K205" s="86"/>
      <c r="L205" s="16"/>
      <c r="M205" s="15"/>
      <c r="N205" s="15"/>
      <c r="O205" s="20"/>
      <c r="P205" s="15"/>
      <c r="Q205" s="20"/>
      <c r="R205" s="15"/>
      <c r="S205" s="15"/>
      <c r="T205" s="15"/>
      <c r="U205" s="15"/>
      <c r="V205" s="17"/>
      <c r="W205" s="17"/>
      <c r="X205" s="16"/>
      <c r="Y205" s="20"/>
      <c r="Z205" s="15"/>
      <c r="AA205" s="22"/>
      <c r="AB205" s="90"/>
      <c r="AC205" s="22"/>
      <c r="AD205" s="25"/>
      <c r="AE205" s="25" t="str">
        <f t="shared" si="0"/>
        <v/>
      </c>
      <c r="AF205" s="17" t="str">
        <f t="shared" ca="1" si="1"/>
        <v/>
      </c>
      <c r="AG205" s="17" t="str">
        <f t="shared" si="2"/>
        <v/>
      </c>
      <c r="AH205" s="17" t="str">
        <f t="shared" si="3"/>
        <v/>
      </c>
      <c r="AI205" s="17" t="str">
        <f t="shared" ca="1" si="4"/>
        <v/>
      </c>
      <c r="AJ205" s="17" t="str">
        <f t="shared" ca="1" si="5"/>
        <v/>
      </c>
      <c r="AK205" s="17" t="str">
        <f t="shared" si="6"/>
        <v/>
      </c>
      <c r="AL205" s="17" t="str">
        <f t="shared" si="7"/>
        <v/>
      </c>
      <c r="AM205" s="17" t="str">
        <f t="shared" si="8"/>
        <v/>
      </c>
      <c r="AN205" s="17">
        <f t="shared" si="9"/>
        <v>0</v>
      </c>
      <c r="AO205" s="17" t="str">
        <f t="shared" ca="1" si="10"/>
        <v/>
      </c>
      <c r="AP205" s="17" t="str">
        <f t="shared" ca="1" si="11"/>
        <v/>
      </c>
      <c r="AQ205" s="17" t="str">
        <f t="shared" si="12"/>
        <v/>
      </c>
      <c r="AR205" s="17" t="str">
        <f t="shared" ca="1" si="13"/>
        <v/>
      </c>
      <c r="AS205" s="18"/>
      <c r="AT205" s="24">
        <f t="shared" si="14"/>
        <v>0</v>
      </c>
      <c r="AU205" s="24">
        <f t="shared" si="15"/>
        <v>0</v>
      </c>
      <c r="AV205" s="24">
        <f t="shared" si="16"/>
        <v>0</v>
      </c>
      <c r="AW205" s="24">
        <f t="shared" si="17"/>
        <v>0</v>
      </c>
      <c r="AX205" s="24">
        <f t="shared" si="18"/>
        <v>0</v>
      </c>
      <c r="AY205" s="24">
        <f t="shared" si="19"/>
        <v>0</v>
      </c>
      <c r="AZ205" s="18"/>
    </row>
    <row r="206" spans="1:52" x14ac:dyDescent="0.25">
      <c r="A206" s="16"/>
      <c r="B206" s="16"/>
      <c r="C206" s="65"/>
      <c r="D206" s="15"/>
      <c r="E206" s="15"/>
      <c r="F206" s="15"/>
      <c r="G206" s="16"/>
      <c r="H206" s="16"/>
      <c r="I206" s="16"/>
      <c r="J206" s="16"/>
      <c r="K206" s="86"/>
      <c r="L206" s="16"/>
      <c r="M206" s="15"/>
      <c r="N206" s="15"/>
      <c r="O206" s="20"/>
      <c r="P206" s="15"/>
      <c r="Q206" s="20"/>
      <c r="R206" s="15"/>
      <c r="S206" s="15"/>
      <c r="T206" s="15"/>
      <c r="U206" s="15"/>
      <c r="V206" s="17"/>
      <c r="W206" s="17"/>
      <c r="X206" s="16"/>
      <c r="Y206" s="20"/>
      <c r="Z206" s="15"/>
      <c r="AA206" s="22"/>
      <c r="AB206" s="90"/>
      <c r="AC206" s="22"/>
      <c r="AD206" s="25"/>
      <c r="AE206" s="25" t="str">
        <f t="shared" si="0"/>
        <v/>
      </c>
      <c r="AF206" s="17" t="str">
        <f t="shared" ca="1" si="1"/>
        <v/>
      </c>
      <c r="AG206" s="17" t="str">
        <f t="shared" si="2"/>
        <v/>
      </c>
      <c r="AH206" s="17" t="str">
        <f t="shared" si="3"/>
        <v/>
      </c>
      <c r="AI206" s="17" t="str">
        <f t="shared" ca="1" si="4"/>
        <v/>
      </c>
      <c r="AJ206" s="17" t="str">
        <f t="shared" ca="1" si="5"/>
        <v/>
      </c>
      <c r="AK206" s="17" t="str">
        <f t="shared" si="6"/>
        <v/>
      </c>
      <c r="AL206" s="17" t="str">
        <f t="shared" si="7"/>
        <v/>
      </c>
      <c r="AM206" s="17" t="str">
        <f t="shared" si="8"/>
        <v/>
      </c>
      <c r="AN206" s="17">
        <f t="shared" si="9"/>
        <v>0</v>
      </c>
      <c r="AO206" s="17" t="str">
        <f t="shared" ca="1" si="10"/>
        <v/>
      </c>
      <c r="AP206" s="17" t="str">
        <f t="shared" ca="1" si="11"/>
        <v/>
      </c>
      <c r="AQ206" s="17" t="str">
        <f t="shared" si="12"/>
        <v/>
      </c>
      <c r="AR206" s="17" t="str">
        <f t="shared" ca="1" si="13"/>
        <v/>
      </c>
      <c r="AS206" s="18"/>
      <c r="AT206" s="24">
        <f t="shared" si="14"/>
        <v>0</v>
      </c>
      <c r="AU206" s="24">
        <f t="shared" si="15"/>
        <v>0</v>
      </c>
      <c r="AV206" s="24">
        <f t="shared" si="16"/>
        <v>0</v>
      </c>
      <c r="AW206" s="24">
        <f t="shared" si="17"/>
        <v>0</v>
      </c>
      <c r="AX206" s="24">
        <f t="shared" si="18"/>
        <v>0</v>
      </c>
      <c r="AY206" s="24">
        <f t="shared" si="19"/>
        <v>0</v>
      </c>
      <c r="AZ206" s="18"/>
    </row>
    <row r="207" spans="1:52" x14ac:dyDescent="0.25">
      <c r="A207" s="16"/>
      <c r="B207" s="16"/>
      <c r="C207" s="65"/>
      <c r="D207" s="15"/>
      <c r="E207" s="15"/>
      <c r="F207" s="15"/>
      <c r="G207" s="16"/>
      <c r="H207" s="16"/>
      <c r="I207" s="16"/>
      <c r="J207" s="16"/>
      <c r="K207" s="86"/>
      <c r="L207" s="16"/>
      <c r="M207" s="15"/>
      <c r="N207" s="15"/>
      <c r="O207" s="20"/>
      <c r="P207" s="15"/>
      <c r="Q207" s="20"/>
      <c r="R207" s="15"/>
      <c r="S207" s="15"/>
      <c r="T207" s="15"/>
      <c r="U207" s="15"/>
      <c r="V207" s="17"/>
      <c r="W207" s="17"/>
      <c r="X207" s="16"/>
      <c r="Y207" s="20"/>
      <c r="Z207" s="15"/>
      <c r="AA207" s="22"/>
      <c r="AB207" s="90"/>
      <c r="AC207" s="22"/>
      <c r="AD207" s="25"/>
      <c r="AE207" s="25" t="str">
        <f t="shared" si="0"/>
        <v/>
      </c>
      <c r="AF207" s="17" t="str">
        <f t="shared" ca="1" si="1"/>
        <v/>
      </c>
      <c r="AG207" s="17" t="str">
        <f t="shared" si="2"/>
        <v/>
      </c>
      <c r="AH207" s="17" t="str">
        <f t="shared" si="3"/>
        <v/>
      </c>
      <c r="AI207" s="17" t="str">
        <f t="shared" ca="1" si="4"/>
        <v/>
      </c>
      <c r="AJ207" s="17" t="str">
        <f t="shared" ca="1" si="5"/>
        <v/>
      </c>
      <c r="AK207" s="17" t="str">
        <f t="shared" si="6"/>
        <v/>
      </c>
      <c r="AL207" s="17" t="str">
        <f t="shared" si="7"/>
        <v/>
      </c>
      <c r="AM207" s="17" t="str">
        <f t="shared" si="8"/>
        <v/>
      </c>
      <c r="AN207" s="17">
        <f t="shared" si="9"/>
        <v>0</v>
      </c>
      <c r="AO207" s="17" t="str">
        <f t="shared" ca="1" si="10"/>
        <v/>
      </c>
      <c r="AP207" s="17" t="str">
        <f t="shared" ca="1" si="11"/>
        <v/>
      </c>
      <c r="AQ207" s="17" t="str">
        <f t="shared" si="12"/>
        <v/>
      </c>
      <c r="AR207" s="17" t="str">
        <f t="shared" ca="1" si="13"/>
        <v/>
      </c>
      <c r="AS207" s="18"/>
      <c r="AT207" s="24">
        <f t="shared" si="14"/>
        <v>0</v>
      </c>
      <c r="AU207" s="24">
        <f t="shared" si="15"/>
        <v>0</v>
      </c>
      <c r="AV207" s="24">
        <f t="shared" si="16"/>
        <v>0</v>
      </c>
      <c r="AW207" s="24">
        <f t="shared" si="17"/>
        <v>0</v>
      </c>
      <c r="AX207" s="24">
        <f t="shared" si="18"/>
        <v>0</v>
      </c>
      <c r="AY207" s="24">
        <f t="shared" si="19"/>
        <v>0</v>
      </c>
      <c r="AZ207" s="18"/>
    </row>
    <row r="208" spans="1:52" x14ac:dyDescent="0.25">
      <c r="A208" s="16"/>
      <c r="B208" s="16"/>
      <c r="C208" s="65"/>
      <c r="D208" s="15"/>
      <c r="E208" s="15"/>
      <c r="F208" s="15"/>
      <c r="G208" s="16"/>
      <c r="H208" s="16"/>
      <c r="I208" s="16"/>
      <c r="J208" s="16"/>
      <c r="K208" s="86"/>
      <c r="L208" s="16"/>
      <c r="M208" s="15"/>
      <c r="N208" s="15"/>
      <c r="O208" s="20"/>
      <c r="P208" s="15"/>
      <c r="Q208" s="20"/>
      <c r="R208" s="15"/>
      <c r="S208" s="15"/>
      <c r="T208" s="15"/>
      <c r="U208" s="15"/>
      <c r="V208" s="17"/>
      <c r="W208" s="17"/>
      <c r="X208" s="16"/>
      <c r="Y208" s="20"/>
      <c r="Z208" s="15"/>
      <c r="AA208" s="22"/>
      <c r="AB208" s="90"/>
      <c r="AC208" s="22"/>
      <c r="AD208" s="25"/>
      <c r="AE208" s="25" t="str">
        <f t="shared" si="0"/>
        <v/>
      </c>
      <c r="AF208" s="17" t="str">
        <f t="shared" ca="1" si="1"/>
        <v/>
      </c>
      <c r="AG208" s="17" t="str">
        <f t="shared" si="2"/>
        <v/>
      </c>
      <c r="AH208" s="17" t="str">
        <f t="shared" si="3"/>
        <v/>
      </c>
      <c r="AI208" s="17" t="str">
        <f t="shared" ca="1" si="4"/>
        <v/>
      </c>
      <c r="AJ208" s="17" t="str">
        <f t="shared" ca="1" si="5"/>
        <v/>
      </c>
      <c r="AK208" s="17" t="str">
        <f t="shared" si="6"/>
        <v/>
      </c>
      <c r="AL208" s="17" t="str">
        <f t="shared" si="7"/>
        <v/>
      </c>
      <c r="AM208" s="17" t="str">
        <f t="shared" si="8"/>
        <v/>
      </c>
      <c r="AN208" s="17">
        <f t="shared" si="9"/>
        <v>0</v>
      </c>
      <c r="AO208" s="17" t="str">
        <f t="shared" ca="1" si="10"/>
        <v/>
      </c>
      <c r="AP208" s="17" t="str">
        <f t="shared" ca="1" si="11"/>
        <v/>
      </c>
      <c r="AQ208" s="17" t="str">
        <f t="shared" si="12"/>
        <v/>
      </c>
      <c r="AR208" s="17" t="str">
        <f t="shared" ca="1" si="13"/>
        <v/>
      </c>
      <c r="AS208" s="18"/>
      <c r="AT208" s="24">
        <f t="shared" si="14"/>
        <v>0</v>
      </c>
      <c r="AU208" s="24">
        <f t="shared" si="15"/>
        <v>0</v>
      </c>
      <c r="AV208" s="24">
        <f t="shared" si="16"/>
        <v>0</v>
      </c>
      <c r="AW208" s="24">
        <f t="shared" si="17"/>
        <v>0</v>
      </c>
      <c r="AX208" s="24">
        <f t="shared" si="18"/>
        <v>0</v>
      </c>
      <c r="AY208" s="24">
        <f t="shared" si="19"/>
        <v>0</v>
      </c>
      <c r="AZ208" s="18"/>
    </row>
    <row r="209" spans="1:52" x14ac:dyDescent="0.25">
      <c r="A209" s="16"/>
      <c r="B209" s="16"/>
      <c r="C209" s="65"/>
      <c r="D209" s="15"/>
      <c r="E209" s="15"/>
      <c r="F209" s="15"/>
      <c r="G209" s="16"/>
      <c r="H209" s="16"/>
      <c r="I209" s="16"/>
      <c r="J209" s="16"/>
      <c r="K209" s="86"/>
      <c r="L209" s="16"/>
      <c r="M209" s="15"/>
      <c r="N209" s="15"/>
      <c r="O209" s="20"/>
      <c r="P209" s="15"/>
      <c r="Q209" s="20"/>
      <c r="R209" s="15"/>
      <c r="S209" s="15"/>
      <c r="T209" s="15"/>
      <c r="U209" s="15"/>
      <c r="V209" s="17"/>
      <c r="W209" s="17"/>
      <c r="X209" s="16"/>
      <c r="Y209" s="20"/>
      <c r="Z209" s="15"/>
      <c r="AA209" s="22"/>
      <c r="AB209" s="90"/>
      <c r="AC209" s="22"/>
      <c r="AD209" s="25"/>
      <c r="AE209" s="25" t="str">
        <f t="shared" si="0"/>
        <v/>
      </c>
      <c r="AF209" s="17" t="str">
        <f t="shared" ca="1" si="1"/>
        <v/>
      </c>
      <c r="AG209" s="17" t="str">
        <f t="shared" si="2"/>
        <v/>
      </c>
      <c r="AH209" s="17" t="str">
        <f t="shared" si="3"/>
        <v/>
      </c>
      <c r="AI209" s="17" t="str">
        <f t="shared" ca="1" si="4"/>
        <v/>
      </c>
      <c r="AJ209" s="17" t="str">
        <f t="shared" ca="1" si="5"/>
        <v/>
      </c>
      <c r="AK209" s="17" t="str">
        <f t="shared" si="6"/>
        <v/>
      </c>
      <c r="AL209" s="17" t="str">
        <f t="shared" si="7"/>
        <v/>
      </c>
      <c r="AM209" s="17" t="str">
        <f t="shared" si="8"/>
        <v/>
      </c>
      <c r="AN209" s="17">
        <f t="shared" si="9"/>
        <v>0</v>
      </c>
      <c r="AO209" s="17" t="str">
        <f t="shared" ca="1" si="10"/>
        <v/>
      </c>
      <c r="AP209" s="17" t="str">
        <f t="shared" ca="1" si="11"/>
        <v/>
      </c>
      <c r="AQ209" s="17" t="str">
        <f t="shared" si="12"/>
        <v/>
      </c>
      <c r="AR209" s="17" t="str">
        <f t="shared" ca="1" si="13"/>
        <v/>
      </c>
      <c r="AS209" s="18"/>
      <c r="AT209" s="24">
        <f t="shared" si="14"/>
        <v>0</v>
      </c>
      <c r="AU209" s="24">
        <f t="shared" si="15"/>
        <v>0</v>
      </c>
      <c r="AV209" s="24">
        <f t="shared" si="16"/>
        <v>0</v>
      </c>
      <c r="AW209" s="24">
        <f t="shared" si="17"/>
        <v>0</v>
      </c>
      <c r="AX209" s="24">
        <f t="shared" si="18"/>
        <v>0</v>
      </c>
      <c r="AY209" s="24">
        <f t="shared" si="19"/>
        <v>0</v>
      </c>
      <c r="AZ209" s="18"/>
    </row>
    <row r="210" spans="1:52" x14ac:dyDescent="0.25">
      <c r="A210" s="16"/>
      <c r="B210" s="16"/>
      <c r="C210" s="65"/>
      <c r="D210" s="15"/>
      <c r="E210" s="15"/>
      <c r="F210" s="15"/>
      <c r="G210" s="16"/>
      <c r="H210" s="16"/>
      <c r="I210" s="16"/>
      <c r="J210" s="16"/>
      <c r="K210" s="86"/>
      <c r="L210" s="16"/>
      <c r="M210" s="15"/>
      <c r="N210" s="15"/>
      <c r="O210" s="20"/>
      <c r="P210" s="15"/>
      <c r="Q210" s="20"/>
      <c r="R210" s="15"/>
      <c r="S210" s="15"/>
      <c r="T210" s="15"/>
      <c r="U210" s="15"/>
      <c r="V210" s="17"/>
      <c r="W210" s="17"/>
      <c r="X210" s="16"/>
      <c r="Y210" s="20"/>
      <c r="Z210" s="15"/>
      <c r="AA210" s="22"/>
      <c r="AB210" s="90"/>
      <c r="AC210" s="22"/>
      <c r="AD210" s="25"/>
      <c r="AE210" s="25" t="str">
        <f t="shared" si="0"/>
        <v/>
      </c>
      <c r="AF210" s="17" t="str">
        <f t="shared" ca="1" si="1"/>
        <v/>
      </c>
      <c r="AG210" s="17" t="str">
        <f t="shared" si="2"/>
        <v/>
      </c>
      <c r="AH210" s="17" t="str">
        <f t="shared" si="3"/>
        <v/>
      </c>
      <c r="AI210" s="17" t="str">
        <f t="shared" ca="1" si="4"/>
        <v/>
      </c>
      <c r="AJ210" s="17" t="str">
        <f t="shared" ca="1" si="5"/>
        <v/>
      </c>
      <c r="AK210" s="17" t="str">
        <f t="shared" si="6"/>
        <v/>
      </c>
      <c r="AL210" s="17" t="str">
        <f t="shared" si="7"/>
        <v/>
      </c>
      <c r="AM210" s="17" t="str">
        <f t="shared" si="8"/>
        <v/>
      </c>
      <c r="AN210" s="17">
        <f t="shared" si="9"/>
        <v>0</v>
      </c>
      <c r="AO210" s="17" t="str">
        <f t="shared" ca="1" si="10"/>
        <v/>
      </c>
      <c r="AP210" s="17" t="str">
        <f t="shared" ca="1" si="11"/>
        <v/>
      </c>
      <c r="AQ210" s="17" t="str">
        <f t="shared" si="12"/>
        <v/>
      </c>
      <c r="AR210" s="17" t="str">
        <f t="shared" ca="1" si="13"/>
        <v/>
      </c>
      <c r="AS210" s="18"/>
      <c r="AT210" s="24">
        <f t="shared" si="14"/>
        <v>0</v>
      </c>
      <c r="AU210" s="24">
        <f t="shared" si="15"/>
        <v>0</v>
      </c>
      <c r="AV210" s="24">
        <f t="shared" si="16"/>
        <v>0</v>
      </c>
      <c r="AW210" s="24">
        <f t="shared" si="17"/>
        <v>0</v>
      </c>
      <c r="AX210" s="24">
        <f t="shared" si="18"/>
        <v>0</v>
      </c>
      <c r="AY210" s="24">
        <f t="shared" si="19"/>
        <v>0</v>
      </c>
      <c r="AZ210" s="18"/>
    </row>
    <row r="211" spans="1:52" x14ac:dyDescent="0.25">
      <c r="A211" s="16"/>
      <c r="B211" s="16"/>
      <c r="C211" s="65"/>
      <c r="D211" s="15"/>
      <c r="E211" s="15"/>
      <c r="F211" s="15"/>
      <c r="G211" s="16"/>
      <c r="H211" s="16"/>
      <c r="I211" s="16"/>
      <c r="J211" s="16"/>
      <c r="K211" s="86"/>
      <c r="L211" s="16"/>
      <c r="M211" s="15"/>
      <c r="N211" s="15"/>
      <c r="O211" s="20"/>
      <c r="P211" s="15"/>
      <c r="Q211" s="20"/>
      <c r="R211" s="15"/>
      <c r="S211" s="15"/>
      <c r="T211" s="15"/>
      <c r="U211" s="15"/>
      <c r="V211" s="17"/>
      <c r="W211" s="17"/>
      <c r="X211" s="16"/>
      <c r="Y211" s="20"/>
      <c r="Z211" s="15"/>
      <c r="AA211" s="22"/>
      <c r="AB211" s="90"/>
      <c r="AC211" s="22"/>
      <c r="AD211" s="25"/>
      <c r="AE211" s="25" t="str">
        <f t="shared" si="0"/>
        <v/>
      </c>
      <c r="AF211" s="17" t="str">
        <f t="shared" ca="1" si="1"/>
        <v/>
      </c>
      <c r="AG211" s="17" t="str">
        <f t="shared" si="2"/>
        <v/>
      </c>
      <c r="AH211" s="17" t="str">
        <f t="shared" si="3"/>
        <v/>
      </c>
      <c r="AI211" s="17" t="str">
        <f t="shared" ca="1" si="4"/>
        <v/>
      </c>
      <c r="AJ211" s="17" t="str">
        <f t="shared" ca="1" si="5"/>
        <v/>
      </c>
      <c r="AK211" s="17" t="str">
        <f t="shared" si="6"/>
        <v/>
      </c>
      <c r="AL211" s="17" t="str">
        <f t="shared" si="7"/>
        <v/>
      </c>
      <c r="AM211" s="17" t="str">
        <f t="shared" si="8"/>
        <v/>
      </c>
      <c r="AN211" s="17">
        <f t="shared" si="9"/>
        <v>0</v>
      </c>
      <c r="AO211" s="17" t="str">
        <f t="shared" ca="1" si="10"/>
        <v/>
      </c>
      <c r="AP211" s="17" t="str">
        <f t="shared" ca="1" si="11"/>
        <v/>
      </c>
      <c r="AQ211" s="17" t="str">
        <f t="shared" si="12"/>
        <v/>
      </c>
      <c r="AR211" s="17" t="str">
        <f t="shared" ca="1" si="13"/>
        <v/>
      </c>
      <c r="AS211" s="18"/>
      <c r="AT211" s="24">
        <f t="shared" si="14"/>
        <v>0</v>
      </c>
      <c r="AU211" s="24">
        <f t="shared" si="15"/>
        <v>0</v>
      </c>
      <c r="AV211" s="24">
        <f t="shared" si="16"/>
        <v>0</v>
      </c>
      <c r="AW211" s="24">
        <f t="shared" si="17"/>
        <v>0</v>
      </c>
      <c r="AX211" s="24">
        <f t="shared" si="18"/>
        <v>0</v>
      </c>
      <c r="AY211" s="24">
        <f t="shared" si="19"/>
        <v>0</v>
      </c>
      <c r="AZ211" s="18"/>
    </row>
    <row r="212" spans="1:52" x14ac:dyDescent="0.25">
      <c r="A212" s="16"/>
      <c r="B212" s="16"/>
      <c r="C212" s="65"/>
      <c r="D212" s="15"/>
      <c r="E212" s="15"/>
      <c r="F212" s="15"/>
      <c r="G212" s="16"/>
      <c r="H212" s="16"/>
      <c r="I212" s="16"/>
      <c r="J212" s="16"/>
      <c r="K212" s="86"/>
      <c r="L212" s="16"/>
      <c r="M212" s="15"/>
      <c r="N212" s="15"/>
      <c r="O212" s="20"/>
      <c r="P212" s="15"/>
      <c r="Q212" s="20"/>
      <c r="R212" s="15"/>
      <c r="S212" s="15"/>
      <c r="T212" s="15"/>
      <c r="U212" s="15"/>
      <c r="V212" s="17"/>
      <c r="W212" s="17"/>
      <c r="X212" s="16"/>
      <c r="Y212" s="20"/>
      <c r="Z212" s="15"/>
      <c r="AA212" s="22"/>
      <c r="AB212" s="90"/>
      <c r="AC212" s="22"/>
      <c r="AD212" s="25"/>
      <c r="AE212" s="25" t="str">
        <f t="shared" si="0"/>
        <v/>
      </c>
      <c r="AF212" s="17" t="str">
        <f t="shared" ca="1" si="1"/>
        <v/>
      </c>
      <c r="AG212" s="17" t="str">
        <f t="shared" si="2"/>
        <v/>
      </c>
      <c r="AH212" s="17" t="str">
        <f t="shared" si="3"/>
        <v/>
      </c>
      <c r="AI212" s="17" t="str">
        <f t="shared" ca="1" si="4"/>
        <v/>
      </c>
      <c r="AJ212" s="17" t="str">
        <f t="shared" ca="1" si="5"/>
        <v/>
      </c>
      <c r="AK212" s="17" t="str">
        <f t="shared" si="6"/>
        <v/>
      </c>
      <c r="AL212" s="17" t="str">
        <f t="shared" si="7"/>
        <v/>
      </c>
      <c r="AM212" s="17" t="str">
        <f t="shared" si="8"/>
        <v/>
      </c>
      <c r="AN212" s="17">
        <f t="shared" si="9"/>
        <v>0</v>
      </c>
      <c r="AO212" s="17" t="str">
        <f t="shared" ca="1" si="10"/>
        <v/>
      </c>
      <c r="AP212" s="17" t="str">
        <f t="shared" ca="1" si="11"/>
        <v/>
      </c>
      <c r="AQ212" s="17" t="str">
        <f t="shared" si="12"/>
        <v/>
      </c>
      <c r="AR212" s="17" t="str">
        <f t="shared" ca="1" si="13"/>
        <v/>
      </c>
      <c r="AS212" s="18"/>
      <c r="AT212" s="24">
        <f t="shared" si="14"/>
        <v>0</v>
      </c>
      <c r="AU212" s="24">
        <f t="shared" si="15"/>
        <v>0</v>
      </c>
      <c r="AV212" s="24">
        <f t="shared" si="16"/>
        <v>0</v>
      </c>
      <c r="AW212" s="24">
        <f t="shared" si="17"/>
        <v>0</v>
      </c>
      <c r="AX212" s="24">
        <f t="shared" si="18"/>
        <v>0</v>
      </c>
      <c r="AY212" s="24">
        <f t="shared" si="19"/>
        <v>0</v>
      </c>
      <c r="AZ212" s="18"/>
    </row>
    <row r="213" spans="1:52" x14ac:dyDescent="0.25">
      <c r="A213" s="16"/>
      <c r="B213" s="16"/>
      <c r="C213" s="65"/>
      <c r="D213" s="15"/>
      <c r="E213" s="15"/>
      <c r="F213" s="15"/>
      <c r="G213" s="16"/>
      <c r="H213" s="16"/>
      <c r="I213" s="16"/>
      <c r="J213" s="16"/>
      <c r="K213" s="86"/>
      <c r="L213" s="16"/>
      <c r="M213" s="15"/>
      <c r="N213" s="15"/>
      <c r="O213" s="20"/>
      <c r="P213" s="15"/>
      <c r="Q213" s="20"/>
      <c r="R213" s="15"/>
      <c r="S213" s="15"/>
      <c r="T213" s="15"/>
      <c r="U213" s="15"/>
      <c r="V213" s="17"/>
      <c r="W213" s="17"/>
      <c r="X213" s="16"/>
      <c r="Y213" s="20"/>
      <c r="Z213" s="15"/>
      <c r="AA213" s="22"/>
      <c r="AB213" s="90"/>
      <c r="AC213" s="22"/>
      <c r="AD213" s="25"/>
      <c r="AE213" s="25" t="str">
        <f t="shared" si="0"/>
        <v/>
      </c>
      <c r="AF213" s="17" t="str">
        <f t="shared" ca="1" si="1"/>
        <v/>
      </c>
      <c r="AG213" s="17" t="str">
        <f t="shared" si="2"/>
        <v/>
      </c>
      <c r="AH213" s="17" t="str">
        <f t="shared" si="3"/>
        <v/>
      </c>
      <c r="AI213" s="17" t="str">
        <f t="shared" ca="1" si="4"/>
        <v/>
      </c>
      <c r="AJ213" s="17" t="str">
        <f t="shared" ca="1" si="5"/>
        <v/>
      </c>
      <c r="AK213" s="17" t="str">
        <f t="shared" si="6"/>
        <v/>
      </c>
      <c r="AL213" s="17" t="str">
        <f t="shared" si="7"/>
        <v/>
      </c>
      <c r="AM213" s="17" t="str">
        <f t="shared" si="8"/>
        <v/>
      </c>
      <c r="AN213" s="17">
        <f t="shared" si="9"/>
        <v>0</v>
      </c>
      <c r="AO213" s="17" t="str">
        <f t="shared" ca="1" si="10"/>
        <v/>
      </c>
      <c r="AP213" s="17" t="str">
        <f t="shared" ca="1" si="11"/>
        <v/>
      </c>
      <c r="AQ213" s="17" t="str">
        <f t="shared" si="12"/>
        <v/>
      </c>
      <c r="AR213" s="17" t="str">
        <f t="shared" ca="1" si="13"/>
        <v/>
      </c>
      <c r="AS213" s="18"/>
      <c r="AT213" s="24">
        <f t="shared" si="14"/>
        <v>0</v>
      </c>
      <c r="AU213" s="24">
        <f t="shared" si="15"/>
        <v>0</v>
      </c>
      <c r="AV213" s="24">
        <f t="shared" si="16"/>
        <v>0</v>
      </c>
      <c r="AW213" s="24">
        <f t="shared" si="17"/>
        <v>0</v>
      </c>
      <c r="AX213" s="24">
        <f t="shared" si="18"/>
        <v>0</v>
      </c>
      <c r="AY213" s="24">
        <f t="shared" si="19"/>
        <v>0</v>
      </c>
      <c r="AZ213" s="18"/>
    </row>
    <row r="214" spans="1:52" x14ac:dyDescent="0.25">
      <c r="A214" s="16"/>
      <c r="B214" s="16"/>
      <c r="C214" s="65"/>
      <c r="D214" s="15"/>
      <c r="E214" s="15"/>
      <c r="F214" s="15"/>
      <c r="G214" s="16"/>
      <c r="H214" s="16"/>
      <c r="I214" s="16"/>
      <c r="J214" s="16"/>
      <c r="K214" s="86"/>
      <c r="L214" s="16"/>
      <c r="M214" s="15"/>
      <c r="N214" s="15"/>
      <c r="O214" s="20"/>
      <c r="P214" s="15"/>
      <c r="Q214" s="20"/>
      <c r="R214" s="15"/>
      <c r="S214" s="15"/>
      <c r="T214" s="15"/>
      <c r="U214" s="15"/>
      <c r="V214" s="17"/>
      <c r="W214" s="17"/>
      <c r="X214" s="16"/>
      <c r="Y214" s="20"/>
      <c r="Z214" s="15"/>
      <c r="AA214" s="22"/>
      <c r="AB214" s="90"/>
      <c r="AC214" s="22"/>
      <c r="AD214" s="25"/>
      <c r="AE214" s="25" t="str">
        <f t="shared" si="0"/>
        <v/>
      </c>
      <c r="AF214" s="17" t="str">
        <f t="shared" ca="1" si="1"/>
        <v/>
      </c>
      <c r="AG214" s="17" t="str">
        <f t="shared" si="2"/>
        <v/>
      </c>
      <c r="AH214" s="17" t="str">
        <f t="shared" si="3"/>
        <v/>
      </c>
      <c r="AI214" s="17" t="str">
        <f t="shared" ca="1" si="4"/>
        <v/>
      </c>
      <c r="AJ214" s="17" t="str">
        <f t="shared" ca="1" si="5"/>
        <v/>
      </c>
      <c r="AK214" s="17" t="str">
        <f t="shared" si="6"/>
        <v/>
      </c>
      <c r="AL214" s="17" t="str">
        <f t="shared" si="7"/>
        <v/>
      </c>
      <c r="AM214" s="17" t="str">
        <f t="shared" si="8"/>
        <v/>
      </c>
      <c r="AN214" s="17">
        <f t="shared" si="9"/>
        <v>0</v>
      </c>
      <c r="AO214" s="17" t="str">
        <f t="shared" ca="1" si="10"/>
        <v/>
      </c>
      <c r="AP214" s="17" t="str">
        <f t="shared" ca="1" si="11"/>
        <v/>
      </c>
      <c r="AQ214" s="17" t="str">
        <f t="shared" si="12"/>
        <v/>
      </c>
      <c r="AR214" s="17" t="str">
        <f t="shared" ca="1" si="13"/>
        <v/>
      </c>
      <c r="AS214" s="18"/>
      <c r="AT214" s="24">
        <f t="shared" si="14"/>
        <v>0</v>
      </c>
      <c r="AU214" s="24">
        <f t="shared" si="15"/>
        <v>0</v>
      </c>
      <c r="AV214" s="24">
        <f t="shared" si="16"/>
        <v>0</v>
      </c>
      <c r="AW214" s="24">
        <f t="shared" si="17"/>
        <v>0</v>
      </c>
      <c r="AX214" s="24">
        <f t="shared" si="18"/>
        <v>0</v>
      </c>
      <c r="AY214" s="24">
        <f t="shared" si="19"/>
        <v>0</v>
      </c>
      <c r="AZ214" s="18"/>
    </row>
    <row r="215" spans="1:52" x14ac:dyDescent="0.25">
      <c r="A215" s="16"/>
      <c r="B215" s="16"/>
      <c r="C215" s="65"/>
      <c r="D215" s="15"/>
      <c r="E215" s="15"/>
      <c r="F215" s="15"/>
      <c r="G215" s="16"/>
      <c r="H215" s="16"/>
      <c r="I215" s="16"/>
      <c r="J215" s="16"/>
      <c r="K215" s="86"/>
      <c r="L215" s="16"/>
      <c r="M215" s="15"/>
      <c r="N215" s="15"/>
      <c r="O215" s="20"/>
      <c r="P215" s="15"/>
      <c r="Q215" s="20"/>
      <c r="R215" s="15"/>
      <c r="S215" s="15"/>
      <c r="T215" s="15"/>
      <c r="U215" s="15"/>
      <c r="V215" s="17"/>
      <c r="W215" s="17"/>
      <c r="X215" s="16"/>
      <c r="Y215" s="20"/>
      <c r="Z215" s="15"/>
      <c r="AA215" s="22"/>
      <c r="AB215" s="90"/>
      <c r="AC215" s="22"/>
      <c r="AD215" s="25"/>
      <c r="AE215" s="25" t="str">
        <f t="shared" si="0"/>
        <v/>
      </c>
      <c r="AF215" s="17" t="str">
        <f t="shared" ca="1" si="1"/>
        <v/>
      </c>
      <c r="AG215" s="17" t="str">
        <f t="shared" si="2"/>
        <v/>
      </c>
      <c r="AH215" s="17" t="str">
        <f t="shared" si="3"/>
        <v/>
      </c>
      <c r="AI215" s="17" t="str">
        <f t="shared" ca="1" si="4"/>
        <v/>
      </c>
      <c r="AJ215" s="17" t="str">
        <f t="shared" ref="AJ215:AJ252" ca="1" si="20">IF(O215="","",IF(AA215="",TODAY()-O215,AA215-O215))</f>
        <v/>
      </c>
      <c r="AK215" s="17" t="str">
        <f t="shared" ref="AK215:AK252" si="21">IF(O215="","",IF(W215="WFM",AJ215,AJ215-1))</f>
        <v/>
      </c>
      <c r="AL215" s="17" t="str">
        <f t="shared" ref="AL215:AL252" si="22">IF(AK215&lt;0,0,AK215)</f>
        <v/>
      </c>
      <c r="AM215" s="17" t="str">
        <f t="shared" ref="AM215:AM252" si="23">IF(O215="","",IF(W215="WFM","WFM SLA",IF(AK215&gt;0,"EXCEEDED SLA","WITHIN SLA")))</f>
        <v/>
      </c>
      <c r="AN215" s="17">
        <f t="shared" ref="AN215:AN252" si="24">AC215-AA215</f>
        <v>0</v>
      </c>
      <c r="AO215" s="17" t="str">
        <f t="shared" ref="AO215:AO252" ca="1" si="25">IF(AA215="","",IF(AC215="",TODAY()-AA215-V215,AC215-AA215-V215))</f>
        <v/>
      </c>
      <c r="AP215" s="17" t="str">
        <f t="shared" ref="AP215:AP252" ca="1" si="26">IF(AO215&lt;=0,0,AO215)</f>
        <v/>
      </c>
      <c r="AQ215" s="17" t="str">
        <f t="shared" ref="AQ215:AQ252" si="27">IF(AA215="","",IF(AP215&lt;1,"WITHIN SLA","EXCEEDED SLA"))</f>
        <v/>
      </c>
      <c r="AR215" s="17" t="str">
        <f t="shared" ref="AR215:AR252" ca="1" si="28">IF(B215="","",IF(L215="DONE",AC215-J215,TODAY()-J215))</f>
        <v/>
      </c>
      <c r="AS215" s="18"/>
      <c r="AT215" s="24">
        <f t="shared" si="14"/>
        <v>0</v>
      </c>
      <c r="AU215" s="24">
        <f t="shared" si="15"/>
        <v>0</v>
      </c>
      <c r="AV215" s="24">
        <f t="shared" si="16"/>
        <v>0</v>
      </c>
      <c r="AW215" s="24">
        <f t="shared" si="17"/>
        <v>0</v>
      </c>
      <c r="AX215" s="24">
        <f t="shared" si="18"/>
        <v>0</v>
      </c>
      <c r="AY215" s="24">
        <f t="shared" si="19"/>
        <v>0</v>
      </c>
      <c r="AZ215" s="18"/>
    </row>
    <row r="216" spans="1:52" x14ac:dyDescent="0.25">
      <c r="A216" s="16"/>
      <c r="B216" s="16"/>
      <c r="C216" s="65"/>
      <c r="D216" s="15"/>
      <c r="E216" s="15"/>
      <c r="F216" s="15"/>
      <c r="G216" s="16"/>
      <c r="H216" s="16"/>
      <c r="I216" s="16"/>
      <c r="J216" s="16"/>
      <c r="K216" s="86"/>
      <c r="L216" s="16"/>
      <c r="M216" s="15"/>
      <c r="N216" s="15"/>
      <c r="O216" s="20"/>
      <c r="P216" s="15"/>
      <c r="Q216" s="20"/>
      <c r="R216" s="15"/>
      <c r="S216" s="15"/>
      <c r="T216" s="15"/>
      <c r="U216" s="15"/>
      <c r="V216" s="17"/>
      <c r="W216" s="17"/>
      <c r="X216" s="16"/>
      <c r="Y216" s="20"/>
      <c r="Z216" s="15"/>
      <c r="AA216" s="22"/>
      <c r="AB216" s="90"/>
      <c r="AC216" s="22"/>
      <c r="AD216" s="25"/>
      <c r="AE216" s="25" t="str">
        <f t="shared" si="0"/>
        <v/>
      </c>
      <c r="AF216" s="17" t="str">
        <f t="shared" ca="1" si="1"/>
        <v/>
      </c>
      <c r="AG216" s="17" t="str">
        <f t="shared" si="2"/>
        <v/>
      </c>
      <c r="AH216" s="17" t="str">
        <f t="shared" si="3"/>
        <v/>
      </c>
      <c r="AI216" s="17" t="str">
        <f t="shared" ca="1" si="4"/>
        <v/>
      </c>
      <c r="AJ216" s="17" t="str">
        <f t="shared" ca="1" si="20"/>
        <v/>
      </c>
      <c r="AK216" s="17" t="str">
        <f t="shared" si="21"/>
        <v/>
      </c>
      <c r="AL216" s="17" t="str">
        <f t="shared" si="22"/>
        <v/>
      </c>
      <c r="AM216" s="17" t="str">
        <f t="shared" si="23"/>
        <v/>
      </c>
      <c r="AN216" s="17">
        <f t="shared" si="24"/>
        <v>0</v>
      </c>
      <c r="AO216" s="17" t="str">
        <f t="shared" ca="1" si="25"/>
        <v/>
      </c>
      <c r="AP216" s="17" t="str">
        <f t="shared" ca="1" si="26"/>
        <v/>
      </c>
      <c r="AQ216" s="17" t="str">
        <f t="shared" si="27"/>
        <v/>
      </c>
      <c r="AR216" s="17" t="str">
        <f t="shared" ca="1" si="28"/>
        <v/>
      </c>
      <c r="AS216" s="18"/>
      <c r="AT216" s="24">
        <f t="shared" si="14"/>
        <v>0</v>
      </c>
      <c r="AU216" s="24">
        <f t="shared" si="15"/>
        <v>0</v>
      </c>
      <c r="AV216" s="24">
        <f t="shared" si="16"/>
        <v>0</v>
      </c>
      <c r="AW216" s="24">
        <f t="shared" si="17"/>
        <v>0</v>
      </c>
      <c r="AX216" s="24">
        <f t="shared" si="18"/>
        <v>0</v>
      </c>
      <c r="AY216" s="24">
        <f t="shared" si="19"/>
        <v>0</v>
      </c>
      <c r="AZ216" s="18"/>
    </row>
    <row r="217" spans="1:52" x14ac:dyDescent="0.25">
      <c r="A217" s="16"/>
      <c r="B217" s="16"/>
      <c r="C217" s="65"/>
      <c r="D217" s="15"/>
      <c r="E217" s="15"/>
      <c r="F217" s="15"/>
      <c r="G217" s="16"/>
      <c r="H217" s="16"/>
      <c r="I217" s="16"/>
      <c r="J217" s="16"/>
      <c r="K217" s="86"/>
      <c r="L217" s="16"/>
      <c r="M217" s="15"/>
      <c r="N217" s="15"/>
      <c r="O217" s="20"/>
      <c r="P217" s="15"/>
      <c r="Q217" s="20"/>
      <c r="R217" s="15"/>
      <c r="S217" s="15"/>
      <c r="T217" s="15"/>
      <c r="U217" s="15"/>
      <c r="V217" s="17"/>
      <c r="W217" s="17"/>
      <c r="X217" s="16"/>
      <c r="Y217" s="20"/>
      <c r="Z217" s="15"/>
      <c r="AA217" s="22"/>
      <c r="AB217" s="90"/>
      <c r="AC217" s="22"/>
      <c r="AD217" s="25"/>
      <c r="AE217" s="25" t="str">
        <f t="shared" si="0"/>
        <v/>
      </c>
      <c r="AF217" s="17" t="str">
        <f t="shared" ca="1" si="1"/>
        <v/>
      </c>
      <c r="AG217" s="17" t="str">
        <f t="shared" si="2"/>
        <v/>
      </c>
      <c r="AH217" s="17" t="str">
        <f t="shared" si="3"/>
        <v/>
      </c>
      <c r="AI217" s="17" t="str">
        <f t="shared" ca="1" si="4"/>
        <v/>
      </c>
      <c r="AJ217" s="17" t="str">
        <f t="shared" ca="1" si="20"/>
        <v/>
      </c>
      <c r="AK217" s="17" t="str">
        <f t="shared" si="21"/>
        <v/>
      </c>
      <c r="AL217" s="17" t="str">
        <f t="shared" si="22"/>
        <v/>
      </c>
      <c r="AM217" s="17" t="str">
        <f t="shared" si="23"/>
        <v/>
      </c>
      <c r="AN217" s="17">
        <f t="shared" si="24"/>
        <v>0</v>
      </c>
      <c r="AO217" s="17" t="str">
        <f t="shared" ca="1" si="25"/>
        <v/>
      </c>
      <c r="AP217" s="17" t="str">
        <f t="shared" ca="1" si="26"/>
        <v/>
      </c>
      <c r="AQ217" s="17" t="str">
        <f t="shared" si="27"/>
        <v/>
      </c>
      <c r="AR217" s="17" t="str">
        <f t="shared" ca="1" si="28"/>
        <v/>
      </c>
      <c r="AS217" s="18"/>
      <c r="AT217" s="24">
        <f t="shared" si="14"/>
        <v>0</v>
      </c>
      <c r="AU217" s="24">
        <f t="shared" si="15"/>
        <v>0</v>
      </c>
      <c r="AV217" s="24">
        <f t="shared" si="16"/>
        <v>0</v>
      </c>
      <c r="AW217" s="24">
        <f t="shared" si="17"/>
        <v>0</v>
      </c>
      <c r="AX217" s="24">
        <f t="shared" si="18"/>
        <v>0</v>
      </c>
      <c r="AY217" s="24">
        <f t="shared" si="19"/>
        <v>0</v>
      </c>
      <c r="AZ217" s="18"/>
    </row>
    <row r="218" spans="1:52" x14ac:dyDescent="0.25">
      <c r="A218" s="16"/>
      <c r="B218" s="16"/>
      <c r="C218" s="65"/>
      <c r="D218" s="15"/>
      <c r="E218" s="15"/>
      <c r="F218" s="15"/>
      <c r="G218" s="16"/>
      <c r="H218" s="16"/>
      <c r="I218" s="16"/>
      <c r="J218" s="16"/>
      <c r="K218" s="86"/>
      <c r="L218" s="16"/>
      <c r="M218" s="15"/>
      <c r="N218" s="15"/>
      <c r="O218" s="20"/>
      <c r="P218" s="15"/>
      <c r="Q218" s="20"/>
      <c r="R218" s="15"/>
      <c r="S218" s="15"/>
      <c r="T218" s="15"/>
      <c r="U218" s="15"/>
      <c r="V218" s="17"/>
      <c r="W218" s="17"/>
      <c r="X218" s="16"/>
      <c r="Y218" s="20"/>
      <c r="Z218" s="15"/>
      <c r="AA218" s="22"/>
      <c r="AB218" s="90"/>
      <c r="AC218" s="22"/>
      <c r="AD218" s="25"/>
      <c r="AE218" s="25" t="str">
        <f t="shared" si="0"/>
        <v/>
      </c>
      <c r="AF218" s="17" t="str">
        <f t="shared" ca="1" si="1"/>
        <v/>
      </c>
      <c r="AG218" s="17" t="str">
        <f t="shared" si="2"/>
        <v/>
      </c>
      <c r="AH218" s="17" t="str">
        <f t="shared" si="3"/>
        <v/>
      </c>
      <c r="AI218" s="17" t="str">
        <f t="shared" ca="1" si="4"/>
        <v/>
      </c>
      <c r="AJ218" s="17" t="str">
        <f t="shared" ca="1" si="20"/>
        <v/>
      </c>
      <c r="AK218" s="17" t="str">
        <f t="shared" si="21"/>
        <v/>
      </c>
      <c r="AL218" s="17" t="str">
        <f t="shared" si="22"/>
        <v/>
      </c>
      <c r="AM218" s="17" t="str">
        <f t="shared" si="23"/>
        <v/>
      </c>
      <c r="AN218" s="17">
        <f t="shared" si="24"/>
        <v>0</v>
      </c>
      <c r="AO218" s="17" t="str">
        <f t="shared" ca="1" si="25"/>
        <v/>
      </c>
      <c r="AP218" s="17" t="str">
        <f t="shared" ca="1" si="26"/>
        <v/>
      </c>
      <c r="AQ218" s="17" t="str">
        <f t="shared" si="27"/>
        <v/>
      </c>
      <c r="AR218" s="17" t="str">
        <f t="shared" ca="1" si="28"/>
        <v/>
      </c>
      <c r="AS218" s="18"/>
      <c r="AT218" s="24">
        <f t="shared" si="14"/>
        <v>0</v>
      </c>
      <c r="AU218" s="24">
        <f t="shared" si="15"/>
        <v>0</v>
      </c>
      <c r="AV218" s="24">
        <f t="shared" si="16"/>
        <v>0</v>
      </c>
      <c r="AW218" s="24">
        <f t="shared" si="17"/>
        <v>0</v>
      </c>
      <c r="AX218" s="24">
        <f t="shared" si="18"/>
        <v>0</v>
      </c>
      <c r="AY218" s="24">
        <f t="shared" si="19"/>
        <v>0</v>
      </c>
      <c r="AZ218" s="18"/>
    </row>
    <row r="219" spans="1:52" x14ac:dyDescent="0.25">
      <c r="A219" s="16"/>
      <c r="B219" s="16"/>
      <c r="C219" s="65"/>
      <c r="D219" s="15"/>
      <c r="E219" s="15"/>
      <c r="F219" s="15"/>
      <c r="G219" s="16"/>
      <c r="H219" s="16"/>
      <c r="I219" s="16"/>
      <c r="J219" s="16"/>
      <c r="K219" s="86"/>
      <c r="L219" s="16"/>
      <c r="M219" s="15"/>
      <c r="N219" s="15"/>
      <c r="O219" s="20"/>
      <c r="P219" s="15"/>
      <c r="Q219" s="20"/>
      <c r="R219" s="15"/>
      <c r="S219" s="15"/>
      <c r="T219" s="15"/>
      <c r="U219" s="15"/>
      <c r="V219" s="17"/>
      <c r="W219" s="17"/>
      <c r="X219" s="16"/>
      <c r="Y219" s="20"/>
      <c r="Z219" s="15"/>
      <c r="AA219" s="22"/>
      <c r="AB219" s="90"/>
      <c r="AC219" s="22"/>
      <c r="AD219" s="25"/>
      <c r="AE219" s="25" t="str">
        <f t="shared" si="0"/>
        <v/>
      </c>
      <c r="AF219" s="17" t="str">
        <f t="shared" ca="1" si="1"/>
        <v/>
      </c>
      <c r="AG219" s="17" t="str">
        <f t="shared" si="2"/>
        <v/>
      </c>
      <c r="AH219" s="17" t="str">
        <f t="shared" si="3"/>
        <v/>
      </c>
      <c r="AI219" s="17" t="str">
        <f t="shared" ca="1" si="4"/>
        <v/>
      </c>
      <c r="AJ219" s="17" t="str">
        <f t="shared" ca="1" si="20"/>
        <v/>
      </c>
      <c r="AK219" s="17" t="str">
        <f t="shared" si="21"/>
        <v/>
      </c>
      <c r="AL219" s="17" t="str">
        <f t="shared" si="22"/>
        <v/>
      </c>
      <c r="AM219" s="17" t="str">
        <f t="shared" si="23"/>
        <v/>
      </c>
      <c r="AN219" s="17">
        <f t="shared" si="24"/>
        <v>0</v>
      </c>
      <c r="AO219" s="17" t="str">
        <f t="shared" ca="1" si="25"/>
        <v/>
      </c>
      <c r="AP219" s="17" t="str">
        <f t="shared" ca="1" si="26"/>
        <v/>
      </c>
      <c r="AQ219" s="17" t="str">
        <f t="shared" si="27"/>
        <v/>
      </c>
      <c r="AR219" s="17" t="str">
        <f t="shared" ca="1" si="28"/>
        <v/>
      </c>
      <c r="AS219" s="18"/>
      <c r="AT219" s="24">
        <f t="shared" si="14"/>
        <v>0</v>
      </c>
      <c r="AU219" s="24">
        <f t="shared" si="15"/>
        <v>0</v>
      </c>
      <c r="AV219" s="24">
        <f t="shared" si="16"/>
        <v>0</v>
      </c>
      <c r="AW219" s="24">
        <f t="shared" si="17"/>
        <v>0</v>
      </c>
      <c r="AX219" s="24">
        <f t="shared" si="18"/>
        <v>0</v>
      </c>
      <c r="AY219" s="24">
        <f t="shared" si="19"/>
        <v>0</v>
      </c>
      <c r="AZ219" s="18"/>
    </row>
    <row r="220" spans="1:52" x14ac:dyDescent="0.25">
      <c r="A220" s="16"/>
      <c r="B220" s="16"/>
      <c r="C220" s="65"/>
      <c r="D220" s="15"/>
      <c r="E220" s="15"/>
      <c r="F220" s="15"/>
      <c r="G220" s="16"/>
      <c r="H220" s="16"/>
      <c r="I220" s="16"/>
      <c r="J220" s="16"/>
      <c r="K220" s="86"/>
      <c r="L220" s="16"/>
      <c r="M220" s="15"/>
      <c r="N220" s="15"/>
      <c r="O220" s="20"/>
      <c r="P220" s="15"/>
      <c r="Q220" s="20"/>
      <c r="R220" s="15"/>
      <c r="S220" s="15"/>
      <c r="T220" s="15"/>
      <c r="U220" s="15"/>
      <c r="V220" s="17"/>
      <c r="W220" s="17"/>
      <c r="X220" s="16"/>
      <c r="Y220" s="20"/>
      <c r="Z220" s="15"/>
      <c r="AA220" s="22"/>
      <c r="AB220" s="90"/>
      <c r="AC220" s="22"/>
      <c r="AD220" s="25"/>
      <c r="AE220" s="25" t="str">
        <f t="shared" si="0"/>
        <v/>
      </c>
      <c r="AF220" s="17" t="str">
        <f t="shared" ca="1" si="1"/>
        <v/>
      </c>
      <c r="AG220" s="17" t="str">
        <f t="shared" si="2"/>
        <v/>
      </c>
      <c r="AH220" s="17" t="str">
        <f t="shared" si="3"/>
        <v/>
      </c>
      <c r="AI220" s="17" t="str">
        <f t="shared" ca="1" si="4"/>
        <v/>
      </c>
      <c r="AJ220" s="17" t="str">
        <f t="shared" ca="1" si="20"/>
        <v/>
      </c>
      <c r="AK220" s="17" t="str">
        <f t="shared" si="21"/>
        <v/>
      </c>
      <c r="AL220" s="17" t="str">
        <f t="shared" si="22"/>
        <v/>
      </c>
      <c r="AM220" s="17" t="str">
        <f t="shared" si="23"/>
        <v/>
      </c>
      <c r="AN220" s="17">
        <f t="shared" si="24"/>
        <v>0</v>
      </c>
      <c r="AO220" s="17" t="str">
        <f t="shared" ca="1" si="25"/>
        <v/>
      </c>
      <c r="AP220" s="17" t="str">
        <f t="shared" ca="1" si="26"/>
        <v/>
      </c>
      <c r="AQ220" s="17" t="str">
        <f t="shared" si="27"/>
        <v/>
      </c>
      <c r="AR220" s="17" t="str">
        <f t="shared" ca="1" si="28"/>
        <v/>
      </c>
      <c r="AS220" s="18"/>
      <c r="AT220" s="24">
        <f t="shared" si="14"/>
        <v>0</v>
      </c>
      <c r="AU220" s="24">
        <f t="shared" si="15"/>
        <v>0</v>
      </c>
      <c r="AV220" s="24">
        <f t="shared" si="16"/>
        <v>0</v>
      </c>
      <c r="AW220" s="24">
        <f t="shared" si="17"/>
        <v>0</v>
      </c>
      <c r="AX220" s="24">
        <f t="shared" si="18"/>
        <v>0</v>
      </c>
      <c r="AY220" s="24">
        <f t="shared" si="19"/>
        <v>0</v>
      </c>
      <c r="AZ220" s="18"/>
    </row>
    <row r="221" spans="1:52" x14ac:dyDescent="0.25">
      <c r="A221" s="16"/>
      <c r="B221" s="16"/>
      <c r="C221" s="65"/>
      <c r="D221" s="15"/>
      <c r="E221" s="15"/>
      <c r="F221" s="15"/>
      <c r="G221" s="16"/>
      <c r="H221" s="16"/>
      <c r="I221" s="16"/>
      <c r="J221" s="16"/>
      <c r="K221" s="86"/>
      <c r="L221" s="16"/>
      <c r="M221" s="15"/>
      <c r="N221" s="15"/>
      <c r="O221" s="20"/>
      <c r="P221" s="15"/>
      <c r="Q221" s="20"/>
      <c r="R221" s="15"/>
      <c r="S221" s="15"/>
      <c r="T221" s="15"/>
      <c r="U221" s="15"/>
      <c r="V221" s="17"/>
      <c r="W221" s="17"/>
      <c r="X221" s="16"/>
      <c r="Y221" s="20"/>
      <c r="Z221" s="15"/>
      <c r="AA221" s="22"/>
      <c r="AB221" s="90"/>
      <c r="AC221" s="22"/>
      <c r="AD221" s="25"/>
      <c r="AE221" s="25" t="str">
        <f t="shared" si="0"/>
        <v/>
      </c>
      <c r="AF221" s="17" t="str">
        <f t="shared" ca="1" si="1"/>
        <v/>
      </c>
      <c r="AG221" s="17" t="str">
        <f t="shared" si="2"/>
        <v/>
      </c>
      <c r="AH221" s="17" t="str">
        <f t="shared" si="3"/>
        <v/>
      </c>
      <c r="AI221" s="17" t="str">
        <f t="shared" ca="1" si="4"/>
        <v/>
      </c>
      <c r="AJ221" s="17" t="str">
        <f t="shared" ca="1" si="20"/>
        <v/>
      </c>
      <c r="AK221" s="17" t="str">
        <f t="shared" si="21"/>
        <v/>
      </c>
      <c r="AL221" s="17" t="str">
        <f t="shared" si="22"/>
        <v/>
      </c>
      <c r="AM221" s="17" t="str">
        <f t="shared" si="23"/>
        <v/>
      </c>
      <c r="AN221" s="17">
        <f t="shared" si="24"/>
        <v>0</v>
      </c>
      <c r="AO221" s="17" t="str">
        <f t="shared" ca="1" si="25"/>
        <v/>
      </c>
      <c r="AP221" s="17" t="str">
        <f t="shared" ca="1" si="26"/>
        <v/>
      </c>
      <c r="AQ221" s="17" t="str">
        <f t="shared" si="27"/>
        <v/>
      </c>
      <c r="AR221" s="17" t="str">
        <f t="shared" ca="1" si="28"/>
        <v/>
      </c>
      <c r="AS221" s="18"/>
      <c r="AT221" s="24">
        <f t="shared" si="14"/>
        <v>0</v>
      </c>
      <c r="AU221" s="24">
        <f t="shared" si="15"/>
        <v>0</v>
      </c>
      <c r="AV221" s="24">
        <f t="shared" si="16"/>
        <v>0</v>
      </c>
      <c r="AW221" s="24">
        <f t="shared" si="17"/>
        <v>0</v>
      </c>
      <c r="AX221" s="24">
        <f t="shared" si="18"/>
        <v>0</v>
      </c>
      <c r="AY221" s="24">
        <f t="shared" si="19"/>
        <v>0</v>
      </c>
      <c r="AZ221" s="18"/>
    </row>
    <row r="222" spans="1:52" x14ac:dyDescent="0.25">
      <c r="A222" s="16"/>
      <c r="B222" s="16"/>
      <c r="C222" s="65"/>
      <c r="D222" s="15"/>
      <c r="E222" s="15"/>
      <c r="F222" s="15"/>
      <c r="G222" s="16"/>
      <c r="H222" s="16"/>
      <c r="I222" s="16"/>
      <c r="J222" s="16"/>
      <c r="K222" s="86"/>
      <c r="L222" s="16"/>
      <c r="M222" s="15"/>
      <c r="N222" s="15"/>
      <c r="O222" s="20"/>
      <c r="P222" s="15"/>
      <c r="Q222" s="20"/>
      <c r="R222" s="15"/>
      <c r="S222" s="15"/>
      <c r="T222" s="15"/>
      <c r="U222" s="15"/>
      <c r="V222" s="17"/>
      <c r="W222" s="17"/>
      <c r="X222" s="16"/>
      <c r="Y222" s="20"/>
      <c r="Z222" s="15"/>
      <c r="AA222" s="22"/>
      <c r="AB222" s="90"/>
      <c r="AC222" s="22"/>
      <c r="AD222" s="25"/>
      <c r="AE222" s="25" t="str">
        <f t="shared" si="0"/>
        <v/>
      </c>
      <c r="AF222" s="17" t="str">
        <f t="shared" ca="1" si="1"/>
        <v/>
      </c>
      <c r="AG222" s="17" t="str">
        <f t="shared" si="2"/>
        <v/>
      </c>
      <c r="AH222" s="17" t="str">
        <f t="shared" si="3"/>
        <v/>
      </c>
      <c r="AI222" s="17" t="str">
        <f t="shared" ca="1" si="4"/>
        <v/>
      </c>
      <c r="AJ222" s="17" t="str">
        <f t="shared" ca="1" si="20"/>
        <v/>
      </c>
      <c r="AK222" s="17" t="str">
        <f t="shared" si="21"/>
        <v/>
      </c>
      <c r="AL222" s="17" t="str">
        <f t="shared" si="22"/>
        <v/>
      </c>
      <c r="AM222" s="17" t="str">
        <f t="shared" si="23"/>
        <v/>
      </c>
      <c r="AN222" s="17">
        <f t="shared" si="24"/>
        <v>0</v>
      </c>
      <c r="AO222" s="17" t="str">
        <f t="shared" ca="1" si="25"/>
        <v/>
      </c>
      <c r="AP222" s="17" t="str">
        <f t="shared" ca="1" si="26"/>
        <v/>
      </c>
      <c r="AQ222" s="17" t="str">
        <f t="shared" si="27"/>
        <v/>
      </c>
      <c r="AR222" s="17" t="str">
        <f t="shared" ca="1" si="28"/>
        <v/>
      </c>
      <c r="AS222" s="18"/>
      <c r="AT222" s="24">
        <f t="shared" si="14"/>
        <v>0</v>
      </c>
      <c r="AU222" s="24">
        <f t="shared" si="15"/>
        <v>0</v>
      </c>
      <c r="AV222" s="24">
        <f t="shared" si="16"/>
        <v>0</v>
      </c>
      <c r="AW222" s="24">
        <f t="shared" si="17"/>
        <v>0</v>
      </c>
      <c r="AX222" s="24">
        <f t="shared" si="18"/>
        <v>0</v>
      </c>
      <c r="AY222" s="24">
        <f t="shared" si="19"/>
        <v>0</v>
      </c>
      <c r="AZ222" s="18"/>
    </row>
    <row r="223" spans="1:52" x14ac:dyDescent="0.25">
      <c r="A223" s="16"/>
      <c r="B223" s="16"/>
      <c r="C223" s="65"/>
      <c r="D223" s="15"/>
      <c r="E223" s="15"/>
      <c r="F223" s="15"/>
      <c r="G223" s="16"/>
      <c r="H223" s="16"/>
      <c r="I223" s="16"/>
      <c r="J223" s="16"/>
      <c r="K223" s="86"/>
      <c r="L223" s="16"/>
      <c r="M223" s="15"/>
      <c r="N223" s="15"/>
      <c r="O223" s="20"/>
      <c r="P223" s="15"/>
      <c r="Q223" s="20"/>
      <c r="R223" s="15"/>
      <c r="S223" s="15"/>
      <c r="T223" s="15"/>
      <c r="U223" s="15"/>
      <c r="V223" s="17"/>
      <c r="W223" s="17"/>
      <c r="X223" s="16"/>
      <c r="Y223" s="20"/>
      <c r="Z223" s="15"/>
      <c r="AA223" s="22"/>
      <c r="AB223" s="90"/>
      <c r="AC223" s="22"/>
      <c r="AD223" s="25"/>
      <c r="AE223" s="25" t="str">
        <f t="shared" si="0"/>
        <v/>
      </c>
      <c r="AF223" s="17" t="str">
        <f t="shared" ca="1" si="1"/>
        <v/>
      </c>
      <c r="AG223" s="17" t="str">
        <f t="shared" si="2"/>
        <v/>
      </c>
      <c r="AH223" s="17" t="str">
        <f t="shared" si="3"/>
        <v/>
      </c>
      <c r="AI223" s="17" t="str">
        <f t="shared" ca="1" si="4"/>
        <v/>
      </c>
      <c r="AJ223" s="17" t="str">
        <f t="shared" ca="1" si="20"/>
        <v/>
      </c>
      <c r="AK223" s="17" t="str">
        <f t="shared" si="21"/>
        <v/>
      </c>
      <c r="AL223" s="17" t="str">
        <f t="shared" si="22"/>
        <v/>
      </c>
      <c r="AM223" s="17" t="str">
        <f t="shared" si="23"/>
        <v/>
      </c>
      <c r="AN223" s="17">
        <f t="shared" si="24"/>
        <v>0</v>
      </c>
      <c r="AO223" s="17" t="str">
        <f t="shared" ca="1" si="25"/>
        <v/>
      </c>
      <c r="AP223" s="17" t="str">
        <f t="shared" ca="1" si="26"/>
        <v/>
      </c>
      <c r="AQ223" s="17" t="str">
        <f t="shared" si="27"/>
        <v/>
      </c>
      <c r="AR223" s="17" t="str">
        <f t="shared" ca="1" si="28"/>
        <v/>
      </c>
      <c r="AS223" s="18"/>
      <c r="AT223" s="24">
        <f t="shared" si="14"/>
        <v>0</v>
      </c>
      <c r="AU223" s="24">
        <f t="shared" si="15"/>
        <v>0</v>
      </c>
      <c r="AV223" s="24">
        <f t="shared" si="16"/>
        <v>0</v>
      </c>
      <c r="AW223" s="24">
        <f t="shared" si="17"/>
        <v>0</v>
      </c>
      <c r="AX223" s="24">
        <f t="shared" si="18"/>
        <v>0</v>
      </c>
      <c r="AY223" s="24">
        <f t="shared" si="19"/>
        <v>0</v>
      </c>
      <c r="AZ223" s="18"/>
    </row>
    <row r="224" spans="1:52" x14ac:dyDescent="0.25">
      <c r="A224" s="16"/>
      <c r="B224" s="16"/>
      <c r="C224" s="65"/>
      <c r="D224" s="15"/>
      <c r="E224" s="15"/>
      <c r="F224" s="15"/>
      <c r="G224" s="16"/>
      <c r="H224" s="16"/>
      <c r="I224" s="16"/>
      <c r="J224" s="16"/>
      <c r="K224" s="86"/>
      <c r="L224" s="16"/>
      <c r="M224" s="15"/>
      <c r="N224" s="15"/>
      <c r="O224" s="20"/>
      <c r="P224" s="15"/>
      <c r="Q224" s="20"/>
      <c r="R224" s="15"/>
      <c r="S224" s="15"/>
      <c r="T224" s="15"/>
      <c r="U224" s="15"/>
      <c r="V224" s="17"/>
      <c r="W224" s="17"/>
      <c r="X224" s="16"/>
      <c r="Y224" s="20"/>
      <c r="Z224" s="15"/>
      <c r="AA224" s="22"/>
      <c r="AB224" s="90"/>
      <c r="AC224" s="22"/>
      <c r="AD224" s="25"/>
      <c r="AE224" s="25" t="str">
        <f t="shared" si="0"/>
        <v/>
      </c>
      <c r="AF224" s="17" t="str">
        <f t="shared" ca="1" si="1"/>
        <v/>
      </c>
      <c r="AG224" s="17" t="str">
        <f t="shared" si="2"/>
        <v/>
      </c>
      <c r="AH224" s="17" t="str">
        <f t="shared" si="3"/>
        <v/>
      </c>
      <c r="AI224" s="17" t="str">
        <f t="shared" ca="1" si="4"/>
        <v/>
      </c>
      <c r="AJ224" s="17" t="str">
        <f t="shared" ca="1" si="20"/>
        <v/>
      </c>
      <c r="AK224" s="17" t="str">
        <f t="shared" si="21"/>
        <v/>
      </c>
      <c r="AL224" s="17" t="str">
        <f t="shared" si="22"/>
        <v/>
      </c>
      <c r="AM224" s="17" t="str">
        <f t="shared" si="23"/>
        <v/>
      </c>
      <c r="AN224" s="17">
        <f t="shared" si="24"/>
        <v>0</v>
      </c>
      <c r="AO224" s="17" t="str">
        <f t="shared" ca="1" si="25"/>
        <v/>
      </c>
      <c r="AP224" s="17" t="str">
        <f t="shared" ca="1" si="26"/>
        <v/>
      </c>
      <c r="AQ224" s="17" t="str">
        <f t="shared" si="27"/>
        <v/>
      </c>
      <c r="AR224" s="17" t="str">
        <f t="shared" ca="1" si="28"/>
        <v/>
      </c>
      <c r="AS224" s="18"/>
      <c r="AT224" s="24">
        <f t="shared" si="14"/>
        <v>0</v>
      </c>
      <c r="AU224" s="24">
        <f t="shared" si="15"/>
        <v>0</v>
      </c>
      <c r="AV224" s="24">
        <f t="shared" si="16"/>
        <v>0</v>
      </c>
      <c r="AW224" s="24">
        <f t="shared" si="17"/>
        <v>0</v>
      </c>
      <c r="AX224" s="24">
        <f t="shared" si="18"/>
        <v>0</v>
      </c>
      <c r="AY224" s="24">
        <f t="shared" si="19"/>
        <v>0</v>
      </c>
      <c r="AZ224" s="18"/>
    </row>
    <row r="225" spans="1:52" x14ac:dyDescent="0.25">
      <c r="A225" s="16"/>
      <c r="B225" s="16"/>
      <c r="C225" s="65"/>
      <c r="D225" s="15"/>
      <c r="E225" s="15"/>
      <c r="F225" s="15"/>
      <c r="G225" s="16"/>
      <c r="H225" s="16"/>
      <c r="I225" s="16"/>
      <c r="J225" s="16"/>
      <c r="K225" s="86"/>
      <c r="L225" s="16"/>
      <c r="M225" s="15"/>
      <c r="N225" s="15"/>
      <c r="O225" s="20"/>
      <c r="P225" s="15"/>
      <c r="Q225" s="20"/>
      <c r="R225" s="15"/>
      <c r="S225" s="15"/>
      <c r="T225" s="15"/>
      <c r="U225" s="15"/>
      <c r="V225" s="17"/>
      <c r="W225" s="17"/>
      <c r="X225" s="16"/>
      <c r="Y225" s="20"/>
      <c r="Z225" s="15"/>
      <c r="AA225" s="22"/>
      <c r="AB225" s="90"/>
      <c r="AC225" s="22"/>
      <c r="AD225" s="25"/>
      <c r="AE225" s="25" t="str">
        <f t="shared" si="0"/>
        <v/>
      </c>
      <c r="AF225" s="17" t="str">
        <f t="shared" ca="1" si="1"/>
        <v/>
      </c>
      <c r="AG225" s="17" t="str">
        <f t="shared" si="2"/>
        <v/>
      </c>
      <c r="AH225" s="17" t="str">
        <f t="shared" si="3"/>
        <v/>
      </c>
      <c r="AI225" s="17" t="str">
        <f t="shared" ca="1" si="4"/>
        <v/>
      </c>
      <c r="AJ225" s="17" t="str">
        <f t="shared" ca="1" si="20"/>
        <v/>
      </c>
      <c r="AK225" s="17" t="str">
        <f t="shared" si="21"/>
        <v/>
      </c>
      <c r="AL225" s="17" t="str">
        <f t="shared" si="22"/>
        <v/>
      </c>
      <c r="AM225" s="17" t="str">
        <f t="shared" si="23"/>
        <v/>
      </c>
      <c r="AN225" s="17">
        <f t="shared" si="24"/>
        <v>0</v>
      </c>
      <c r="AO225" s="17" t="str">
        <f t="shared" ca="1" si="25"/>
        <v/>
      </c>
      <c r="AP225" s="17" t="str">
        <f t="shared" ca="1" si="26"/>
        <v/>
      </c>
      <c r="AQ225" s="17" t="str">
        <f t="shared" si="27"/>
        <v/>
      </c>
      <c r="AR225" s="17" t="str">
        <f t="shared" ca="1" si="28"/>
        <v/>
      </c>
      <c r="AS225" s="18"/>
      <c r="AT225" s="24">
        <f t="shared" si="14"/>
        <v>0</v>
      </c>
      <c r="AU225" s="24">
        <f t="shared" si="15"/>
        <v>0</v>
      </c>
      <c r="AV225" s="24">
        <f t="shared" si="16"/>
        <v>0</v>
      </c>
      <c r="AW225" s="24">
        <f t="shared" si="17"/>
        <v>0</v>
      </c>
      <c r="AX225" s="24">
        <f t="shared" si="18"/>
        <v>0</v>
      </c>
      <c r="AY225" s="24">
        <f t="shared" si="19"/>
        <v>0</v>
      </c>
      <c r="AZ225" s="18"/>
    </row>
    <row r="226" spans="1:52" x14ac:dyDescent="0.25">
      <c r="A226" s="16"/>
      <c r="B226" s="16"/>
      <c r="C226" s="65"/>
      <c r="D226" s="15"/>
      <c r="E226" s="15"/>
      <c r="F226" s="15"/>
      <c r="G226" s="16"/>
      <c r="H226" s="16"/>
      <c r="I226" s="16"/>
      <c r="J226" s="16"/>
      <c r="K226" s="86"/>
      <c r="L226" s="16"/>
      <c r="M226" s="15"/>
      <c r="N226" s="15"/>
      <c r="O226" s="20"/>
      <c r="P226" s="15"/>
      <c r="Q226" s="20"/>
      <c r="R226" s="15"/>
      <c r="S226" s="15"/>
      <c r="T226" s="15"/>
      <c r="U226" s="15"/>
      <c r="V226" s="17"/>
      <c r="W226" s="17"/>
      <c r="X226" s="16"/>
      <c r="Y226" s="20"/>
      <c r="Z226" s="15"/>
      <c r="AA226" s="22"/>
      <c r="AB226" s="90"/>
      <c r="AC226" s="22"/>
      <c r="AD226" s="25"/>
      <c r="AE226" s="25" t="str">
        <f t="shared" si="0"/>
        <v/>
      </c>
      <c r="AF226" s="17" t="str">
        <f t="shared" ca="1" si="1"/>
        <v/>
      </c>
      <c r="AG226" s="17" t="str">
        <f t="shared" si="2"/>
        <v/>
      </c>
      <c r="AH226" s="17" t="str">
        <f t="shared" si="3"/>
        <v/>
      </c>
      <c r="AI226" s="17" t="str">
        <f t="shared" ca="1" si="4"/>
        <v/>
      </c>
      <c r="AJ226" s="17" t="str">
        <f t="shared" ca="1" si="20"/>
        <v/>
      </c>
      <c r="AK226" s="17" t="str">
        <f t="shared" si="21"/>
        <v/>
      </c>
      <c r="AL226" s="17" t="str">
        <f t="shared" si="22"/>
        <v/>
      </c>
      <c r="AM226" s="17" t="str">
        <f t="shared" si="23"/>
        <v/>
      </c>
      <c r="AN226" s="17">
        <f t="shared" si="24"/>
        <v>0</v>
      </c>
      <c r="AO226" s="17" t="str">
        <f t="shared" ca="1" si="25"/>
        <v/>
      </c>
      <c r="AP226" s="17" t="str">
        <f t="shared" ca="1" si="26"/>
        <v/>
      </c>
      <c r="AQ226" s="17" t="str">
        <f t="shared" si="27"/>
        <v/>
      </c>
      <c r="AR226" s="17" t="str">
        <f t="shared" ca="1" si="28"/>
        <v/>
      </c>
      <c r="AS226" s="18"/>
      <c r="AT226" s="24">
        <f t="shared" si="14"/>
        <v>0</v>
      </c>
      <c r="AU226" s="24">
        <f t="shared" si="15"/>
        <v>0</v>
      </c>
      <c r="AV226" s="24">
        <f t="shared" si="16"/>
        <v>0</v>
      </c>
      <c r="AW226" s="24">
        <f t="shared" si="17"/>
        <v>0</v>
      </c>
      <c r="AX226" s="24">
        <f t="shared" si="18"/>
        <v>0</v>
      </c>
      <c r="AY226" s="24">
        <f t="shared" si="19"/>
        <v>0</v>
      </c>
      <c r="AZ226" s="18"/>
    </row>
    <row r="227" spans="1:52" x14ac:dyDescent="0.25">
      <c r="A227" s="16"/>
      <c r="B227" s="16"/>
      <c r="C227" s="65"/>
      <c r="D227" s="15"/>
      <c r="E227" s="15"/>
      <c r="F227" s="15"/>
      <c r="G227" s="16"/>
      <c r="H227" s="16"/>
      <c r="I227" s="16"/>
      <c r="J227" s="16"/>
      <c r="K227" s="86"/>
      <c r="L227" s="16"/>
      <c r="M227" s="15"/>
      <c r="N227" s="15"/>
      <c r="O227" s="20"/>
      <c r="P227" s="15"/>
      <c r="Q227" s="20"/>
      <c r="R227" s="15"/>
      <c r="S227" s="15"/>
      <c r="T227" s="15"/>
      <c r="U227" s="15"/>
      <c r="V227" s="17"/>
      <c r="W227" s="17"/>
      <c r="X227" s="16"/>
      <c r="Y227" s="20"/>
      <c r="Z227" s="15"/>
      <c r="AA227" s="22"/>
      <c r="AB227" s="90"/>
      <c r="AC227" s="22"/>
      <c r="AD227" s="25"/>
      <c r="AE227" s="25" t="str">
        <f t="shared" si="0"/>
        <v/>
      </c>
      <c r="AF227" s="17" t="str">
        <f t="shared" ca="1" si="1"/>
        <v/>
      </c>
      <c r="AG227" s="17" t="str">
        <f t="shared" si="2"/>
        <v/>
      </c>
      <c r="AH227" s="17" t="str">
        <f t="shared" si="3"/>
        <v/>
      </c>
      <c r="AI227" s="17" t="str">
        <f t="shared" ca="1" si="4"/>
        <v/>
      </c>
      <c r="AJ227" s="17" t="str">
        <f t="shared" ca="1" si="20"/>
        <v/>
      </c>
      <c r="AK227" s="17" t="str">
        <f t="shared" si="21"/>
        <v/>
      </c>
      <c r="AL227" s="17" t="str">
        <f t="shared" si="22"/>
        <v/>
      </c>
      <c r="AM227" s="17" t="str">
        <f t="shared" si="23"/>
        <v/>
      </c>
      <c r="AN227" s="17">
        <f t="shared" si="24"/>
        <v>0</v>
      </c>
      <c r="AO227" s="17" t="str">
        <f t="shared" ca="1" si="25"/>
        <v/>
      </c>
      <c r="AP227" s="17" t="str">
        <f t="shared" ca="1" si="26"/>
        <v/>
      </c>
      <c r="AQ227" s="17" t="str">
        <f t="shared" si="27"/>
        <v/>
      </c>
      <c r="AR227" s="17" t="str">
        <f t="shared" ca="1" si="28"/>
        <v/>
      </c>
      <c r="AS227" s="18"/>
      <c r="AT227" s="24">
        <f t="shared" si="14"/>
        <v>0</v>
      </c>
      <c r="AU227" s="24">
        <f t="shared" si="15"/>
        <v>0</v>
      </c>
      <c r="AV227" s="24">
        <f t="shared" si="16"/>
        <v>0</v>
      </c>
      <c r="AW227" s="24">
        <f t="shared" si="17"/>
        <v>0</v>
      </c>
      <c r="AX227" s="24">
        <f t="shared" si="18"/>
        <v>0</v>
      </c>
      <c r="AY227" s="24">
        <f t="shared" si="19"/>
        <v>0</v>
      </c>
      <c r="AZ227" s="18"/>
    </row>
    <row r="228" spans="1:52" x14ac:dyDescent="0.25">
      <c r="A228" s="16"/>
      <c r="B228" s="16"/>
      <c r="C228" s="65"/>
      <c r="D228" s="15"/>
      <c r="E228" s="15"/>
      <c r="F228" s="15"/>
      <c r="G228" s="16"/>
      <c r="H228" s="16"/>
      <c r="I228" s="16"/>
      <c r="J228" s="16"/>
      <c r="K228" s="86"/>
      <c r="L228" s="16"/>
      <c r="M228" s="15"/>
      <c r="N228" s="15"/>
      <c r="O228" s="20"/>
      <c r="P228" s="15"/>
      <c r="Q228" s="20"/>
      <c r="R228" s="15"/>
      <c r="S228" s="15"/>
      <c r="T228" s="15"/>
      <c r="U228" s="15"/>
      <c r="V228" s="17"/>
      <c r="W228" s="17"/>
      <c r="X228" s="16"/>
      <c r="Y228" s="20"/>
      <c r="Z228" s="15"/>
      <c r="AA228" s="22"/>
      <c r="AB228" s="90"/>
      <c r="AC228" s="22"/>
      <c r="AD228" s="25"/>
      <c r="AE228" s="25" t="str">
        <f t="shared" si="0"/>
        <v/>
      </c>
      <c r="AF228" s="17" t="str">
        <f t="shared" ca="1" si="1"/>
        <v/>
      </c>
      <c r="AG228" s="17" t="str">
        <f t="shared" si="2"/>
        <v/>
      </c>
      <c r="AH228" s="17" t="str">
        <f t="shared" si="3"/>
        <v/>
      </c>
      <c r="AI228" s="17" t="str">
        <f t="shared" ca="1" si="4"/>
        <v/>
      </c>
      <c r="AJ228" s="17" t="str">
        <f t="shared" ca="1" si="20"/>
        <v/>
      </c>
      <c r="AK228" s="17" t="str">
        <f t="shared" si="21"/>
        <v/>
      </c>
      <c r="AL228" s="17" t="str">
        <f t="shared" si="22"/>
        <v/>
      </c>
      <c r="AM228" s="17" t="str">
        <f t="shared" si="23"/>
        <v/>
      </c>
      <c r="AN228" s="17">
        <f t="shared" si="24"/>
        <v>0</v>
      </c>
      <c r="AO228" s="17" t="str">
        <f t="shared" ca="1" si="25"/>
        <v/>
      </c>
      <c r="AP228" s="17" t="str">
        <f t="shared" ca="1" si="26"/>
        <v/>
      </c>
      <c r="AQ228" s="17" t="str">
        <f t="shared" si="27"/>
        <v/>
      </c>
      <c r="AR228" s="17" t="str">
        <f t="shared" ca="1" si="28"/>
        <v/>
      </c>
      <c r="AS228" s="18"/>
      <c r="AT228" s="24">
        <f t="shared" si="14"/>
        <v>0</v>
      </c>
      <c r="AU228" s="24">
        <f t="shared" si="15"/>
        <v>0</v>
      </c>
      <c r="AV228" s="24">
        <f t="shared" si="16"/>
        <v>0</v>
      </c>
      <c r="AW228" s="24">
        <f t="shared" si="17"/>
        <v>0</v>
      </c>
      <c r="AX228" s="24">
        <f t="shared" si="18"/>
        <v>0</v>
      </c>
      <c r="AY228" s="24">
        <f t="shared" si="19"/>
        <v>0</v>
      </c>
      <c r="AZ228" s="18"/>
    </row>
    <row r="229" spans="1:52" x14ac:dyDescent="0.25">
      <c r="A229" s="16"/>
      <c r="B229" s="16"/>
      <c r="C229" s="65"/>
      <c r="D229" s="15"/>
      <c r="E229" s="15"/>
      <c r="F229" s="15"/>
      <c r="G229" s="16"/>
      <c r="H229" s="16"/>
      <c r="I229" s="16"/>
      <c r="J229" s="16"/>
      <c r="K229" s="86"/>
      <c r="L229" s="16"/>
      <c r="M229" s="15"/>
      <c r="N229" s="15"/>
      <c r="O229" s="20"/>
      <c r="P229" s="15"/>
      <c r="Q229" s="20"/>
      <c r="R229" s="15"/>
      <c r="S229" s="15"/>
      <c r="T229" s="15"/>
      <c r="U229" s="15"/>
      <c r="V229" s="17"/>
      <c r="W229" s="17"/>
      <c r="X229" s="16"/>
      <c r="Y229" s="20"/>
      <c r="Z229" s="15"/>
      <c r="AA229" s="22"/>
      <c r="AB229" s="90"/>
      <c r="AC229" s="22"/>
      <c r="AD229" s="25"/>
      <c r="AE229" s="25" t="str">
        <f t="shared" si="0"/>
        <v/>
      </c>
      <c r="AF229" s="17" t="str">
        <f t="shared" ca="1" si="1"/>
        <v/>
      </c>
      <c r="AG229" s="17" t="str">
        <f t="shared" si="2"/>
        <v/>
      </c>
      <c r="AH229" s="17" t="str">
        <f t="shared" si="3"/>
        <v/>
      </c>
      <c r="AI229" s="17" t="str">
        <f t="shared" ca="1" si="4"/>
        <v/>
      </c>
      <c r="AJ229" s="17" t="str">
        <f t="shared" ca="1" si="20"/>
        <v/>
      </c>
      <c r="AK229" s="17" t="str">
        <f t="shared" si="21"/>
        <v/>
      </c>
      <c r="AL229" s="17" t="str">
        <f t="shared" si="22"/>
        <v/>
      </c>
      <c r="AM229" s="17" t="str">
        <f t="shared" si="23"/>
        <v/>
      </c>
      <c r="AN229" s="17">
        <f t="shared" si="24"/>
        <v>0</v>
      </c>
      <c r="AO229" s="17" t="str">
        <f t="shared" ca="1" si="25"/>
        <v/>
      </c>
      <c r="AP229" s="17" t="str">
        <f t="shared" ca="1" si="26"/>
        <v/>
      </c>
      <c r="AQ229" s="17" t="str">
        <f t="shared" si="27"/>
        <v/>
      </c>
      <c r="AR229" s="17" t="str">
        <f t="shared" ca="1" si="28"/>
        <v/>
      </c>
      <c r="AS229" s="18"/>
      <c r="AT229" s="24">
        <f t="shared" si="14"/>
        <v>0</v>
      </c>
      <c r="AU229" s="24">
        <f t="shared" si="15"/>
        <v>0</v>
      </c>
      <c r="AV229" s="24">
        <f t="shared" si="16"/>
        <v>0</v>
      </c>
      <c r="AW229" s="24">
        <f t="shared" si="17"/>
        <v>0</v>
      </c>
      <c r="AX229" s="24">
        <f t="shared" si="18"/>
        <v>0</v>
      </c>
      <c r="AY229" s="24">
        <f t="shared" si="19"/>
        <v>0</v>
      </c>
      <c r="AZ229" s="18"/>
    </row>
    <row r="230" spans="1:52" x14ac:dyDescent="0.25">
      <c r="A230" s="16"/>
      <c r="B230" s="16"/>
      <c r="C230" s="65"/>
      <c r="D230" s="15"/>
      <c r="E230" s="15"/>
      <c r="F230" s="15"/>
      <c r="G230" s="16"/>
      <c r="H230" s="16"/>
      <c r="I230" s="16"/>
      <c r="J230" s="16"/>
      <c r="K230" s="86"/>
      <c r="L230" s="16"/>
      <c r="M230" s="15"/>
      <c r="N230" s="15"/>
      <c r="O230" s="20"/>
      <c r="P230" s="15"/>
      <c r="Q230" s="20"/>
      <c r="R230" s="15"/>
      <c r="S230" s="15"/>
      <c r="T230" s="15"/>
      <c r="U230" s="15"/>
      <c r="V230" s="17"/>
      <c r="W230" s="17"/>
      <c r="X230" s="16"/>
      <c r="Y230" s="20"/>
      <c r="Z230" s="15"/>
      <c r="AA230" s="22"/>
      <c r="AB230" s="90"/>
      <c r="AC230" s="22"/>
      <c r="AD230" s="25"/>
      <c r="AE230" s="25" t="str">
        <f t="shared" si="0"/>
        <v/>
      </c>
      <c r="AF230" s="17" t="str">
        <f t="shared" ca="1" si="1"/>
        <v/>
      </c>
      <c r="AG230" s="17" t="str">
        <f t="shared" si="2"/>
        <v/>
      </c>
      <c r="AH230" s="17" t="str">
        <f t="shared" si="3"/>
        <v/>
      </c>
      <c r="AI230" s="17" t="str">
        <f t="shared" ca="1" si="4"/>
        <v/>
      </c>
      <c r="AJ230" s="17" t="str">
        <f t="shared" ca="1" si="20"/>
        <v/>
      </c>
      <c r="AK230" s="17" t="str">
        <f t="shared" si="21"/>
        <v/>
      </c>
      <c r="AL230" s="17" t="str">
        <f t="shared" si="22"/>
        <v/>
      </c>
      <c r="AM230" s="17" t="str">
        <f t="shared" si="23"/>
        <v/>
      </c>
      <c r="AN230" s="17">
        <f t="shared" si="24"/>
        <v>0</v>
      </c>
      <c r="AO230" s="17" t="str">
        <f t="shared" ca="1" si="25"/>
        <v/>
      </c>
      <c r="AP230" s="17" t="str">
        <f t="shared" ca="1" si="26"/>
        <v/>
      </c>
      <c r="AQ230" s="17" t="str">
        <f t="shared" si="27"/>
        <v/>
      </c>
      <c r="AR230" s="17" t="str">
        <f t="shared" ca="1" si="28"/>
        <v/>
      </c>
      <c r="AS230" s="18"/>
      <c r="AT230" s="24">
        <f t="shared" si="14"/>
        <v>0</v>
      </c>
      <c r="AU230" s="24">
        <f t="shared" si="15"/>
        <v>0</v>
      </c>
      <c r="AV230" s="24">
        <f t="shared" si="16"/>
        <v>0</v>
      </c>
      <c r="AW230" s="24">
        <f t="shared" si="17"/>
        <v>0</v>
      </c>
      <c r="AX230" s="24">
        <f t="shared" si="18"/>
        <v>0</v>
      </c>
      <c r="AY230" s="24">
        <f t="shared" si="19"/>
        <v>0</v>
      </c>
      <c r="AZ230" s="18"/>
    </row>
    <row r="231" spans="1:52" x14ac:dyDescent="0.25">
      <c r="A231" s="16"/>
      <c r="B231" s="16"/>
      <c r="C231" s="65"/>
      <c r="D231" s="15"/>
      <c r="E231" s="15"/>
      <c r="F231" s="15"/>
      <c r="G231" s="16"/>
      <c r="H231" s="16"/>
      <c r="I231" s="16"/>
      <c r="J231" s="16"/>
      <c r="K231" s="86"/>
      <c r="L231" s="16"/>
      <c r="M231" s="15"/>
      <c r="N231" s="15"/>
      <c r="O231" s="20"/>
      <c r="P231" s="15"/>
      <c r="Q231" s="20"/>
      <c r="R231" s="15"/>
      <c r="S231" s="15"/>
      <c r="T231" s="15"/>
      <c r="U231" s="15"/>
      <c r="V231" s="17"/>
      <c r="W231" s="17"/>
      <c r="X231" s="16"/>
      <c r="Y231" s="20"/>
      <c r="Z231" s="15"/>
      <c r="AA231" s="22"/>
      <c r="AB231" s="90"/>
      <c r="AC231" s="22"/>
      <c r="AD231" s="25"/>
      <c r="AE231" s="25" t="str">
        <f t="shared" si="0"/>
        <v/>
      </c>
      <c r="AF231" s="17" t="str">
        <f t="shared" ca="1" si="1"/>
        <v/>
      </c>
      <c r="AG231" s="17" t="str">
        <f t="shared" si="2"/>
        <v/>
      </c>
      <c r="AH231" s="17" t="str">
        <f t="shared" si="3"/>
        <v/>
      </c>
      <c r="AI231" s="17" t="str">
        <f t="shared" ca="1" si="4"/>
        <v/>
      </c>
      <c r="AJ231" s="17" t="str">
        <f t="shared" ca="1" si="20"/>
        <v/>
      </c>
      <c r="AK231" s="17" t="str">
        <f t="shared" si="21"/>
        <v/>
      </c>
      <c r="AL231" s="17" t="str">
        <f t="shared" si="22"/>
        <v/>
      </c>
      <c r="AM231" s="17" t="str">
        <f t="shared" si="23"/>
        <v/>
      </c>
      <c r="AN231" s="17">
        <f t="shared" si="24"/>
        <v>0</v>
      </c>
      <c r="AO231" s="17" t="str">
        <f t="shared" ca="1" si="25"/>
        <v/>
      </c>
      <c r="AP231" s="17" t="str">
        <f t="shared" ca="1" si="26"/>
        <v/>
      </c>
      <c r="AQ231" s="17" t="str">
        <f t="shared" si="27"/>
        <v/>
      </c>
      <c r="AR231" s="17" t="str">
        <f t="shared" ca="1" si="28"/>
        <v/>
      </c>
      <c r="AS231" s="18"/>
      <c r="AT231" s="24">
        <f t="shared" si="14"/>
        <v>0</v>
      </c>
      <c r="AU231" s="24">
        <f t="shared" si="15"/>
        <v>0</v>
      </c>
      <c r="AV231" s="24">
        <f t="shared" si="16"/>
        <v>0</v>
      </c>
      <c r="AW231" s="24">
        <f t="shared" si="17"/>
        <v>0</v>
      </c>
      <c r="AX231" s="24">
        <f t="shared" si="18"/>
        <v>0</v>
      </c>
      <c r="AY231" s="24">
        <f t="shared" si="19"/>
        <v>0</v>
      </c>
      <c r="AZ231" s="18"/>
    </row>
    <row r="232" spans="1:52" x14ac:dyDescent="0.25">
      <c r="A232" s="16"/>
      <c r="B232" s="16"/>
      <c r="C232" s="65"/>
      <c r="D232" s="15"/>
      <c r="E232" s="15"/>
      <c r="F232" s="15"/>
      <c r="G232" s="16"/>
      <c r="H232" s="16"/>
      <c r="I232" s="16"/>
      <c r="J232" s="16"/>
      <c r="K232" s="86"/>
      <c r="L232" s="16"/>
      <c r="M232" s="15"/>
      <c r="N232" s="15"/>
      <c r="O232" s="20"/>
      <c r="P232" s="15"/>
      <c r="Q232" s="20"/>
      <c r="R232" s="15"/>
      <c r="S232" s="15"/>
      <c r="T232" s="15"/>
      <c r="U232" s="15"/>
      <c r="V232" s="17"/>
      <c r="W232" s="17"/>
      <c r="X232" s="16"/>
      <c r="Y232" s="20"/>
      <c r="Z232" s="15"/>
      <c r="AA232" s="22"/>
      <c r="AB232" s="90"/>
      <c r="AC232" s="22"/>
      <c r="AD232" s="25"/>
      <c r="AE232" s="25" t="str">
        <f t="shared" si="0"/>
        <v/>
      </c>
      <c r="AF232" s="17" t="str">
        <f t="shared" ca="1" si="1"/>
        <v/>
      </c>
      <c r="AG232" s="17" t="str">
        <f t="shared" si="2"/>
        <v/>
      </c>
      <c r="AH232" s="17" t="str">
        <f t="shared" si="3"/>
        <v/>
      </c>
      <c r="AI232" s="17" t="str">
        <f t="shared" ca="1" si="4"/>
        <v/>
      </c>
      <c r="AJ232" s="17" t="str">
        <f t="shared" ca="1" si="20"/>
        <v/>
      </c>
      <c r="AK232" s="17" t="str">
        <f t="shared" si="21"/>
        <v/>
      </c>
      <c r="AL232" s="17" t="str">
        <f t="shared" si="22"/>
        <v/>
      </c>
      <c r="AM232" s="17" t="str">
        <f t="shared" si="23"/>
        <v/>
      </c>
      <c r="AN232" s="17">
        <f t="shared" si="24"/>
        <v>0</v>
      </c>
      <c r="AO232" s="17" t="str">
        <f t="shared" ca="1" si="25"/>
        <v/>
      </c>
      <c r="AP232" s="17" t="str">
        <f t="shared" ca="1" si="26"/>
        <v/>
      </c>
      <c r="AQ232" s="17" t="str">
        <f t="shared" si="27"/>
        <v/>
      </c>
      <c r="AR232" s="17" t="str">
        <f t="shared" ca="1" si="28"/>
        <v/>
      </c>
      <c r="AS232" s="18"/>
      <c r="AT232" s="24">
        <f t="shared" si="14"/>
        <v>0</v>
      </c>
      <c r="AU232" s="24">
        <f t="shared" si="15"/>
        <v>0</v>
      </c>
      <c r="AV232" s="24">
        <f t="shared" si="16"/>
        <v>0</v>
      </c>
      <c r="AW232" s="24">
        <f t="shared" si="17"/>
        <v>0</v>
      </c>
      <c r="AX232" s="24">
        <f t="shared" si="18"/>
        <v>0</v>
      </c>
      <c r="AY232" s="24">
        <f t="shared" si="19"/>
        <v>0</v>
      </c>
      <c r="AZ232" s="18"/>
    </row>
    <row r="233" spans="1:52" x14ac:dyDescent="0.25">
      <c r="A233" s="16"/>
      <c r="B233" s="16"/>
      <c r="C233" s="65"/>
      <c r="D233" s="15"/>
      <c r="E233" s="15"/>
      <c r="F233" s="15"/>
      <c r="G233" s="16"/>
      <c r="H233" s="16"/>
      <c r="I233" s="16"/>
      <c r="J233" s="16"/>
      <c r="K233" s="86"/>
      <c r="L233" s="16"/>
      <c r="M233" s="15"/>
      <c r="N233" s="15"/>
      <c r="O233" s="20"/>
      <c r="P233" s="15"/>
      <c r="Q233" s="20"/>
      <c r="R233" s="15"/>
      <c r="S233" s="15"/>
      <c r="T233" s="15"/>
      <c r="U233" s="15"/>
      <c r="V233" s="17"/>
      <c r="W233" s="17"/>
      <c r="X233" s="16"/>
      <c r="Y233" s="20"/>
      <c r="Z233" s="15"/>
      <c r="AA233" s="22"/>
      <c r="AB233" s="90"/>
      <c r="AC233" s="22"/>
      <c r="AD233" s="25"/>
      <c r="AE233" s="25" t="str">
        <f t="shared" si="0"/>
        <v/>
      </c>
      <c r="AF233" s="17" t="str">
        <f t="shared" ca="1" si="1"/>
        <v/>
      </c>
      <c r="AG233" s="17" t="str">
        <f t="shared" si="2"/>
        <v/>
      </c>
      <c r="AH233" s="17" t="str">
        <f t="shared" si="3"/>
        <v/>
      </c>
      <c r="AI233" s="17" t="str">
        <f t="shared" ca="1" si="4"/>
        <v/>
      </c>
      <c r="AJ233" s="17" t="str">
        <f t="shared" ca="1" si="20"/>
        <v/>
      </c>
      <c r="AK233" s="17" t="str">
        <f t="shared" si="21"/>
        <v/>
      </c>
      <c r="AL233" s="17" t="str">
        <f t="shared" si="22"/>
        <v/>
      </c>
      <c r="AM233" s="17" t="str">
        <f t="shared" si="23"/>
        <v/>
      </c>
      <c r="AN233" s="17">
        <f t="shared" si="24"/>
        <v>0</v>
      </c>
      <c r="AO233" s="17" t="str">
        <f t="shared" ca="1" si="25"/>
        <v/>
      </c>
      <c r="AP233" s="17" t="str">
        <f t="shared" ca="1" si="26"/>
        <v/>
      </c>
      <c r="AQ233" s="17" t="str">
        <f t="shared" si="27"/>
        <v/>
      </c>
      <c r="AR233" s="17" t="str">
        <f t="shared" ca="1" si="28"/>
        <v/>
      </c>
      <c r="AS233" s="18"/>
      <c r="AT233" s="24">
        <f t="shared" si="14"/>
        <v>0</v>
      </c>
      <c r="AU233" s="24">
        <f t="shared" si="15"/>
        <v>0</v>
      </c>
      <c r="AV233" s="24">
        <f t="shared" si="16"/>
        <v>0</v>
      </c>
      <c r="AW233" s="24">
        <f t="shared" si="17"/>
        <v>0</v>
      </c>
      <c r="AX233" s="24">
        <f t="shared" si="18"/>
        <v>0</v>
      </c>
      <c r="AY233" s="24">
        <f t="shared" si="19"/>
        <v>0</v>
      </c>
      <c r="AZ233" s="18"/>
    </row>
    <row r="234" spans="1:52" x14ac:dyDescent="0.25">
      <c r="A234" s="16"/>
      <c r="B234" s="16"/>
      <c r="C234" s="65"/>
      <c r="D234" s="15"/>
      <c r="E234" s="15"/>
      <c r="F234" s="15"/>
      <c r="G234" s="16"/>
      <c r="H234" s="16"/>
      <c r="I234" s="16"/>
      <c r="J234" s="16"/>
      <c r="K234" s="86"/>
      <c r="L234" s="16"/>
      <c r="M234" s="15"/>
      <c r="N234" s="15"/>
      <c r="O234" s="20"/>
      <c r="P234" s="15"/>
      <c r="Q234" s="20"/>
      <c r="R234" s="15"/>
      <c r="S234" s="15"/>
      <c r="T234" s="15"/>
      <c r="U234" s="15"/>
      <c r="V234" s="17"/>
      <c r="W234" s="17"/>
      <c r="X234" s="16"/>
      <c r="Y234" s="20"/>
      <c r="Z234" s="15"/>
      <c r="AA234" s="22"/>
      <c r="AB234" s="90"/>
      <c r="AC234" s="22"/>
      <c r="AD234" s="25"/>
      <c r="AE234" s="25" t="str">
        <f t="shared" si="0"/>
        <v/>
      </c>
      <c r="AF234" s="17" t="str">
        <f t="shared" ca="1" si="1"/>
        <v/>
      </c>
      <c r="AG234" s="17" t="str">
        <f t="shared" si="2"/>
        <v/>
      </c>
      <c r="AH234" s="17" t="str">
        <f t="shared" si="3"/>
        <v/>
      </c>
      <c r="AI234" s="17" t="str">
        <f t="shared" ca="1" si="4"/>
        <v/>
      </c>
      <c r="AJ234" s="17" t="str">
        <f t="shared" ca="1" si="20"/>
        <v/>
      </c>
      <c r="AK234" s="17" t="str">
        <f t="shared" si="21"/>
        <v/>
      </c>
      <c r="AL234" s="17" t="str">
        <f t="shared" si="22"/>
        <v/>
      </c>
      <c r="AM234" s="17" t="str">
        <f t="shared" si="23"/>
        <v/>
      </c>
      <c r="AN234" s="17">
        <f t="shared" si="24"/>
        <v>0</v>
      </c>
      <c r="AO234" s="17" t="str">
        <f t="shared" ca="1" si="25"/>
        <v/>
      </c>
      <c r="AP234" s="17" t="str">
        <f t="shared" ca="1" si="26"/>
        <v/>
      </c>
      <c r="AQ234" s="17" t="str">
        <f t="shared" si="27"/>
        <v/>
      </c>
      <c r="AR234" s="17" t="str">
        <f t="shared" ca="1" si="28"/>
        <v/>
      </c>
      <c r="AS234" s="18"/>
      <c r="AT234" s="24">
        <f t="shared" si="14"/>
        <v>0</v>
      </c>
      <c r="AU234" s="24">
        <f t="shared" si="15"/>
        <v>0</v>
      </c>
      <c r="AV234" s="24">
        <f t="shared" si="16"/>
        <v>0</v>
      </c>
      <c r="AW234" s="24">
        <f t="shared" si="17"/>
        <v>0</v>
      </c>
      <c r="AX234" s="24">
        <f t="shared" si="18"/>
        <v>0</v>
      </c>
      <c r="AY234" s="24">
        <f t="shared" si="19"/>
        <v>0</v>
      </c>
      <c r="AZ234" s="18"/>
    </row>
    <row r="235" spans="1:52" x14ac:dyDescent="0.25">
      <c r="A235" s="16"/>
      <c r="B235" s="16"/>
      <c r="C235" s="65"/>
      <c r="D235" s="15"/>
      <c r="E235" s="15"/>
      <c r="F235" s="15"/>
      <c r="G235" s="16"/>
      <c r="H235" s="16"/>
      <c r="I235" s="16"/>
      <c r="J235" s="16"/>
      <c r="K235" s="86"/>
      <c r="L235" s="16"/>
      <c r="M235" s="15"/>
      <c r="N235" s="15"/>
      <c r="O235" s="20"/>
      <c r="P235" s="15"/>
      <c r="Q235" s="20"/>
      <c r="R235" s="15"/>
      <c r="S235" s="15"/>
      <c r="T235" s="15"/>
      <c r="U235" s="15"/>
      <c r="V235" s="17"/>
      <c r="W235" s="17"/>
      <c r="X235" s="16"/>
      <c r="Y235" s="20"/>
      <c r="Z235" s="15"/>
      <c r="AA235" s="22"/>
      <c r="AB235" s="90"/>
      <c r="AC235" s="22"/>
      <c r="AD235" s="25"/>
      <c r="AE235" s="25" t="str">
        <f t="shared" si="0"/>
        <v/>
      </c>
      <c r="AF235" s="17" t="str">
        <f t="shared" ca="1" si="1"/>
        <v/>
      </c>
      <c r="AG235" s="17" t="str">
        <f t="shared" si="2"/>
        <v/>
      </c>
      <c r="AH235" s="17" t="str">
        <f t="shared" si="3"/>
        <v/>
      </c>
      <c r="AI235" s="17" t="str">
        <f t="shared" ca="1" si="4"/>
        <v/>
      </c>
      <c r="AJ235" s="17" t="str">
        <f t="shared" ca="1" si="20"/>
        <v/>
      </c>
      <c r="AK235" s="17" t="str">
        <f t="shared" si="21"/>
        <v/>
      </c>
      <c r="AL235" s="17" t="str">
        <f t="shared" si="22"/>
        <v/>
      </c>
      <c r="AM235" s="17" t="str">
        <f t="shared" si="23"/>
        <v/>
      </c>
      <c r="AN235" s="17">
        <f t="shared" si="24"/>
        <v>0</v>
      </c>
      <c r="AO235" s="17" t="str">
        <f t="shared" ca="1" si="25"/>
        <v/>
      </c>
      <c r="AP235" s="17" t="str">
        <f t="shared" ca="1" si="26"/>
        <v/>
      </c>
      <c r="AQ235" s="17" t="str">
        <f t="shared" si="27"/>
        <v/>
      </c>
      <c r="AR235" s="17" t="str">
        <f t="shared" ca="1" si="28"/>
        <v/>
      </c>
      <c r="AS235" s="18"/>
      <c r="AT235" s="24">
        <f t="shared" si="14"/>
        <v>0</v>
      </c>
      <c r="AU235" s="24">
        <f t="shared" si="15"/>
        <v>0</v>
      </c>
      <c r="AV235" s="24">
        <f t="shared" si="16"/>
        <v>0</v>
      </c>
      <c r="AW235" s="24">
        <f t="shared" si="17"/>
        <v>0</v>
      </c>
      <c r="AX235" s="24">
        <f t="shared" si="18"/>
        <v>0</v>
      </c>
      <c r="AY235" s="24">
        <f t="shared" si="19"/>
        <v>0</v>
      </c>
      <c r="AZ235" s="18"/>
    </row>
    <row r="236" spans="1:52" x14ac:dyDescent="0.25">
      <c r="A236" s="16"/>
      <c r="B236" s="16"/>
      <c r="C236" s="65"/>
      <c r="D236" s="15"/>
      <c r="E236" s="15"/>
      <c r="F236" s="15"/>
      <c r="G236" s="16"/>
      <c r="H236" s="16"/>
      <c r="I236" s="16"/>
      <c r="J236" s="16"/>
      <c r="K236" s="86"/>
      <c r="L236" s="16"/>
      <c r="M236" s="15"/>
      <c r="N236" s="15"/>
      <c r="O236" s="20"/>
      <c r="P236" s="15"/>
      <c r="Q236" s="20"/>
      <c r="R236" s="15"/>
      <c r="S236" s="15"/>
      <c r="T236" s="15"/>
      <c r="U236" s="15"/>
      <c r="V236" s="17"/>
      <c r="W236" s="17"/>
      <c r="X236" s="16"/>
      <c r="Y236" s="20"/>
      <c r="Z236" s="15"/>
      <c r="AA236" s="22"/>
      <c r="AB236" s="90"/>
      <c r="AC236" s="22"/>
      <c r="AD236" s="25"/>
      <c r="AE236" s="25" t="str">
        <f t="shared" si="0"/>
        <v/>
      </c>
      <c r="AF236" s="17" t="str">
        <f t="shared" ca="1" si="1"/>
        <v/>
      </c>
      <c r="AG236" s="17" t="str">
        <f t="shared" si="2"/>
        <v/>
      </c>
      <c r="AH236" s="17" t="str">
        <f t="shared" si="3"/>
        <v/>
      </c>
      <c r="AI236" s="17" t="str">
        <f t="shared" ca="1" si="4"/>
        <v/>
      </c>
      <c r="AJ236" s="17" t="str">
        <f t="shared" ca="1" si="20"/>
        <v/>
      </c>
      <c r="AK236" s="17" t="str">
        <f t="shared" si="21"/>
        <v/>
      </c>
      <c r="AL236" s="17" t="str">
        <f t="shared" si="22"/>
        <v/>
      </c>
      <c r="AM236" s="17" t="str">
        <f t="shared" si="23"/>
        <v/>
      </c>
      <c r="AN236" s="17">
        <f t="shared" si="24"/>
        <v>0</v>
      </c>
      <c r="AO236" s="17" t="str">
        <f t="shared" ca="1" si="25"/>
        <v/>
      </c>
      <c r="AP236" s="17" t="str">
        <f t="shared" ca="1" si="26"/>
        <v/>
      </c>
      <c r="AQ236" s="17" t="str">
        <f t="shared" si="27"/>
        <v/>
      </c>
      <c r="AR236" s="17" t="str">
        <f t="shared" ca="1" si="28"/>
        <v/>
      </c>
      <c r="AS236" s="18"/>
      <c r="AT236" s="24">
        <f t="shared" si="14"/>
        <v>0</v>
      </c>
      <c r="AU236" s="24">
        <f t="shared" si="15"/>
        <v>0</v>
      </c>
      <c r="AV236" s="24">
        <f t="shared" si="16"/>
        <v>0</v>
      </c>
      <c r="AW236" s="24">
        <f t="shared" si="17"/>
        <v>0</v>
      </c>
      <c r="AX236" s="24">
        <f t="shared" si="18"/>
        <v>0</v>
      </c>
      <c r="AY236" s="24">
        <f t="shared" si="19"/>
        <v>0</v>
      </c>
      <c r="AZ236" s="18"/>
    </row>
    <row r="237" spans="1:52" x14ac:dyDescent="0.25">
      <c r="A237" s="16"/>
      <c r="B237" s="16"/>
      <c r="C237" s="65"/>
      <c r="D237" s="15"/>
      <c r="E237" s="15"/>
      <c r="F237" s="15"/>
      <c r="G237" s="16"/>
      <c r="H237" s="16"/>
      <c r="I237" s="16"/>
      <c r="J237" s="16"/>
      <c r="K237" s="86"/>
      <c r="L237" s="16"/>
      <c r="M237" s="15"/>
      <c r="N237" s="15"/>
      <c r="O237" s="20"/>
      <c r="P237" s="15"/>
      <c r="Q237" s="20"/>
      <c r="R237" s="15"/>
      <c r="S237" s="15"/>
      <c r="T237" s="15"/>
      <c r="U237" s="15"/>
      <c r="V237" s="17"/>
      <c r="W237" s="17"/>
      <c r="X237" s="16"/>
      <c r="Y237" s="20"/>
      <c r="Z237" s="15"/>
      <c r="AA237" s="22"/>
      <c r="AB237" s="90"/>
      <c r="AC237" s="22"/>
      <c r="AD237" s="25"/>
      <c r="AE237" s="25" t="str">
        <f t="shared" si="0"/>
        <v/>
      </c>
      <c r="AF237" s="17" t="str">
        <f t="shared" ca="1" si="1"/>
        <v/>
      </c>
      <c r="AG237" s="17" t="str">
        <f t="shared" si="2"/>
        <v/>
      </c>
      <c r="AH237" s="17" t="str">
        <f t="shared" si="3"/>
        <v/>
      </c>
      <c r="AI237" s="17" t="str">
        <f t="shared" ca="1" si="4"/>
        <v/>
      </c>
      <c r="AJ237" s="17" t="str">
        <f t="shared" ca="1" si="20"/>
        <v/>
      </c>
      <c r="AK237" s="17" t="str">
        <f t="shared" si="21"/>
        <v/>
      </c>
      <c r="AL237" s="17" t="str">
        <f t="shared" si="22"/>
        <v/>
      </c>
      <c r="AM237" s="17" t="str">
        <f t="shared" si="23"/>
        <v/>
      </c>
      <c r="AN237" s="17">
        <f t="shared" si="24"/>
        <v>0</v>
      </c>
      <c r="AO237" s="17" t="str">
        <f t="shared" ca="1" si="25"/>
        <v/>
      </c>
      <c r="AP237" s="17" t="str">
        <f t="shared" ca="1" si="26"/>
        <v/>
      </c>
      <c r="AQ237" s="17" t="str">
        <f t="shared" si="27"/>
        <v/>
      </c>
      <c r="AR237" s="17" t="str">
        <f t="shared" ca="1" si="28"/>
        <v/>
      </c>
      <c r="AS237" s="18"/>
      <c r="AT237" s="24">
        <f t="shared" si="14"/>
        <v>0</v>
      </c>
      <c r="AU237" s="24">
        <f t="shared" si="15"/>
        <v>0</v>
      </c>
      <c r="AV237" s="24">
        <f t="shared" si="16"/>
        <v>0</v>
      </c>
      <c r="AW237" s="24">
        <f t="shared" si="17"/>
        <v>0</v>
      </c>
      <c r="AX237" s="24">
        <f t="shared" si="18"/>
        <v>0</v>
      </c>
      <c r="AY237" s="24">
        <f t="shared" si="19"/>
        <v>0</v>
      </c>
      <c r="AZ237" s="18"/>
    </row>
    <row r="238" spans="1:52" x14ac:dyDescent="0.25">
      <c r="A238" s="16"/>
      <c r="B238" s="16"/>
      <c r="C238" s="65"/>
      <c r="D238" s="15"/>
      <c r="E238" s="15"/>
      <c r="F238" s="15"/>
      <c r="G238" s="16"/>
      <c r="H238" s="16"/>
      <c r="I238" s="16"/>
      <c r="J238" s="16"/>
      <c r="K238" s="86"/>
      <c r="L238" s="16"/>
      <c r="M238" s="15"/>
      <c r="N238" s="15"/>
      <c r="O238" s="20"/>
      <c r="P238" s="15"/>
      <c r="Q238" s="20"/>
      <c r="R238" s="15"/>
      <c r="S238" s="15"/>
      <c r="T238" s="15"/>
      <c r="U238" s="15"/>
      <c r="V238" s="17"/>
      <c r="W238" s="17"/>
      <c r="X238" s="16"/>
      <c r="Y238" s="20"/>
      <c r="Z238" s="15"/>
      <c r="AA238" s="22"/>
      <c r="AB238" s="90"/>
      <c r="AC238" s="22"/>
      <c r="AD238" s="25"/>
      <c r="AE238" s="25" t="str">
        <f t="shared" si="0"/>
        <v/>
      </c>
      <c r="AF238" s="17" t="str">
        <f t="shared" ca="1" si="1"/>
        <v/>
      </c>
      <c r="AG238" s="17" t="str">
        <f t="shared" si="2"/>
        <v/>
      </c>
      <c r="AH238" s="17" t="str">
        <f t="shared" si="3"/>
        <v/>
      </c>
      <c r="AI238" s="17" t="str">
        <f t="shared" ca="1" si="4"/>
        <v/>
      </c>
      <c r="AJ238" s="17" t="str">
        <f t="shared" ca="1" si="20"/>
        <v/>
      </c>
      <c r="AK238" s="17" t="str">
        <f t="shared" si="21"/>
        <v/>
      </c>
      <c r="AL238" s="17" t="str">
        <f t="shared" si="22"/>
        <v/>
      </c>
      <c r="AM238" s="17" t="str">
        <f t="shared" si="23"/>
        <v/>
      </c>
      <c r="AN238" s="17">
        <f t="shared" si="24"/>
        <v>0</v>
      </c>
      <c r="AO238" s="17" t="str">
        <f t="shared" ca="1" si="25"/>
        <v/>
      </c>
      <c r="AP238" s="17" t="str">
        <f t="shared" ca="1" si="26"/>
        <v/>
      </c>
      <c r="AQ238" s="17" t="str">
        <f t="shared" si="27"/>
        <v/>
      </c>
      <c r="AR238" s="17" t="str">
        <f t="shared" ca="1" si="28"/>
        <v/>
      </c>
      <c r="AS238" s="18"/>
      <c r="AT238" s="24">
        <f t="shared" si="14"/>
        <v>0</v>
      </c>
      <c r="AU238" s="24">
        <f t="shared" si="15"/>
        <v>0</v>
      </c>
      <c r="AV238" s="24">
        <f t="shared" si="16"/>
        <v>0</v>
      </c>
      <c r="AW238" s="24">
        <f t="shared" si="17"/>
        <v>0</v>
      </c>
      <c r="AX238" s="24">
        <f t="shared" si="18"/>
        <v>0</v>
      </c>
      <c r="AY238" s="24">
        <f t="shared" si="19"/>
        <v>0</v>
      </c>
      <c r="AZ238" s="18"/>
    </row>
    <row r="239" spans="1:52" x14ac:dyDescent="0.25">
      <c r="A239" s="16"/>
      <c r="B239" s="16"/>
      <c r="C239" s="65"/>
      <c r="D239" s="15"/>
      <c r="E239" s="15"/>
      <c r="F239" s="15"/>
      <c r="G239" s="16"/>
      <c r="H239" s="16"/>
      <c r="I239" s="16"/>
      <c r="J239" s="16"/>
      <c r="K239" s="86"/>
      <c r="L239" s="16"/>
      <c r="M239" s="15"/>
      <c r="N239" s="15"/>
      <c r="O239" s="20"/>
      <c r="P239" s="15"/>
      <c r="Q239" s="20"/>
      <c r="R239" s="15"/>
      <c r="S239" s="15"/>
      <c r="T239" s="15"/>
      <c r="U239" s="15"/>
      <c r="V239" s="17"/>
      <c r="W239" s="17"/>
      <c r="X239" s="16"/>
      <c r="Y239" s="20"/>
      <c r="Z239" s="15"/>
      <c r="AA239" s="22"/>
      <c r="AB239" s="90"/>
      <c r="AC239" s="22"/>
      <c r="AD239" s="25"/>
      <c r="AE239" s="25" t="str">
        <f t="shared" si="0"/>
        <v/>
      </c>
      <c r="AF239" s="17" t="str">
        <f t="shared" ca="1" si="1"/>
        <v/>
      </c>
      <c r="AG239" s="17" t="str">
        <f t="shared" si="2"/>
        <v/>
      </c>
      <c r="AH239" s="17" t="str">
        <f t="shared" si="3"/>
        <v/>
      </c>
      <c r="AI239" s="17" t="str">
        <f t="shared" ca="1" si="4"/>
        <v/>
      </c>
      <c r="AJ239" s="17" t="str">
        <f t="shared" ca="1" si="20"/>
        <v/>
      </c>
      <c r="AK239" s="17" t="str">
        <f t="shared" si="21"/>
        <v/>
      </c>
      <c r="AL239" s="17" t="str">
        <f t="shared" si="22"/>
        <v/>
      </c>
      <c r="AM239" s="17" t="str">
        <f t="shared" si="23"/>
        <v/>
      </c>
      <c r="AN239" s="17">
        <f t="shared" si="24"/>
        <v>0</v>
      </c>
      <c r="AO239" s="17" t="str">
        <f t="shared" ca="1" si="25"/>
        <v/>
      </c>
      <c r="AP239" s="17" t="str">
        <f t="shared" ca="1" si="26"/>
        <v/>
      </c>
      <c r="AQ239" s="17" t="str">
        <f t="shared" si="27"/>
        <v/>
      </c>
      <c r="AR239" s="17" t="str">
        <f t="shared" ca="1" si="28"/>
        <v/>
      </c>
      <c r="AS239" s="18"/>
      <c r="AT239" s="24">
        <f t="shared" si="14"/>
        <v>0</v>
      </c>
      <c r="AU239" s="24">
        <f t="shared" si="15"/>
        <v>0</v>
      </c>
      <c r="AV239" s="24">
        <f t="shared" si="16"/>
        <v>0</v>
      </c>
      <c r="AW239" s="24">
        <f t="shared" si="17"/>
        <v>0</v>
      </c>
      <c r="AX239" s="24">
        <f t="shared" si="18"/>
        <v>0</v>
      </c>
      <c r="AY239" s="24">
        <f t="shared" si="19"/>
        <v>0</v>
      </c>
      <c r="AZ239" s="18"/>
    </row>
    <row r="240" spans="1:52" x14ac:dyDescent="0.25">
      <c r="A240" s="16"/>
      <c r="B240" s="16"/>
      <c r="C240" s="65"/>
      <c r="D240" s="15"/>
      <c r="E240" s="15"/>
      <c r="F240" s="15"/>
      <c r="G240" s="16"/>
      <c r="H240" s="16"/>
      <c r="I240" s="16"/>
      <c r="J240" s="16"/>
      <c r="K240" s="86"/>
      <c r="L240" s="16"/>
      <c r="M240" s="15"/>
      <c r="N240" s="15"/>
      <c r="O240" s="20"/>
      <c r="P240" s="15"/>
      <c r="Q240" s="20"/>
      <c r="R240" s="15"/>
      <c r="S240" s="15"/>
      <c r="T240" s="15"/>
      <c r="U240" s="15"/>
      <c r="V240" s="17"/>
      <c r="W240" s="17"/>
      <c r="X240" s="16"/>
      <c r="Y240" s="20"/>
      <c r="Z240" s="15"/>
      <c r="AA240" s="22"/>
      <c r="AB240" s="90"/>
      <c r="AC240" s="22"/>
      <c r="AD240" s="25"/>
      <c r="AE240" s="25" t="str">
        <f t="shared" si="0"/>
        <v/>
      </c>
      <c r="AF240" s="17" t="str">
        <f t="shared" ca="1" si="1"/>
        <v/>
      </c>
      <c r="AG240" s="17" t="str">
        <f t="shared" si="2"/>
        <v/>
      </c>
      <c r="AH240" s="17" t="str">
        <f t="shared" si="3"/>
        <v/>
      </c>
      <c r="AI240" s="17" t="str">
        <f t="shared" ca="1" si="4"/>
        <v/>
      </c>
      <c r="AJ240" s="17" t="str">
        <f t="shared" ca="1" si="20"/>
        <v/>
      </c>
      <c r="AK240" s="17" t="str">
        <f t="shared" si="21"/>
        <v/>
      </c>
      <c r="AL240" s="17" t="str">
        <f t="shared" si="22"/>
        <v/>
      </c>
      <c r="AM240" s="17" t="str">
        <f t="shared" si="23"/>
        <v/>
      </c>
      <c r="AN240" s="17">
        <f t="shared" si="24"/>
        <v>0</v>
      </c>
      <c r="AO240" s="17" t="str">
        <f t="shared" ca="1" si="25"/>
        <v/>
      </c>
      <c r="AP240" s="17" t="str">
        <f t="shared" ca="1" si="26"/>
        <v/>
      </c>
      <c r="AQ240" s="17" t="str">
        <f t="shared" si="27"/>
        <v/>
      </c>
      <c r="AR240" s="17" t="str">
        <f t="shared" ca="1" si="28"/>
        <v/>
      </c>
      <c r="AS240" s="18"/>
      <c r="AT240" s="24">
        <f t="shared" si="14"/>
        <v>0</v>
      </c>
      <c r="AU240" s="24">
        <f t="shared" si="15"/>
        <v>0</v>
      </c>
      <c r="AV240" s="24">
        <f t="shared" si="16"/>
        <v>0</v>
      </c>
      <c r="AW240" s="24">
        <f t="shared" si="17"/>
        <v>0</v>
      </c>
      <c r="AX240" s="24">
        <f t="shared" si="18"/>
        <v>0</v>
      </c>
      <c r="AY240" s="24">
        <f t="shared" si="19"/>
        <v>0</v>
      </c>
      <c r="AZ240" s="18"/>
    </row>
    <row r="241" spans="1:52" x14ac:dyDescent="0.25">
      <c r="A241" s="16"/>
      <c r="B241" s="16"/>
      <c r="C241" s="65"/>
      <c r="D241" s="15"/>
      <c r="E241" s="15"/>
      <c r="F241" s="15"/>
      <c r="G241" s="16"/>
      <c r="H241" s="16"/>
      <c r="I241" s="16"/>
      <c r="J241" s="16"/>
      <c r="K241" s="86"/>
      <c r="L241" s="16"/>
      <c r="M241" s="15"/>
      <c r="N241" s="15"/>
      <c r="O241" s="20"/>
      <c r="P241" s="15"/>
      <c r="Q241" s="20"/>
      <c r="R241" s="15"/>
      <c r="S241" s="15"/>
      <c r="T241" s="15"/>
      <c r="U241" s="15"/>
      <c r="V241" s="17"/>
      <c r="W241" s="17"/>
      <c r="X241" s="16"/>
      <c r="Y241" s="20"/>
      <c r="Z241" s="15"/>
      <c r="AA241" s="22"/>
      <c r="AB241" s="90"/>
      <c r="AC241" s="22"/>
      <c r="AD241" s="25"/>
      <c r="AE241" s="25" t="str">
        <f t="shared" si="0"/>
        <v/>
      </c>
      <c r="AF241" s="17" t="str">
        <f t="shared" ca="1" si="1"/>
        <v/>
      </c>
      <c r="AG241" s="17" t="str">
        <f t="shared" si="2"/>
        <v/>
      </c>
      <c r="AH241" s="17" t="str">
        <f t="shared" si="3"/>
        <v/>
      </c>
      <c r="AI241" s="17" t="str">
        <f t="shared" ca="1" si="4"/>
        <v/>
      </c>
      <c r="AJ241" s="17" t="str">
        <f t="shared" ca="1" si="20"/>
        <v/>
      </c>
      <c r="AK241" s="17" t="str">
        <f t="shared" si="21"/>
        <v/>
      </c>
      <c r="AL241" s="17" t="str">
        <f t="shared" si="22"/>
        <v/>
      </c>
      <c r="AM241" s="17" t="str">
        <f t="shared" si="23"/>
        <v/>
      </c>
      <c r="AN241" s="17">
        <f t="shared" si="24"/>
        <v>0</v>
      </c>
      <c r="AO241" s="17" t="str">
        <f t="shared" ca="1" si="25"/>
        <v/>
      </c>
      <c r="AP241" s="17" t="str">
        <f t="shared" ca="1" si="26"/>
        <v/>
      </c>
      <c r="AQ241" s="17" t="str">
        <f t="shared" si="27"/>
        <v/>
      </c>
      <c r="AR241" s="17" t="str">
        <f t="shared" ca="1" si="28"/>
        <v/>
      </c>
      <c r="AS241" s="18"/>
      <c r="AT241" s="24">
        <f t="shared" si="14"/>
        <v>0</v>
      </c>
      <c r="AU241" s="24">
        <f t="shared" si="15"/>
        <v>0</v>
      </c>
      <c r="AV241" s="24">
        <f t="shared" si="16"/>
        <v>0</v>
      </c>
      <c r="AW241" s="24">
        <f t="shared" si="17"/>
        <v>0</v>
      </c>
      <c r="AX241" s="24">
        <f t="shared" si="18"/>
        <v>0</v>
      </c>
      <c r="AY241" s="24">
        <f t="shared" si="19"/>
        <v>0</v>
      </c>
      <c r="AZ241" s="18"/>
    </row>
    <row r="242" spans="1:52" x14ac:dyDescent="0.25">
      <c r="A242" s="16"/>
      <c r="B242" s="16"/>
      <c r="C242" s="65"/>
      <c r="D242" s="15"/>
      <c r="E242" s="15"/>
      <c r="F242" s="15"/>
      <c r="G242" s="16"/>
      <c r="H242" s="16"/>
      <c r="I242" s="16"/>
      <c r="J242" s="16"/>
      <c r="K242" s="86"/>
      <c r="L242" s="16"/>
      <c r="M242" s="15"/>
      <c r="N242" s="15"/>
      <c r="O242" s="20"/>
      <c r="P242" s="15"/>
      <c r="Q242" s="20"/>
      <c r="R242" s="15"/>
      <c r="S242" s="15"/>
      <c r="T242" s="15"/>
      <c r="U242" s="15"/>
      <c r="V242" s="17"/>
      <c r="W242" s="17"/>
      <c r="X242" s="16"/>
      <c r="Y242" s="20"/>
      <c r="Z242" s="15"/>
      <c r="AA242" s="22"/>
      <c r="AB242" s="90"/>
      <c r="AC242" s="22"/>
      <c r="AD242" s="25"/>
      <c r="AE242" s="25" t="str">
        <f t="shared" si="0"/>
        <v/>
      </c>
      <c r="AF242" s="17" t="str">
        <f t="shared" ca="1" si="1"/>
        <v/>
      </c>
      <c r="AG242" s="17" t="str">
        <f t="shared" si="2"/>
        <v/>
      </c>
      <c r="AH242" s="17" t="str">
        <f t="shared" si="3"/>
        <v/>
      </c>
      <c r="AI242" s="17" t="str">
        <f t="shared" ca="1" si="4"/>
        <v/>
      </c>
      <c r="AJ242" s="17" t="str">
        <f t="shared" ca="1" si="20"/>
        <v/>
      </c>
      <c r="AK242" s="17" t="str">
        <f t="shared" si="21"/>
        <v/>
      </c>
      <c r="AL242" s="17" t="str">
        <f t="shared" si="22"/>
        <v/>
      </c>
      <c r="AM242" s="17" t="str">
        <f t="shared" si="23"/>
        <v/>
      </c>
      <c r="AN242" s="17">
        <f t="shared" si="24"/>
        <v>0</v>
      </c>
      <c r="AO242" s="17" t="str">
        <f t="shared" ca="1" si="25"/>
        <v/>
      </c>
      <c r="AP242" s="17" t="str">
        <f t="shared" ca="1" si="26"/>
        <v/>
      </c>
      <c r="AQ242" s="17" t="str">
        <f t="shared" si="27"/>
        <v/>
      </c>
      <c r="AR242" s="17" t="str">
        <f t="shared" ca="1" si="28"/>
        <v/>
      </c>
      <c r="AS242" s="18"/>
      <c r="AT242" s="24">
        <f t="shared" si="14"/>
        <v>0</v>
      </c>
      <c r="AU242" s="24">
        <f t="shared" si="15"/>
        <v>0</v>
      </c>
      <c r="AV242" s="24">
        <f t="shared" si="16"/>
        <v>0</v>
      </c>
      <c r="AW242" s="24">
        <f t="shared" si="17"/>
        <v>0</v>
      </c>
      <c r="AX242" s="24">
        <f t="shared" si="18"/>
        <v>0</v>
      </c>
      <c r="AY242" s="24">
        <f t="shared" si="19"/>
        <v>0</v>
      </c>
      <c r="AZ242" s="18"/>
    </row>
    <row r="243" spans="1:52" x14ac:dyDescent="0.25">
      <c r="A243" s="16"/>
      <c r="B243" s="16"/>
      <c r="C243" s="65"/>
      <c r="D243" s="15"/>
      <c r="E243" s="15"/>
      <c r="F243" s="15"/>
      <c r="G243" s="16"/>
      <c r="H243" s="16"/>
      <c r="I243" s="16"/>
      <c r="J243" s="16"/>
      <c r="K243" s="86"/>
      <c r="L243" s="16"/>
      <c r="M243" s="15"/>
      <c r="N243" s="15"/>
      <c r="O243" s="20"/>
      <c r="P243" s="15"/>
      <c r="Q243" s="20"/>
      <c r="R243" s="15"/>
      <c r="S243" s="15"/>
      <c r="T243" s="15"/>
      <c r="U243" s="15"/>
      <c r="V243" s="17"/>
      <c r="W243" s="17"/>
      <c r="X243" s="16"/>
      <c r="Y243" s="20"/>
      <c r="Z243" s="15"/>
      <c r="AA243" s="22"/>
      <c r="AB243" s="90"/>
      <c r="AC243" s="22"/>
      <c r="AD243" s="25"/>
      <c r="AE243" s="25" t="str">
        <f t="shared" si="0"/>
        <v/>
      </c>
      <c r="AF243" s="17" t="str">
        <f t="shared" ca="1" si="1"/>
        <v/>
      </c>
      <c r="AG243" s="17" t="str">
        <f t="shared" si="2"/>
        <v/>
      </c>
      <c r="AH243" s="17" t="str">
        <f t="shared" si="3"/>
        <v/>
      </c>
      <c r="AI243" s="17" t="str">
        <f t="shared" ca="1" si="4"/>
        <v/>
      </c>
      <c r="AJ243" s="17" t="str">
        <f t="shared" ca="1" si="20"/>
        <v/>
      </c>
      <c r="AK243" s="17" t="str">
        <f t="shared" si="21"/>
        <v/>
      </c>
      <c r="AL243" s="17" t="str">
        <f t="shared" si="22"/>
        <v/>
      </c>
      <c r="AM243" s="17" t="str">
        <f t="shared" si="23"/>
        <v/>
      </c>
      <c r="AN243" s="17">
        <f t="shared" si="24"/>
        <v>0</v>
      </c>
      <c r="AO243" s="17" t="str">
        <f t="shared" ca="1" si="25"/>
        <v/>
      </c>
      <c r="AP243" s="17" t="str">
        <f t="shared" ca="1" si="26"/>
        <v/>
      </c>
      <c r="AQ243" s="17" t="str">
        <f t="shared" si="27"/>
        <v/>
      </c>
      <c r="AR243" s="17" t="str">
        <f t="shared" ca="1" si="28"/>
        <v/>
      </c>
      <c r="AS243" s="18"/>
      <c r="AT243" s="24">
        <f t="shared" si="14"/>
        <v>0</v>
      </c>
      <c r="AU243" s="24">
        <f t="shared" si="15"/>
        <v>0</v>
      </c>
      <c r="AV243" s="24">
        <f t="shared" si="16"/>
        <v>0</v>
      </c>
      <c r="AW243" s="24">
        <f t="shared" si="17"/>
        <v>0</v>
      </c>
      <c r="AX243" s="24">
        <f t="shared" si="18"/>
        <v>0</v>
      </c>
      <c r="AY243" s="24">
        <f t="shared" si="19"/>
        <v>0</v>
      </c>
      <c r="AZ243" s="18"/>
    </row>
    <row r="244" spans="1:52" x14ac:dyDescent="0.25">
      <c r="A244" s="16"/>
      <c r="B244" s="16"/>
      <c r="C244" s="65"/>
      <c r="D244" s="15"/>
      <c r="E244" s="15"/>
      <c r="F244" s="15"/>
      <c r="G244" s="16"/>
      <c r="H244" s="16"/>
      <c r="I244" s="16"/>
      <c r="J244" s="16"/>
      <c r="K244" s="86"/>
      <c r="L244" s="16"/>
      <c r="M244" s="15"/>
      <c r="N244" s="15"/>
      <c r="O244" s="20"/>
      <c r="P244" s="15"/>
      <c r="Q244" s="20"/>
      <c r="R244" s="15"/>
      <c r="S244" s="15"/>
      <c r="T244" s="15"/>
      <c r="U244" s="15"/>
      <c r="V244" s="17"/>
      <c r="W244" s="17"/>
      <c r="X244" s="16"/>
      <c r="Y244" s="20"/>
      <c r="Z244" s="15"/>
      <c r="AA244" s="22"/>
      <c r="AB244" s="90"/>
      <c r="AC244" s="22"/>
      <c r="AD244" s="25"/>
      <c r="AE244" s="25" t="str">
        <f t="shared" si="0"/>
        <v/>
      </c>
      <c r="AF244" s="17" t="str">
        <f t="shared" ca="1" si="1"/>
        <v/>
      </c>
      <c r="AG244" s="17" t="str">
        <f t="shared" si="2"/>
        <v/>
      </c>
      <c r="AH244" s="17" t="str">
        <f t="shared" si="3"/>
        <v/>
      </c>
      <c r="AI244" s="17" t="str">
        <f t="shared" ca="1" si="4"/>
        <v/>
      </c>
      <c r="AJ244" s="17" t="str">
        <f t="shared" ca="1" si="20"/>
        <v/>
      </c>
      <c r="AK244" s="17" t="str">
        <f t="shared" si="21"/>
        <v/>
      </c>
      <c r="AL244" s="17" t="str">
        <f t="shared" si="22"/>
        <v/>
      </c>
      <c r="AM244" s="17" t="str">
        <f t="shared" si="23"/>
        <v/>
      </c>
      <c r="AN244" s="17">
        <f t="shared" si="24"/>
        <v>0</v>
      </c>
      <c r="AO244" s="17" t="str">
        <f t="shared" ca="1" si="25"/>
        <v/>
      </c>
      <c r="AP244" s="17" t="str">
        <f t="shared" ca="1" si="26"/>
        <v/>
      </c>
      <c r="AQ244" s="17" t="str">
        <f t="shared" si="27"/>
        <v/>
      </c>
      <c r="AR244" s="17" t="str">
        <f t="shared" ca="1" si="28"/>
        <v/>
      </c>
      <c r="AS244" s="18"/>
      <c r="AT244" s="24">
        <f t="shared" si="14"/>
        <v>0</v>
      </c>
      <c r="AU244" s="24">
        <f t="shared" si="15"/>
        <v>0</v>
      </c>
      <c r="AV244" s="24">
        <f t="shared" si="16"/>
        <v>0</v>
      </c>
      <c r="AW244" s="24">
        <f t="shared" si="17"/>
        <v>0</v>
      </c>
      <c r="AX244" s="24">
        <f t="shared" si="18"/>
        <v>0</v>
      </c>
      <c r="AY244" s="24">
        <f t="shared" si="19"/>
        <v>0</v>
      </c>
      <c r="AZ244" s="18"/>
    </row>
    <row r="245" spans="1:52" x14ac:dyDescent="0.25">
      <c r="A245" s="16"/>
      <c r="B245" s="16"/>
      <c r="C245" s="65"/>
      <c r="D245" s="15"/>
      <c r="E245" s="15"/>
      <c r="F245" s="15"/>
      <c r="G245" s="16"/>
      <c r="H245" s="16"/>
      <c r="I245" s="16"/>
      <c r="J245" s="16"/>
      <c r="K245" s="86"/>
      <c r="L245" s="16"/>
      <c r="M245" s="15"/>
      <c r="N245" s="15"/>
      <c r="O245" s="20"/>
      <c r="P245" s="15"/>
      <c r="Q245" s="20"/>
      <c r="R245" s="15"/>
      <c r="S245" s="15"/>
      <c r="T245" s="15"/>
      <c r="U245" s="15"/>
      <c r="V245" s="17"/>
      <c r="W245" s="17"/>
      <c r="X245" s="16"/>
      <c r="Y245" s="20"/>
      <c r="Z245" s="15"/>
      <c r="AA245" s="22"/>
      <c r="AB245" s="90"/>
      <c r="AC245" s="22"/>
      <c r="AD245" s="25"/>
      <c r="AE245" s="25" t="str">
        <f t="shared" si="0"/>
        <v/>
      </c>
      <c r="AF245" s="17" t="str">
        <f t="shared" ca="1" si="1"/>
        <v/>
      </c>
      <c r="AG245" s="17" t="str">
        <f t="shared" si="2"/>
        <v/>
      </c>
      <c r="AH245" s="17" t="str">
        <f t="shared" si="3"/>
        <v/>
      </c>
      <c r="AI245" s="17" t="str">
        <f t="shared" ca="1" si="4"/>
        <v/>
      </c>
      <c r="AJ245" s="17" t="str">
        <f t="shared" ca="1" si="20"/>
        <v/>
      </c>
      <c r="AK245" s="17" t="str">
        <f t="shared" si="21"/>
        <v/>
      </c>
      <c r="AL245" s="17" t="str">
        <f t="shared" si="22"/>
        <v/>
      </c>
      <c r="AM245" s="17" t="str">
        <f t="shared" si="23"/>
        <v/>
      </c>
      <c r="AN245" s="17">
        <f t="shared" si="24"/>
        <v>0</v>
      </c>
      <c r="AO245" s="17" t="str">
        <f t="shared" ca="1" si="25"/>
        <v/>
      </c>
      <c r="AP245" s="17" t="str">
        <f t="shared" ca="1" si="26"/>
        <v/>
      </c>
      <c r="AQ245" s="17" t="str">
        <f t="shared" si="27"/>
        <v/>
      </c>
      <c r="AR245" s="17" t="str">
        <f t="shared" ca="1" si="28"/>
        <v/>
      </c>
      <c r="AS245" s="18"/>
      <c r="AT245" s="24">
        <f t="shared" si="14"/>
        <v>0</v>
      </c>
      <c r="AU245" s="24">
        <f t="shared" si="15"/>
        <v>0</v>
      </c>
      <c r="AV245" s="24">
        <f t="shared" si="16"/>
        <v>0</v>
      </c>
      <c r="AW245" s="24">
        <f t="shared" si="17"/>
        <v>0</v>
      </c>
      <c r="AX245" s="24">
        <f t="shared" si="18"/>
        <v>0</v>
      </c>
      <c r="AY245" s="24">
        <f t="shared" si="19"/>
        <v>0</v>
      </c>
      <c r="AZ245" s="18"/>
    </row>
    <row r="246" spans="1:52" x14ac:dyDescent="0.25">
      <c r="A246" s="16"/>
      <c r="B246" s="16"/>
      <c r="C246" s="65"/>
      <c r="D246" s="15"/>
      <c r="E246" s="15"/>
      <c r="F246" s="15"/>
      <c r="G246" s="16"/>
      <c r="H246" s="16"/>
      <c r="I246" s="16"/>
      <c r="J246" s="16"/>
      <c r="K246" s="86"/>
      <c r="L246" s="16"/>
      <c r="M246" s="15"/>
      <c r="N246" s="15"/>
      <c r="O246" s="20"/>
      <c r="P246" s="15"/>
      <c r="Q246" s="20"/>
      <c r="R246" s="15"/>
      <c r="S246" s="15"/>
      <c r="T246" s="15"/>
      <c r="U246" s="15"/>
      <c r="V246" s="17"/>
      <c r="W246" s="17"/>
      <c r="X246" s="16"/>
      <c r="Y246" s="20"/>
      <c r="Z246" s="15"/>
      <c r="AA246" s="22"/>
      <c r="AB246" s="90"/>
      <c r="AC246" s="22"/>
      <c r="AD246" s="25"/>
      <c r="AE246" s="25" t="str">
        <f t="shared" si="0"/>
        <v/>
      </c>
      <c r="AF246" s="17" t="str">
        <f t="shared" ca="1" si="1"/>
        <v/>
      </c>
      <c r="AG246" s="17" t="str">
        <f t="shared" si="2"/>
        <v/>
      </c>
      <c r="AH246" s="17" t="str">
        <f t="shared" si="3"/>
        <v/>
      </c>
      <c r="AI246" s="17" t="str">
        <f t="shared" ca="1" si="4"/>
        <v/>
      </c>
      <c r="AJ246" s="17" t="str">
        <f t="shared" ca="1" si="20"/>
        <v/>
      </c>
      <c r="AK246" s="17" t="str">
        <f t="shared" si="21"/>
        <v/>
      </c>
      <c r="AL246" s="17" t="str">
        <f t="shared" si="22"/>
        <v/>
      </c>
      <c r="AM246" s="17" t="str">
        <f t="shared" si="23"/>
        <v/>
      </c>
      <c r="AN246" s="17">
        <f t="shared" si="24"/>
        <v>0</v>
      </c>
      <c r="AO246" s="17" t="str">
        <f t="shared" ca="1" si="25"/>
        <v/>
      </c>
      <c r="AP246" s="17" t="str">
        <f t="shared" ca="1" si="26"/>
        <v/>
      </c>
      <c r="AQ246" s="17" t="str">
        <f t="shared" si="27"/>
        <v/>
      </c>
      <c r="AR246" s="17" t="str">
        <f t="shared" ca="1" si="28"/>
        <v/>
      </c>
      <c r="AS246" s="18"/>
      <c r="AT246" s="24">
        <f t="shared" si="14"/>
        <v>0</v>
      </c>
      <c r="AU246" s="24">
        <f t="shared" si="15"/>
        <v>0</v>
      </c>
      <c r="AV246" s="24">
        <f t="shared" si="16"/>
        <v>0</v>
      </c>
      <c r="AW246" s="24">
        <f t="shared" si="17"/>
        <v>0</v>
      </c>
      <c r="AX246" s="24">
        <f t="shared" si="18"/>
        <v>0</v>
      </c>
      <c r="AY246" s="24">
        <f t="shared" si="19"/>
        <v>0</v>
      </c>
      <c r="AZ246" s="18"/>
    </row>
    <row r="247" spans="1:52" x14ac:dyDescent="0.25">
      <c r="A247" s="16"/>
      <c r="B247" s="16"/>
      <c r="C247" s="65"/>
      <c r="D247" s="15"/>
      <c r="E247" s="15"/>
      <c r="F247" s="15"/>
      <c r="G247" s="16"/>
      <c r="H247" s="16"/>
      <c r="I247" s="16"/>
      <c r="J247" s="16"/>
      <c r="K247" s="86"/>
      <c r="L247" s="16"/>
      <c r="M247" s="15"/>
      <c r="N247" s="15"/>
      <c r="O247" s="20"/>
      <c r="P247" s="15"/>
      <c r="Q247" s="20"/>
      <c r="R247" s="15"/>
      <c r="S247" s="15"/>
      <c r="T247" s="15"/>
      <c r="U247" s="15"/>
      <c r="V247" s="17"/>
      <c r="W247" s="17"/>
      <c r="X247" s="16"/>
      <c r="Y247" s="20"/>
      <c r="Z247" s="15"/>
      <c r="AA247" s="22"/>
      <c r="AB247" s="90"/>
      <c r="AC247" s="22"/>
      <c r="AD247" s="25"/>
      <c r="AE247" s="25" t="str">
        <f t="shared" si="0"/>
        <v/>
      </c>
      <c r="AF247" s="17" t="str">
        <f t="shared" ca="1" si="1"/>
        <v/>
      </c>
      <c r="AG247" s="17" t="str">
        <f t="shared" si="2"/>
        <v/>
      </c>
      <c r="AH247" s="17" t="str">
        <f t="shared" si="3"/>
        <v/>
      </c>
      <c r="AI247" s="17" t="str">
        <f t="shared" ca="1" si="4"/>
        <v/>
      </c>
      <c r="AJ247" s="17" t="str">
        <f t="shared" ca="1" si="20"/>
        <v/>
      </c>
      <c r="AK247" s="17" t="str">
        <f t="shared" si="21"/>
        <v/>
      </c>
      <c r="AL247" s="17" t="str">
        <f t="shared" si="22"/>
        <v/>
      </c>
      <c r="AM247" s="17" t="str">
        <f t="shared" si="23"/>
        <v/>
      </c>
      <c r="AN247" s="17">
        <f t="shared" si="24"/>
        <v>0</v>
      </c>
      <c r="AO247" s="17" t="str">
        <f t="shared" ca="1" si="25"/>
        <v/>
      </c>
      <c r="AP247" s="17" t="str">
        <f t="shared" ca="1" si="26"/>
        <v/>
      </c>
      <c r="AQ247" s="17" t="str">
        <f t="shared" si="27"/>
        <v/>
      </c>
      <c r="AR247" s="17" t="str">
        <f t="shared" ca="1" si="28"/>
        <v/>
      </c>
      <c r="AS247" s="18"/>
      <c r="AT247" s="24">
        <f t="shared" si="14"/>
        <v>0</v>
      </c>
      <c r="AU247" s="24">
        <f t="shared" si="15"/>
        <v>0</v>
      </c>
      <c r="AV247" s="24">
        <f t="shared" si="16"/>
        <v>0</v>
      </c>
      <c r="AW247" s="24">
        <f t="shared" si="17"/>
        <v>0</v>
      </c>
      <c r="AX247" s="24">
        <f t="shared" si="18"/>
        <v>0</v>
      </c>
      <c r="AY247" s="24">
        <f t="shared" si="19"/>
        <v>0</v>
      </c>
      <c r="AZ247" s="18"/>
    </row>
    <row r="248" spans="1:52" x14ac:dyDescent="0.25">
      <c r="A248" s="16"/>
      <c r="B248" s="16"/>
      <c r="C248" s="65"/>
      <c r="D248" s="15"/>
      <c r="E248" s="15"/>
      <c r="F248" s="15"/>
      <c r="G248" s="16"/>
      <c r="H248" s="16"/>
      <c r="I248" s="16"/>
      <c r="J248" s="16"/>
      <c r="K248" s="86"/>
      <c r="L248" s="16"/>
      <c r="M248" s="15"/>
      <c r="N248" s="15"/>
      <c r="O248" s="20"/>
      <c r="P248" s="15"/>
      <c r="Q248" s="20"/>
      <c r="R248" s="15"/>
      <c r="S248" s="15"/>
      <c r="T248" s="15"/>
      <c r="U248" s="15"/>
      <c r="V248" s="17"/>
      <c r="W248" s="17"/>
      <c r="X248" s="16"/>
      <c r="Y248" s="20"/>
      <c r="Z248" s="15"/>
      <c r="AA248" s="22"/>
      <c r="AB248" s="90"/>
      <c r="AC248" s="22"/>
      <c r="AD248" s="25"/>
      <c r="AE248" s="25" t="str">
        <f t="shared" si="0"/>
        <v/>
      </c>
      <c r="AF248" s="17" t="str">
        <f t="shared" ca="1" si="1"/>
        <v/>
      </c>
      <c r="AG248" s="17" t="str">
        <f t="shared" si="2"/>
        <v/>
      </c>
      <c r="AH248" s="17" t="str">
        <f t="shared" si="3"/>
        <v/>
      </c>
      <c r="AI248" s="17" t="str">
        <f t="shared" ca="1" si="4"/>
        <v/>
      </c>
      <c r="AJ248" s="17" t="str">
        <f t="shared" ca="1" si="20"/>
        <v/>
      </c>
      <c r="AK248" s="17" t="str">
        <f t="shared" si="21"/>
        <v/>
      </c>
      <c r="AL248" s="17" t="str">
        <f t="shared" si="22"/>
        <v/>
      </c>
      <c r="AM248" s="17" t="str">
        <f t="shared" si="23"/>
        <v/>
      </c>
      <c r="AN248" s="17">
        <f t="shared" si="24"/>
        <v>0</v>
      </c>
      <c r="AO248" s="17" t="str">
        <f t="shared" ca="1" si="25"/>
        <v/>
      </c>
      <c r="AP248" s="17" t="str">
        <f t="shared" ca="1" si="26"/>
        <v/>
      </c>
      <c r="AQ248" s="17" t="str">
        <f t="shared" si="27"/>
        <v/>
      </c>
      <c r="AR248" s="17" t="str">
        <f t="shared" ca="1" si="28"/>
        <v/>
      </c>
      <c r="AS248" s="18"/>
      <c r="AT248" s="24">
        <f t="shared" si="14"/>
        <v>0</v>
      </c>
      <c r="AU248" s="24">
        <f t="shared" si="15"/>
        <v>0</v>
      </c>
      <c r="AV248" s="24">
        <f t="shared" si="16"/>
        <v>0</v>
      </c>
      <c r="AW248" s="24">
        <f t="shared" si="17"/>
        <v>0</v>
      </c>
      <c r="AX248" s="24">
        <f t="shared" si="18"/>
        <v>0</v>
      </c>
      <c r="AY248" s="24">
        <f t="shared" si="19"/>
        <v>0</v>
      </c>
      <c r="AZ248" s="18"/>
    </row>
    <row r="249" spans="1:52" x14ac:dyDescent="0.25">
      <c r="A249" s="16"/>
      <c r="B249" s="16"/>
      <c r="C249" s="65"/>
      <c r="D249" s="15"/>
      <c r="E249" s="15"/>
      <c r="F249" s="15"/>
      <c r="G249" s="16"/>
      <c r="H249" s="16"/>
      <c r="I249" s="16"/>
      <c r="J249" s="16"/>
      <c r="K249" s="86"/>
      <c r="L249" s="16"/>
      <c r="M249" s="15"/>
      <c r="N249" s="15"/>
      <c r="O249" s="20"/>
      <c r="P249" s="15"/>
      <c r="Q249" s="20"/>
      <c r="R249" s="15"/>
      <c r="S249" s="15"/>
      <c r="T249" s="15"/>
      <c r="U249" s="15"/>
      <c r="V249" s="17"/>
      <c r="W249" s="17"/>
      <c r="X249" s="16"/>
      <c r="Y249" s="20"/>
      <c r="Z249" s="15"/>
      <c r="AA249" s="22"/>
      <c r="AB249" s="90"/>
      <c r="AC249" s="22"/>
      <c r="AD249" s="25"/>
      <c r="AE249" s="25" t="str">
        <f t="shared" si="0"/>
        <v/>
      </c>
      <c r="AF249" s="17" t="str">
        <f t="shared" ca="1" si="1"/>
        <v/>
      </c>
      <c r="AG249" s="17" t="str">
        <f t="shared" si="2"/>
        <v/>
      </c>
      <c r="AH249" s="17" t="str">
        <f t="shared" si="3"/>
        <v/>
      </c>
      <c r="AI249" s="17" t="str">
        <f t="shared" ca="1" si="4"/>
        <v/>
      </c>
      <c r="AJ249" s="17" t="str">
        <f t="shared" ca="1" si="20"/>
        <v/>
      </c>
      <c r="AK249" s="17" t="str">
        <f t="shared" si="21"/>
        <v/>
      </c>
      <c r="AL249" s="17" t="str">
        <f t="shared" si="22"/>
        <v/>
      </c>
      <c r="AM249" s="17" t="str">
        <f t="shared" si="23"/>
        <v/>
      </c>
      <c r="AN249" s="17">
        <f t="shared" si="24"/>
        <v>0</v>
      </c>
      <c r="AO249" s="17" t="str">
        <f t="shared" ca="1" si="25"/>
        <v/>
      </c>
      <c r="AP249" s="17" t="str">
        <f t="shared" ca="1" si="26"/>
        <v/>
      </c>
      <c r="AQ249" s="17" t="str">
        <f t="shared" si="27"/>
        <v/>
      </c>
      <c r="AR249" s="17" t="str">
        <f t="shared" ca="1" si="28"/>
        <v/>
      </c>
      <c r="AS249" s="18"/>
      <c r="AT249" s="24">
        <f t="shared" si="14"/>
        <v>0</v>
      </c>
      <c r="AU249" s="24">
        <f t="shared" si="15"/>
        <v>0</v>
      </c>
      <c r="AV249" s="24">
        <f t="shared" si="16"/>
        <v>0</v>
      </c>
      <c r="AW249" s="24">
        <f t="shared" si="17"/>
        <v>0</v>
      </c>
      <c r="AX249" s="24">
        <f t="shared" si="18"/>
        <v>0</v>
      </c>
      <c r="AY249" s="24">
        <f t="shared" si="19"/>
        <v>0</v>
      </c>
      <c r="AZ249" s="18"/>
    </row>
    <row r="250" spans="1:52" x14ac:dyDescent="0.25">
      <c r="A250" s="16"/>
      <c r="B250" s="16"/>
      <c r="C250" s="65"/>
      <c r="D250" s="15"/>
      <c r="E250" s="15"/>
      <c r="F250" s="15"/>
      <c r="G250" s="16"/>
      <c r="H250" s="16"/>
      <c r="I250" s="16"/>
      <c r="J250" s="16"/>
      <c r="K250" s="86"/>
      <c r="L250" s="16"/>
      <c r="M250" s="15"/>
      <c r="N250" s="15"/>
      <c r="O250" s="20"/>
      <c r="P250" s="15"/>
      <c r="Q250" s="20"/>
      <c r="R250" s="15"/>
      <c r="S250" s="15"/>
      <c r="T250" s="15"/>
      <c r="U250" s="15"/>
      <c r="V250" s="17"/>
      <c r="W250" s="17"/>
      <c r="X250" s="16"/>
      <c r="Y250" s="20"/>
      <c r="Z250" s="15"/>
      <c r="AA250" s="22"/>
      <c r="AB250" s="90"/>
      <c r="AC250" s="22"/>
      <c r="AD250" s="25"/>
      <c r="AE250" s="25" t="str">
        <f t="shared" si="0"/>
        <v/>
      </c>
      <c r="AF250" s="17" t="str">
        <f t="shared" ca="1" si="1"/>
        <v/>
      </c>
      <c r="AG250" s="17" t="str">
        <f t="shared" si="2"/>
        <v/>
      </c>
      <c r="AH250" s="17" t="str">
        <f t="shared" si="3"/>
        <v/>
      </c>
      <c r="AI250" s="17" t="str">
        <f t="shared" ca="1" si="4"/>
        <v/>
      </c>
      <c r="AJ250" s="17" t="str">
        <f t="shared" ca="1" si="20"/>
        <v/>
      </c>
      <c r="AK250" s="17" t="str">
        <f t="shared" si="21"/>
        <v/>
      </c>
      <c r="AL250" s="17" t="str">
        <f t="shared" si="22"/>
        <v/>
      </c>
      <c r="AM250" s="17" t="str">
        <f t="shared" si="23"/>
        <v/>
      </c>
      <c r="AN250" s="17">
        <f t="shared" si="24"/>
        <v>0</v>
      </c>
      <c r="AO250" s="17" t="str">
        <f t="shared" ca="1" si="25"/>
        <v/>
      </c>
      <c r="AP250" s="17" t="str">
        <f t="shared" ca="1" si="26"/>
        <v/>
      </c>
      <c r="AQ250" s="17" t="str">
        <f t="shared" si="27"/>
        <v/>
      </c>
      <c r="AR250" s="17" t="str">
        <f t="shared" ca="1" si="28"/>
        <v/>
      </c>
      <c r="AS250" s="18"/>
      <c r="AT250" s="24">
        <f t="shared" si="14"/>
        <v>0</v>
      </c>
      <c r="AU250" s="24">
        <f t="shared" si="15"/>
        <v>0</v>
      </c>
      <c r="AV250" s="24">
        <f t="shared" si="16"/>
        <v>0</v>
      </c>
      <c r="AW250" s="24">
        <f t="shared" si="17"/>
        <v>0</v>
      </c>
      <c r="AX250" s="24">
        <f t="shared" si="18"/>
        <v>0</v>
      </c>
      <c r="AY250" s="24">
        <f t="shared" si="19"/>
        <v>0</v>
      </c>
      <c r="AZ250" s="18"/>
    </row>
    <row r="251" spans="1:52" x14ac:dyDescent="0.25">
      <c r="A251" s="16"/>
      <c r="B251" s="16"/>
      <c r="C251" s="65"/>
      <c r="D251" s="15"/>
      <c r="E251" s="15"/>
      <c r="F251" s="15"/>
      <c r="G251" s="16"/>
      <c r="H251" s="16"/>
      <c r="I251" s="16"/>
      <c r="J251" s="16"/>
      <c r="K251" s="86"/>
      <c r="L251" s="16"/>
      <c r="M251" s="15"/>
      <c r="N251" s="15"/>
      <c r="O251" s="20"/>
      <c r="P251" s="15"/>
      <c r="Q251" s="20"/>
      <c r="R251" s="15"/>
      <c r="S251" s="15"/>
      <c r="T251" s="15"/>
      <c r="U251" s="15"/>
      <c r="V251" s="17"/>
      <c r="W251" s="17"/>
      <c r="X251" s="16"/>
      <c r="Y251" s="20"/>
      <c r="Z251" s="15"/>
      <c r="AA251" s="22"/>
      <c r="AB251" s="90"/>
      <c r="AC251" s="22"/>
      <c r="AD251" s="25"/>
      <c r="AE251" s="25" t="str">
        <f t="shared" si="0"/>
        <v/>
      </c>
      <c r="AF251" s="17" t="str">
        <f t="shared" ca="1" si="1"/>
        <v/>
      </c>
      <c r="AG251" s="17" t="str">
        <f t="shared" si="2"/>
        <v/>
      </c>
      <c r="AH251" s="17" t="str">
        <f t="shared" si="3"/>
        <v/>
      </c>
      <c r="AI251" s="17" t="str">
        <f t="shared" ca="1" si="4"/>
        <v/>
      </c>
      <c r="AJ251" s="17" t="str">
        <f t="shared" ca="1" si="20"/>
        <v/>
      </c>
      <c r="AK251" s="17" t="str">
        <f t="shared" si="21"/>
        <v/>
      </c>
      <c r="AL251" s="17" t="str">
        <f t="shared" si="22"/>
        <v/>
      </c>
      <c r="AM251" s="17" t="str">
        <f t="shared" si="23"/>
        <v/>
      </c>
      <c r="AN251" s="17">
        <f t="shared" si="24"/>
        <v>0</v>
      </c>
      <c r="AO251" s="17" t="str">
        <f t="shared" ca="1" si="25"/>
        <v/>
      </c>
      <c r="AP251" s="17" t="str">
        <f t="shared" ca="1" si="26"/>
        <v/>
      </c>
      <c r="AQ251" s="17" t="str">
        <f t="shared" si="27"/>
        <v/>
      </c>
      <c r="AR251" s="17" t="str">
        <f t="shared" ca="1" si="28"/>
        <v/>
      </c>
      <c r="AS251" s="18"/>
      <c r="AT251" s="24">
        <f t="shared" si="14"/>
        <v>0</v>
      </c>
      <c r="AU251" s="24">
        <f t="shared" si="15"/>
        <v>0</v>
      </c>
      <c r="AV251" s="24">
        <f t="shared" si="16"/>
        <v>0</v>
      </c>
      <c r="AW251" s="24">
        <f t="shared" si="17"/>
        <v>0</v>
      </c>
      <c r="AX251" s="24">
        <f t="shared" si="18"/>
        <v>0</v>
      </c>
      <c r="AY251" s="24">
        <f t="shared" si="19"/>
        <v>0</v>
      </c>
      <c r="AZ251" s="18"/>
    </row>
    <row r="252" spans="1:52" x14ac:dyDescent="0.25">
      <c r="A252" s="16"/>
      <c r="B252" s="16"/>
      <c r="C252" s="65"/>
      <c r="D252" s="15"/>
      <c r="E252" s="15"/>
      <c r="F252" s="15"/>
      <c r="G252" s="16"/>
      <c r="H252" s="16"/>
      <c r="I252" s="16"/>
      <c r="J252" s="16"/>
      <c r="K252" s="86"/>
      <c r="L252" s="16"/>
      <c r="M252" s="15"/>
      <c r="N252" s="15"/>
      <c r="O252" s="20"/>
      <c r="P252" s="15"/>
      <c r="Q252" s="20"/>
      <c r="R252" s="15"/>
      <c r="S252" s="15"/>
      <c r="T252" s="15"/>
      <c r="U252" s="15"/>
      <c r="V252" s="17"/>
      <c r="W252" s="17"/>
      <c r="X252" s="16"/>
      <c r="Y252" s="20"/>
      <c r="Z252" s="15"/>
      <c r="AA252" s="22"/>
      <c r="AB252" s="90"/>
      <c r="AC252" s="22"/>
      <c r="AD252" s="25"/>
      <c r="AE252" s="25" t="str">
        <f t="shared" si="0"/>
        <v/>
      </c>
      <c r="AF252" s="17" t="str">
        <f t="shared" ca="1" si="1"/>
        <v/>
      </c>
      <c r="AG252" s="17" t="str">
        <f t="shared" si="2"/>
        <v/>
      </c>
      <c r="AH252" s="17" t="str">
        <f t="shared" si="3"/>
        <v/>
      </c>
      <c r="AI252" s="17" t="str">
        <f t="shared" ca="1" si="4"/>
        <v/>
      </c>
      <c r="AJ252" s="17" t="str">
        <f t="shared" ca="1" si="20"/>
        <v/>
      </c>
      <c r="AK252" s="17" t="str">
        <f t="shared" si="21"/>
        <v/>
      </c>
      <c r="AL252" s="17" t="str">
        <f t="shared" si="22"/>
        <v/>
      </c>
      <c r="AM252" s="17" t="str">
        <f t="shared" si="23"/>
        <v/>
      </c>
      <c r="AN252" s="17">
        <f t="shared" si="24"/>
        <v>0</v>
      </c>
      <c r="AO252" s="17" t="str">
        <f t="shared" ca="1" si="25"/>
        <v/>
      </c>
      <c r="AP252" s="17" t="str">
        <f t="shared" ca="1" si="26"/>
        <v/>
      </c>
      <c r="AQ252" s="17" t="str">
        <f t="shared" si="27"/>
        <v/>
      </c>
      <c r="AR252" s="17" t="str">
        <f t="shared" ca="1" si="28"/>
        <v/>
      </c>
      <c r="AS252" s="18"/>
      <c r="AT252" s="24">
        <f t="shared" si="14"/>
        <v>0</v>
      </c>
      <c r="AU252" s="24">
        <f t="shared" si="15"/>
        <v>0</v>
      </c>
      <c r="AV252" s="24">
        <f t="shared" si="16"/>
        <v>0</v>
      </c>
      <c r="AW252" s="24">
        <f t="shared" si="17"/>
        <v>0</v>
      </c>
      <c r="AX252" s="24">
        <f t="shared" si="18"/>
        <v>0</v>
      </c>
      <c r="AY252" s="24">
        <f t="shared" si="19"/>
        <v>0</v>
      </c>
      <c r="AZ252" s="18"/>
    </row>
    <row r="253" spans="1:52" x14ac:dyDescent="0.25">
      <c r="A253" s="16"/>
      <c r="B253" s="16"/>
      <c r="C253" s="65"/>
      <c r="D253" s="15"/>
      <c r="E253" s="15"/>
      <c r="F253" s="15"/>
      <c r="G253" s="16"/>
      <c r="H253" s="16"/>
      <c r="I253" s="16"/>
      <c r="J253" s="16"/>
      <c r="K253" s="86"/>
      <c r="L253" s="16"/>
      <c r="M253" s="15"/>
      <c r="N253" s="15"/>
      <c r="O253" s="20"/>
      <c r="P253" s="15"/>
      <c r="Q253" s="20"/>
      <c r="R253" s="15"/>
      <c r="S253" s="15"/>
      <c r="T253" s="15"/>
      <c r="U253" s="15"/>
      <c r="V253" s="17"/>
      <c r="W253" s="17"/>
      <c r="X253" s="16"/>
      <c r="Y253" s="20"/>
      <c r="Z253" s="15"/>
      <c r="AA253" s="22"/>
      <c r="AB253" s="90"/>
      <c r="AC253" s="22"/>
      <c r="AD253" s="25"/>
      <c r="AE253" s="25" t="str">
        <f t="shared" si="0"/>
        <v/>
      </c>
      <c r="AF253" s="17" t="str">
        <f t="shared" ca="1" si="1"/>
        <v/>
      </c>
      <c r="AG253" s="17" t="str">
        <f t="shared" si="2"/>
        <v/>
      </c>
      <c r="AH253" s="17" t="str">
        <f t="shared" si="3"/>
        <v/>
      </c>
      <c r="AI253" s="17" t="str">
        <f t="shared" ca="1" si="4"/>
        <v/>
      </c>
      <c r="AJ253" s="17" t="str">
        <f t="shared" ref="AJ253:AJ316" ca="1" si="29">IF(O253="","",IF(AA253="",TODAY()-O253,AA253-O253))</f>
        <v/>
      </c>
      <c r="AK253" s="17" t="str">
        <f t="shared" ref="AK253:AK316" si="30">IF(O253="","",IF(W253="WFM",AJ253,AJ253-1))</f>
        <v/>
      </c>
      <c r="AL253" s="17" t="str">
        <f t="shared" ref="AL253:AL316" si="31">IF(AK253&lt;0,0,AK253)</f>
        <v/>
      </c>
      <c r="AM253" s="17" t="str">
        <f t="shared" ref="AM253:AM316" si="32">IF(O253="","",IF(W253="WFM","WFM SLA",IF(AK253&gt;0,"EXCEEDED SLA","WITHIN SLA")))</f>
        <v/>
      </c>
      <c r="AN253" s="17">
        <f t="shared" ref="AN253:AN316" si="33">AC253-AA253</f>
        <v>0</v>
      </c>
      <c r="AO253" s="17" t="str">
        <f t="shared" ref="AO253:AO316" ca="1" si="34">IF(AA253="","",IF(AC253="",TODAY()-AA253-V253,AC253-AA253-V253))</f>
        <v/>
      </c>
      <c r="AP253" s="17" t="str">
        <f t="shared" ref="AP253:AP316" ca="1" si="35">IF(AO253&lt;=0,0,AO253)</f>
        <v/>
      </c>
      <c r="AQ253" s="17" t="str">
        <f t="shared" ref="AQ253:AQ316" si="36">IF(AA253="","",IF(AP253&lt;1,"WITHIN SLA","EXCEEDED SLA"))</f>
        <v/>
      </c>
      <c r="AR253" s="17" t="str">
        <f t="shared" ref="AR253:AR316" ca="1" si="37">IF(B253="","",IF(L253="DONE",AC253-J253,TODAY()-J253))</f>
        <v/>
      </c>
      <c r="AS253" s="18"/>
      <c r="AT253" s="24">
        <f t="shared" si="14"/>
        <v>0</v>
      </c>
      <c r="AU253" s="24">
        <f t="shared" si="15"/>
        <v>0</v>
      </c>
      <c r="AV253" s="24">
        <f t="shared" si="16"/>
        <v>0</v>
      </c>
      <c r="AW253" s="24">
        <f t="shared" si="17"/>
        <v>0</v>
      </c>
      <c r="AX253" s="24">
        <f t="shared" si="18"/>
        <v>0</v>
      </c>
      <c r="AY253" s="24">
        <f t="shared" si="19"/>
        <v>0</v>
      </c>
      <c r="AZ253" s="18"/>
    </row>
    <row r="254" spans="1:52" x14ac:dyDescent="0.25">
      <c r="A254" s="16"/>
      <c r="B254" s="16"/>
      <c r="C254" s="65"/>
      <c r="D254" s="15"/>
      <c r="E254" s="15"/>
      <c r="F254" s="15"/>
      <c r="G254" s="16"/>
      <c r="H254" s="16"/>
      <c r="I254" s="16"/>
      <c r="J254" s="16"/>
      <c r="K254" s="86"/>
      <c r="L254" s="16"/>
      <c r="M254" s="15"/>
      <c r="N254" s="15"/>
      <c r="O254" s="20"/>
      <c r="P254" s="15"/>
      <c r="Q254" s="20"/>
      <c r="R254" s="15"/>
      <c r="S254" s="15"/>
      <c r="T254" s="15"/>
      <c r="U254" s="15"/>
      <c r="V254" s="17"/>
      <c r="W254" s="17"/>
      <c r="X254" s="16"/>
      <c r="Y254" s="20"/>
      <c r="Z254" s="15"/>
      <c r="AA254" s="22"/>
      <c r="AB254" s="90"/>
      <c r="AC254" s="22"/>
      <c r="AD254" s="25"/>
      <c r="AE254" s="25" t="str">
        <f t="shared" si="0"/>
        <v/>
      </c>
      <c r="AF254" s="17" t="str">
        <f t="shared" ca="1" si="1"/>
        <v/>
      </c>
      <c r="AG254" s="17" t="str">
        <f t="shared" si="2"/>
        <v/>
      </c>
      <c r="AH254" s="17" t="str">
        <f t="shared" si="3"/>
        <v/>
      </c>
      <c r="AI254" s="17" t="str">
        <f t="shared" ca="1" si="4"/>
        <v/>
      </c>
      <c r="AJ254" s="17" t="str">
        <f t="shared" ca="1" si="29"/>
        <v/>
      </c>
      <c r="AK254" s="17" t="str">
        <f t="shared" si="30"/>
        <v/>
      </c>
      <c r="AL254" s="17" t="str">
        <f t="shared" si="31"/>
        <v/>
      </c>
      <c r="AM254" s="17" t="str">
        <f t="shared" si="32"/>
        <v/>
      </c>
      <c r="AN254" s="17">
        <f t="shared" si="33"/>
        <v>0</v>
      </c>
      <c r="AO254" s="17" t="str">
        <f t="shared" ca="1" si="34"/>
        <v/>
      </c>
      <c r="AP254" s="17" t="str">
        <f t="shared" ca="1" si="35"/>
        <v/>
      </c>
      <c r="AQ254" s="17" t="str">
        <f t="shared" si="36"/>
        <v/>
      </c>
      <c r="AR254" s="17" t="str">
        <f t="shared" ca="1" si="37"/>
        <v/>
      </c>
      <c r="AS254" s="18"/>
      <c r="AT254" s="24">
        <f t="shared" si="14"/>
        <v>0</v>
      </c>
      <c r="AU254" s="24">
        <f t="shared" si="15"/>
        <v>0</v>
      </c>
      <c r="AV254" s="24">
        <f t="shared" si="16"/>
        <v>0</v>
      </c>
      <c r="AW254" s="24">
        <f t="shared" si="17"/>
        <v>0</v>
      </c>
      <c r="AX254" s="24">
        <f t="shared" si="18"/>
        <v>0</v>
      </c>
      <c r="AY254" s="24">
        <f t="shared" si="19"/>
        <v>0</v>
      </c>
      <c r="AZ254" s="18"/>
    </row>
    <row r="255" spans="1:52" x14ac:dyDescent="0.25">
      <c r="A255" s="16"/>
      <c r="B255" s="16"/>
      <c r="C255" s="65"/>
      <c r="D255" s="15"/>
      <c r="E255" s="15"/>
      <c r="F255" s="15"/>
      <c r="G255" s="16"/>
      <c r="H255" s="16"/>
      <c r="I255" s="16"/>
      <c r="J255" s="16"/>
      <c r="K255" s="86"/>
      <c r="L255" s="16"/>
      <c r="M255" s="15"/>
      <c r="N255" s="15"/>
      <c r="O255" s="20"/>
      <c r="P255" s="15"/>
      <c r="Q255" s="20"/>
      <c r="R255" s="15"/>
      <c r="S255" s="15"/>
      <c r="T255" s="15"/>
      <c r="U255" s="15"/>
      <c r="V255" s="17"/>
      <c r="W255" s="17"/>
      <c r="X255" s="16"/>
      <c r="Y255" s="20"/>
      <c r="Z255" s="15"/>
      <c r="AA255" s="22"/>
      <c r="AB255" s="90"/>
      <c r="AC255" s="22"/>
      <c r="AD255" s="25"/>
      <c r="AE255" s="25" t="str">
        <f t="shared" si="0"/>
        <v/>
      </c>
      <c r="AF255" s="17" t="str">
        <f t="shared" ca="1" si="1"/>
        <v/>
      </c>
      <c r="AG255" s="17" t="str">
        <f t="shared" si="2"/>
        <v/>
      </c>
      <c r="AH255" s="17" t="str">
        <f t="shared" si="3"/>
        <v/>
      </c>
      <c r="AI255" s="17" t="str">
        <f t="shared" ca="1" si="4"/>
        <v/>
      </c>
      <c r="AJ255" s="17" t="str">
        <f t="shared" ca="1" si="29"/>
        <v/>
      </c>
      <c r="AK255" s="17" t="str">
        <f t="shared" si="30"/>
        <v/>
      </c>
      <c r="AL255" s="17" t="str">
        <f t="shared" si="31"/>
        <v/>
      </c>
      <c r="AM255" s="17" t="str">
        <f t="shared" si="32"/>
        <v/>
      </c>
      <c r="AN255" s="17">
        <f t="shared" si="33"/>
        <v>0</v>
      </c>
      <c r="AO255" s="17" t="str">
        <f t="shared" ca="1" si="34"/>
        <v/>
      </c>
      <c r="AP255" s="17" t="str">
        <f t="shared" ca="1" si="35"/>
        <v/>
      </c>
      <c r="AQ255" s="17" t="str">
        <f t="shared" si="36"/>
        <v/>
      </c>
      <c r="AR255" s="17" t="str">
        <f t="shared" ca="1" si="37"/>
        <v/>
      </c>
      <c r="AS255" s="18"/>
      <c r="AT255" s="24">
        <f t="shared" si="14"/>
        <v>0</v>
      </c>
      <c r="AU255" s="24">
        <f t="shared" si="15"/>
        <v>0</v>
      </c>
      <c r="AV255" s="24">
        <f t="shared" si="16"/>
        <v>0</v>
      </c>
      <c r="AW255" s="24">
        <f t="shared" si="17"/>
        <v>0</v>
      </c>
      <c r="AX255" s="24">
        <f t="shared" si="18"/>
        <v>0</v>
      </c>
      <c r="AY255" s="24">
        <f t="shared" si="19"/>
        <v>0</v>
      </c>
      <c r="AZ255" s="18"/>
    </row>
    <row r="256" spans="1:52" x14ac:dyDescent="0.25">
      <c r="A256" s="16"/>
      <c r="B256" s="16"/>
      <c r="C256" s="65"/>
      <c r="D256" s="15"/>
      <c r="E256" s="15"/>
      <c r="F256" s="15"/>
      <c r="G256" s="16"/>
      <c r="H256" s="16"/>
      <c r="I256" s="16"/>
      <c r="J256" s="16"/>
      <c r="K256" s="86"/>
      <c r="L256" s="16"/>
      <c r="M256" s="15"/>
      <c r="N256" s="15"/>
      <c r="O256" s="20"/>
      <c r="P256" s="15"/>
      <c r="Q256" s="20"/>
      <c r="R256" s="15"/>
      <c r="S256" s="15"/>
      <c r="T256" s="15"/>
      <c r="U256" s="15"/>
      <c r="V256" s="17"/>
      <c r="W256" s="17"/>
      <c r="X256" s="16"/>
      <c r="Y256" s="20"/>
      <c r="Z256" s="15"/>
      <c r="AA256" s="22"/>
      <c r="AB256" s="90"/>
      <c r="AC256" s="22"/>
      <c r="AD256" s="25"/>
      <c r="AE256" s="25" t="str">
        <f t="shared" si="0"/>
        <v/>
      </c>
      <c r="AF256" s="17" t="str">
        <f t="shared" ca="1" si="1"/>
        <v/>
      </c>
      <c r="AG256" s="17" t="str">
        <f t="shared" si="2"/>
        <v/>
      </c>
      <c r="AH256" s="17" t="str">
        <f t="shared" si="3"/>
        <v/>
      </c>
      <c r="AI256" s="17" t="str">
        <f t="shared" ca="1" si="4"/>
        <v/>
      </c>
      <c r="AJ256" s="17" t="str">
        <f t="shared" ca="1" si="29"/>
        <v/>
      </c>
      <c r="AK256" s="17" t="str">
        <f t="shared" si="30"/>
        <v/>
      </c>
      <c r="AL256" s="17" t="str">
        <f t="shared" si="31"/>
        <v/>
      </c>
      <c r="AM256" s="17" t="str">
        <f t="shared" si="32"/>
        <v/>
      </c>
      <c r="AN256" s="17">
        <f t="shared" si="33"/>
        <v>0</v>
      </c>
      <c r="AO256" s="17" t="str">
        <f t="shared" ca="1" si="34"/>
        <v/>
      </c>
      <c r="AP256" s="17" t="str">
        <f t="shared" ca="1" si="35"/>
        <v/>
      </c>
      <c r="AQ256" s="17" t="str">
        <f t="shared" si="36"/>
        <v/>
      </c>
      <c r="AR256" s="17" t="str">
        <f t="shared" ca="1" si="37"/>
        <v/>
      </c>
      <c r="AS256" s="18"/>
      <c r="AT256" s="24">
        <f t="shared" si="14"/>
        <v>0</v>
      </c>
      <c r="AU256" s="24">
        <f t="shared" si="15"/>
        <v>0</v>
      </c>
      <c r="AV256" s="24">
        <f t="shared" si="16"/>
        <v>0</v>
      </c>
      <c r="AW256" s="24">
        <f t="shared" si="17"/>
        <v>0</v>
      </c>
      <c r="AX256" s="24">
        <f t="shared" si="18"/>
        <v>0</v>
      </c>
      <c r="AY256" s="24">
        <f t="shared" si="19"/>
        <v>0</v>
      </c>
      <c r="AZ256" s="18"/>
    </row>
    <row r="257" spans="1:52" x14ac:dyDescent="0.25">
      <c r="A257" s="16"/>
      <c r="B257" s="16"/>
      <c r="C257" s="65"/>
      <c r="D257" s="15"/>
      <c r="E257" s="15"/>
      <c r="F257" s="15"/>
      <c r="G257" s="16"/>
      <c r="H257" s="16"/>
      <c r="I257" s="16"/>
      <c r="J257" s="16"/>
      <c r="K257" s="86"/>
      <c r="L257" s="16"/>
      <c r="M257" s="15"/>
      <c r="N257" s="15"/>
      <c r="O257" s="20"/>
      <c r="P257" s="15"/>
      <c r="Q257" s="20"/>
      <c r="R257" s="15"/>
      <c r="S257" s="15"/>
      <c r="T257" s="15"/>
      <c r="U257" s="15"/>
      <c r="V257" s="17"/>
      <c r="W257" s="17"/>
      <c r="X257" s="16"/>
      <c r="Y257" s="20"/>
      <c r="Z257" s="15"/>
      <c r="AA257" s="22"/>
      <c r="AB257" s="90"/>
      <c r="AC257" s="22"/>
      <c r="AD257" s="25"/>
      <c r="AE257" s="25" t="str">
        <f t="shared" si="0"/>
        <v/>
      </c>
      <c r="AF257" s="17" t="str">
        <f t="shared" ca="1" si="1"/>
        <v/>
      </c>
      <c r="AG257" s="17" t="str">
        <f t="shared" si="2"/>
        <v/>
      </c>
      <c r="AH257" s="17" t="str">
        <f t="shared" si="3"/>
        <v/>
      </c>
      <c r="AI257" s="17" t="str">
        <f t="shared" ca="1" si="4"/>
        <v/>
      </c>
      <c r="AJ257" s="17" t="str">
        <f t="shared" ca="1" si="29"/>
        <v/>
      </c>
      <c r="AK257" s="17" t="str">
        <f t="shared" si="30"/>
        <v/>
      </c>
      <c r="AL257" s="17" t="str">
        <f t="shared" si="31"/>
        <v/>
      </c>
      <c r="AM257" s="17" t="str">
        <f t="shared" si="32"/>
        <v/>
      </c>
      <c r="AN257" s="17">
        <f t="shared" si="33"/>
        <v>0</v>
      </c>
      <c r="AO257" s="17" t="str">
        <f t="shared" ca="1" si="34"/>
        <v/>
      </c>
      <c r="AP257" s="17" t="str">
        <f t="shared" ca="1" si="35"/>
        <v/>
      </c>
      <c r="AQ257" s="17" t="str">
        <f t="shared" si="36"/>
        <v/>
      </c>
      <c r="AR257" s="17" t="str">
        <f t="shared" ca="1" si="37"/>
        <v/>
      </c>
      <c r="AS257" s="18"/>
      <c r="AT257" s="24">
        <f t="shared" si="14"/>
        <v>0</v>
      </c>
      <c r="AU257" s="24">
        <f t="shared" si="15"/>
        <v>0</v>
      </c>
      <c r="AV257" s="24">
        <f t="shared" si="16"/>
        <v>0</v>
      </c>
      <c r="AW257" s="24">
        <f t="shared" si="17"/>
        <v>0</v>
      </c>
      <c r="AX257" s="24">
        <f t="shared" si="18"/>
        <v>0</v>
      </c>
      <c r="AY257" s="24">
        <f t="shared" si="19"/>
        <v>0</v>
      </c>
      <c r="AZ257" s="18"/>
    </row>
    <row r="258" spans="1:52" x14ac:dyDescent="0.25">
      <c r="A258" s="16"/>
      <c r="B258" s="16"/>
      <c r="C258" s="65"/>
      <c r="D258" s="15"/>
      <c r="E258" s="15"/>
      <c r="F258" s="15"/>
      <c r="G258" s="16"/>
      <c r="H258" s="16"/>
      <c r="I258" s="16"/>
      <c r="J258" s="16"/>
      <c r="K258" s="86"/>
      <c r="L258" s="16"/>
      <c r="M258" s="15"/>
      <c r="N258" s="15"/>
      <c r="O258" s="20"/>
      <c r="P258" s="15"/>
      <c r="Q258" s="20"/>
      <c r="R258" s="15"/>
      <c r="S258" s="15"/>
      <c r="T258" s="15"/>
      <c r="U258" s="15"/>
      <c r="V258" s="17"/>
      <c r="W258" s="17"/>
      <c r="X258" s="16"/>
      <c r="Y258" s="20"/>
      <c r="Z258" s="15"/>
      <c r="AA258" s="22"/>
      <c r="AB258" s="90"/>
      <c r="AC258" s="22"/>
      <c r="AD258" s="25"/>
      <c r="AE258" s="25" t="str">
        <f t="shared" si="0"/>
        <v/>
      </c>
      <c r="AF258" s="17" t="str">
        <f t="shared" ca="1" si="1"/>
        <v/>
      </c>
      <c r="AG258" s="17" t="str">
        <f t="shared" si="2"/>
        <v/>
      </c>
      <c r="AH258" s="17" t="str">
        <f t="shared" si="3"/>
        <v/>
      </c>
      <c r="AI258" s="17" t="str">
        <f t="shared" ca="1" si="4"/>
        <v/>
      </c>
      <c r="AJ258" s="17" t="str">
        <f t="shared" ca="1" si="29"/>
        <v/>
      </c>
      <c r="AK258" s="17" t="str">
        <f t="shared" si="30"/>
        <v/>
      </c>
      <c r="AL258" s="17" t="str">
        <f t="shared" si="31"/>
        <v/>
      </c>
      <c r="AM258" s="17" t="str">
        <f t="shared" si="32"/>
        <v/>
      </c>
      <c r="AN258" s="17">
        <f t="shared" si="33"/>
        <v>0</v>
      </c>
      <c r="AO258" s="17" t="str">
        <f t="shared" ca="1" si="34"/>
        <v/>
      </c>
      <c r="AP258" s="17" t="str">
        <f t="shared" ca="1" si="35"/>
        <v/>
      </c>
      <c r="AQ258" s="17" t="str">
        <f t="shared" si="36"/>
        <v/>
      </c>
      <c r="AR258" s="17" t="str">
        <f t="shared" ca="1" si="37"/>
        <v/>
      </c>
      <c r="AS258" s="18"/>
      <c r="AT258" s="24">
        <f t="shared" si="14"/>
        <v>0</v>
      </c>
      <c r="AU258" s="24">
        <f t="shared" si="15"/>
        <v>0</v>
      </c>
      <c r="AV258" s="24">
        <f t="shared" si="16"/>
        <v>0</v>
      </c>
      <c r="AW258" s="24">
        <f t="shared" si="17"/>
        <v>0</v>
      </c>
      <c r="AX258" s="24">
        <f t="shared" si="18"/>
        <v>0</v>
      </c>
      <c r="AY258" s="24">
        <f t="shared" si="19"/>
        <v>0</v>
      </c>
      <c r="AZ258" s="18"/>
    </row>
    <row r="259" spans="1:52" x14ac:dyDescent="0.25">
      <c r="A259" s="16"/>
      <c r="B259" s="16"/>
      <c r="C259" s="65"/>
      <c r="D259" s="15"/>
      <c r="E259" s="15"/>
      <c r="F259" s="15"/>
      <c r="G259" s="16"/>
      <c r="H259" s="16"/>
      <c r="I259" s="16"/>
      <c r="J259" s="16"/>
      <c r="K259" s="86"/>
      <c r="L259" s="16"/>
      <c r="M259" s="15"/>
      <c r="N259" s="15"/>
      <c r="O259" s="20"/>
      <c r="P259" s="15"/>
      <c r="Q259" s="20"/>
      <c r="R259" s="15"/>
      <c r="S259" s="15"/>
      <c r="T259" s="15"/>
      <c r="U259" s="15"/>
      <c r="V259" s="17"/>
      <c r="W259" s="17"/>
      <c r="X259" s="16"/>
      <c r="Y259" s="20"/>
      <c r="Z259" s="15"/>
      <c r="AA259" s="22"/>
      <c r="AB259" s="90"/>
      <c r="AC259" s="22"/>
      <c r="AD259" s="25"/>
      <c r="AE259" s="25" t="str">
        <f t="shared" si="0"/>
        <v/>
      </c>
      <c r="AF259" s="17" t="str">
        <f t="shared" ca="1" si="1"/>
        <v/>
      </c>
      <c r="AG259" s="17" t="str">
        <f t="shared" si="2"/>
        <v/>
      </c>
      <c r="AH259" s="17" t="str">
        <f t="shared" si="3"/>
        <v/>
      </c>
      <c r="AI259" s="17" t="str">
        <f t="shared" ca="1" si="4"/>
        <v/>
      </c>
      <c r="AJ259" s="17" t="str">
        <f t="shared" ca="1" si="29"/>
        <v/>
      </c>
      <c r="AK259" s="17" t="str">
        <f t="shared" si="30"/>
        <v/>
      </c>
      <c r="AL259" s="17" t="str">
        <f t="shared" si="31"/>
        <v/>
      </c>
      <c r="AM259" s="17" t="str">
        <f t="shared" si="32"/>
        <v/>
      </c>
      <c r="AN259" s="17">
        <f t="shared" si="33"/>
        <v>0</v>
      </c>
      <c r="AO259" s="17" t="str">
        <f t="shared" ca="1" si="34"/>
        <v/>
      </c>
      <c r="AP259" s="17" t="str">
        <f t="shared" ca="1" si="35"/>
        <v/>
      </c>
      <c r="AQ259" s="17" t="str">
        <f t="shared" si="36"/>
        <v/>
      </c>
      <c r="AR259" s="17" t="str">
        <f t="shared" ca="1" si="37"/>
        <v/>
      </c>
      <c r="AS259" s="18"/>
      <c r="AT259" s="24">
        <f t="shared" si="14"/>
        <v>0</v>
      </c>
      <c r="AU259" s="24">
        <f t="shared" si="15"/>
        <v>0</v>
      </c>
      <c r="AV259" s="24">
        <f t="shared" si="16"/>
        <v>0</v>
      </c>
      <c r="AW259" s="24">
        <f t="shared" si="17"/>
        <v>0</v>
      </c>
      <c r="AX259" s="24">
        <f t="shared" si="18"/>
        <v>0</v>
      </c>
      <c r="AY259" s="24">
        <f t="shared" si="19"/>
        <v>0</v>
      </c>
      <c r="AZ259" s="18"/>
    </row>
    <row r="260" spans="1:52" x14ac:dyDescent="0.25">
      <c r="A260" s="16"/>
      <c r="B260" s="16"/>
      <c r="C260" s="65"/>
      <c r="D260" s="15"/>
      <c r="E260" s="15"/>
      <c r="F260" s="15"/>
      <c r="G260" s="16"/>
      <c r="H260" s="16"/>
      <c r="I260" s="16"/>
      <c r="J260" s="16"/>
      <c r="K260" s="86"/>
      <c r="L260" s="16"/>
      <c r="M260" s="15"/>
      <c r="N260" s="15"/>
      <c r="O260" s="20"/>
      <c r="P260" s="15"/>
      <c r="Q260" s="20"/>
      <c r="R260" s="15"/>
      <c r="S260" s="15"/>
      <c r="T260" s="15"/>
      <c r="U260" s="15"/>
      <c r="V260" s="17"/>
      <c r="W260" s="17"/>
      <c r="X260" s="16"/>
      <c r="Y260" s="20"/>
      <c r="Z260" s="15"/>
      <c r="AA260" s="22"/>
      <c r="AB260" s="90"/>
      <c r="AC260" s="22"/>
      <c r="AD260" s="25"/>
      <c r="AE260" s="25" t="str">
        <f t="shared" ref="AE260:AE323" si="38">IF(F260="","",IF(F260="PMR",3,1))</f>
        <v/>
      </c>
      <c r="AF260" s="17" t="str">
        <f t="shared" ref="AF260:AF323" ca="1" si="39">IF(J260="","",IF(O260="",TODAY()-J260,O260-J260))</f>
        <v/>
      </c>
      <c r="AG260" s="17" t="str">
        <f t="shared" ref="AG260:AG323" si="40">IF(AE260="","",IF(AF260="","",AF260-AE260))</f>
        <v/>
      </c>
      <c r="AH260" s="17" t="str">
        <f t="shared" ref="AH260:AH323" si="41">IF(AG260&lt;0,0,AG260)</f>
        <v/>
      </c>
      <c r="AI260" s="17" t="str">
        <f t="shared" ref="AI260:AI323" ca="1" si="42">IF(AF260="","",IF(F260="","",IF(AG260&lt;1,"WITHIN SLA","EXCEEDED SLA")))</f>
        <v/>
      </c>
      <c r="AJ260" s="17" t="str">
        <f t="shared" ca="1" si="29"/>
        <v/>
      </c>
      <c r="AK260" s="17" t="str">
        <f t="shared" si="30"/>
        <v/>
      </c>
      <c r="AL260" s="17" t="str">
        <f t="shared" si="31"/>
        <v/>
      </c>
      <c r="AM260" s="17" t="str">
        <f t="shared" si="32"/>
        <v/>
      </c>
      <c r="AN260" s="17">
        <f t="shared" si="33"/>
        <v>0</v>
      </c>
      <c r="AO260" s="17" t="str">
        <f t="shared" ca="1" si="34"/>
        <v/>
      </c>
      <c r="AP260" s="17" t="str">
        <f t="shared" ca="1" si="35"/>
        <v/>
      </c>
      <c r="AQ260" s="17" t="str">
        <f t="shared" si="36"/>
        <v/>
      </c>
      <c r="AR260" s="17" t="str">
        <f t="shared" ca="1" si="37"/>
        <v/>
      </c>
      <c r="AS260" s="18"/>
      <c r="AT260" s="24">
        <f t="shared" si="14"/>
        <v>0</v>
      </c>
      <c r="AU260" s="24">
        <f t="shared" si="15"/>
        <v>0</v>
      </c>
      <c r="AV260" s="24">
        <f t="shared" si="16"/>
        <v>0</v>
      </c>
      <c r="AW260" s="24">
        <f t="shared" si="17"/>
        <v>0</v>
      </c>
      <c r="AX260" s="24">
        <f t="shared" si="18"/>
        <v>0</v>
      </c>
      <c r="AY260" s="24">
        <f t="shared" si="19"/>
        <v>0</v>
      </c>
      <c r="AZ260" s="18"/>
    </row>
    <row r="261" spans="1:52" x14ac:dyDescent="0.25">
      <c r="A261" s="16"/>
      <c r="B261" s="16"/>
      <c r="C261" s="65"/>
      <c r="D261" s="15"/>
      <c r="E261" s="15"/>
      <c r="F261" s="15"/>
      <c r="G261" s="16"/>
      <c r="H261" s="16"/>
      <c r="I261" s="16"/>
      <c r="J261" s="16"/>
      <c r="K261" s="86"/>
      <c r="L261" s="16"/>
      <c r="M261" s="15"/>
      <c r="N261" s="15"/>
      <c r="O261" s="20"/>
      <c r="P261" s="15"/>
      <c r="Q261" s="20"/>
      <c r="R261" s="15"/>
      <c r="S261" s="15"/>
      <c r="T261" s="15"/>
      <c r="U261" s="15"/>
      <c r="V261" s="17"/>
      <c r="W261" s="17"/>
      <c r="X261" s="16"/>
      <c r="Y261" s="20"/>
      <c r="Z261" s="15"/>
      <c r="AA261" s="22"/>
      <c r="AB261" s="90"/>
      <c r="AC261" s="22"/>
      <c r="AD261" s="25"/>
      <c r="AE261" s="25" t="str">
        <f t="shared" si="38"/>
        <v/>
      </c>
      <c r="AF261" s="17" t="str">
        <f t="shared" ca="1" si="39"/>
        <v/>
      </c>
      <c r="AG261" s="17" t="str">
        <f t="shared" si="40"/>
        <v/>
      </c>
      <c r="AH261" s="17" t="str">
        <f t="shared" si="41"/>
        <v/>
      </c>
      <c r="AI261" s="17" t="str">
        <f t="shared" ca="1" si="42"/>
        <v/>
      </c>
      <c r="AJ261" s="17" t="str">
        <f t="shared" ca="1" si="29"/>
        <v/>
      </c>
      <c r="AK261" s="17" t="str">
        <f t="shared" si="30"/>
        <v/>
      </c>
      <c r="AL261" s="17" t="str">
        <f t="shared" si="31"/>
        <v/>
      </c>
      <c r="AM261" s="17" t="str">
        <f t="shared" si="32"/>
        <v/>
      </c>
      <c r="AN261" s="17">
        <f t="shared" si="33"/>
        <v>0</v>
      </c>
      <c r="AO261" s="17" t="str">
        <f t="shared" ca="1" si="34"/>
        <v/>
      </c>
      <c r="AP261" s="17" t="str">
        <f t="shared" ca="1" si="35"/>
        <v/>
      </c>
      <c r="AQ261" s="17" t="str">
        <f t="shared" si="36"/>
        <v/>
      </c>
      <c r="AR261" s="17" t="str">
        <f t="shared" ca="1" si="37"/>
        <v/>
      </c>
      <c r="AS261" s="18"/>
      <c r="AT261" s="24">
        <f t="shared" si="14"/>
        <v>0</v>
      </c>
      <c r="AU261" s="24">
        <f t="shared" si="15"/>
        <v>0</v>
      </c>
      <c r="AV261" s="24">
        <f t="shared" si="16"/>
        <v>0</v>
      </c>
      <c r="AW261" s="24">
        <f t="shared" si="17"/>
        <v>0</v>
      </c>
      <c r="AX261" s="24">
        <f t="shared" si="18"/>
        <v>0</v>
      </c>
      <c r="AY261" s="24">
        <f t="shared" si="19"/>
        <v>0</v>
      </c>
      <c r="AZ261" s="18"/>
    </row>
    <row r="262" spans="1:52" x14ac:dyDescent="0.25">
      <c r="A262" s="16"/>
      <c r="B262" s="16"/>
      <c r="C262" s="65"/>
      <c r="D262" s="15"/>
      <c r="E262" s="15"/>
      <c r="F262" s="15"/>
      <c r="G262" s="16"/>
      <c r="H262" s="16"/>
      <c r="I262" s="16"/>
      <c r="J262" s="16"/>
      <c r="K262" s="86"/>
      <c r="L262" s="16"/>
      <c r="M262" s="15"/>
      <c r="N262" s="15"/>
      <c r="O262" s="20"/>
      <c r="P262" s="15"/>
      <c r="Q262" s="20"/>
      <c r="R262" s="15"/>
      <c r="S262" s="15"/>
      <c r="T262" s="15"/>
      <c r="U262" s="15"/>
      <c r="V262" s="17"/>
      <c r="W262" s="17"/>
      <c r="X262" s="16"/>
      <c r="Y262" s="20"/>
      <c r="Z262" s="15"/>
      <c r="AA262" s="22"/>
      <c r="AB262" s="90"/>
      <c r="AC262" s="22"/>
      <c r="AD262" s="25"/>
      <c r="AE262" s="25" t="str">
        <f t="shared" si="38"/>
        <v/>
      </c>
      <c r="AF262" s="17" t="str">
        <f t="shared" ca="1" si="39"/>
        <v/>
      </c>
      <c r="AG262" s="17" t="str">
        <f t="shared" si="40"/>
        <v/>
      </c>
      <c r="AH262" s="17" t="str">
        <f t="shared" si="41"/>
        <v/>
      </c>
      <c r="AI262" s="17" t="str">
        <f t="shared" ca="1" si="42"/>
        <v/>
      </c>
      <c r="AJ262" s="17" t="str">
        <f t="shared" ca="1" si="29"/>
        <v/>
      </c>
      <c r="AK262" s="17" t="str">
        <f t="shared" si="30"/>
        <v/>
      </c>
      <c r="AL262" s="17" t="str">
        <f t="shared" si="31"/>
        <v/>
      </c>
      <c r="AM262" s="17" t="str">
        <f t="shared" si="32"/>
        <v/>
      </c>
      <c r="AN262" s="17">
        <f t="shared" si="33"/>
        <v>0</v>
      </c>
      <c r="AO262" s="17" t="str">
        <f t="shared" ca="1" si="34"/>
        <v/>
      </c>
      <c r="AP262" s="17" t="str">
        <f t="shared" ca="1" si="35"/>
        <v/>
      </c>
      <c r="AQ262" s="17" t="str">
        <f t="shared" si="36"/>
        <v/>
      </c>
      <c r="AR262" s="17" t="str">
        <f t="shared" ca="1" si="37"/>
        <v/>
      </c>
      <c r="AS262" s="18"/>
      <c r="AT262" s="24">
        <f t="shared" si="14"/>
        <v>0</v>
      </c>
      <c r="AU262" s="24">
        <f t="shared" si="15"/>
        <v>0</v>
      </c>
      <c r="AV262" s="24">
        <f t="shared" si="16"/>
        <v>0</v>
      </c>
      <c r="AW262" s="24">
        <f t="shared" si="17"/>
        <v>0</v>
      </c>
      <c r="AX262" s="24">
        <f t="shared" si="18"/>
        <v>0</v>
      </c>
      <c r="AY262" s="24">
        <f t="shared" si="19"/>
        <v>0</v>
      </c>
      <c r="AZ262" s="18"/>
    </row>
    <row r="263" spans="1:52" x14ac:dyDescent="0.25">
      <c r="A263" s="16"/>
      <c r="B263" s="16"/>
      <c r="C263" s="65"/>
      <c r="D263" s="15"/>
      <c r="E263" s="15"/>
      <c r="F263" s="15"/>
      <c r="G263" s="16"/>
      <c r="H263" s="16"/>
      <c r="I263" s="16"/>
      <c r="J263" s="16"/>
      <c r="K263" s="86"/>
      <c r="L263" s="16"/>
      <c r="M263" s="15"/>
      <c r="N263" s="15"/>
      <c r="O263" s="20"/>
      <c r="P263" s="15"/>
      <c r="Q263" s="20"/>
      <c r="R263" s="15"/>
      <c r="S263" s="15"/>
      <c r="T263" s="15"/>
      <c r="U263" s="15"/>
      <c r="V263" s="17"/>
      <c r="W263" s="17"/>
      <c r="X263" s="16"/>
      <c r="Y263" s="20"/>
      <c r="Z263" s="15"/>
      <c r="AA263" s="22"/>
      <c r="AB263" s="90"/>
      <c r="AC263" s="22"/>
      <c r="AD263" s="25"/>
      <c r="AE263" s="25" t="str">
        <f t="shared" si="38"/>
        <v/>
      </c>
      <c r="AF263" s="17" t="str">
        <f t="shared" ca="1" si="39"/>
        <v/>
      </c>
      <c r="AG263" s="17" t="str">
        <f t="shared" si="40"/>
        <v/>
      </c>
      <c r="AH263" s="17" t="str">
        <f t="shared" si="41"/>
        <v/>
      </c>
      <c r="AI263" s="17" t="str">
        <f t="shared" ca="1" si="42"/>
        <v/>
      </c>
      <c r="AJ263" s="17" t="str">
        <f t="shared" ca="1" si="29"/>
        <v/>
      </c>
      <c r="AK263" s="17" t="str">
        <f t="shared" si="30"/>
        <v/>
      </c>
      <c r="AL263" s="17" t="str">
        <f t="shared" si="31"/>
        <v/>
      </c>
      <c r="AM263" s="17" t="str">
        <f t="shared" si="32"/>
        <v/>
      </c>
      <c r="AN263" s="17">
        <f t="shared" si="33"/>
        <v>0</v>
      </c>
      <c r="AO263" s="17" t="str">
        <f t="shared" ca="1" si="34"/>
        <v/>
      </c>
      <c r="AP263" s="17" t="str">
        <f t="shared" ca="1" si="35"/>
        <v/>
      </c>
      <c r="AQ263" s="17" t="str">
        <f t="shared" si="36"/>
        <v/>
      </c>
      <c r="AR263" s="17" t="str">
        <f t="shared" ca="1" si="37"/>
        <v/>
      </c>
      <c r="AS263" s="18"/>
      <c r="AT263" s="24">
        <f t="shared" si="14"/>
        <v>0</v>
      </c>
      <c r="AU263" s="24">
        <f t="shared" si="15"/>
        <v>0</v>
      </c>
      <c r="AV263" s="24">
        <f t="shared" si="16"/>
        <v>0</v>
      </c>
      <c r="AW263" s="24">
        <f t="shared" si="17"/>
        <v>0</v>
      </c>
      <c r="AX263" s="24">
        <f t="shared" si="18"/>
        <v>0</v>
      </c>
      <c r="AY263" s="24">
        <f t="shared" si="19"/>
        <v>0</v>
      </c>
      <c r="AZ263" s="18"/>
    </row>
    <row r="264" spans="1:52" x14ac:dyDescent="0.25">
      <c r="A264" s="16"/>
      <c r="B264" s="16"/>
      <c r="C264" s="65"/>
      <c r="D264" s="15"/>
      <c r="E264" s="15"/>
      <c r="F264" s="15"/>
      <c r="G264" s="16"/>
      <c r="H264" s="16"/>
      <c r="I264" s="16"/>
      <c r="J264" s="16"/>
      <c r="K264" s="86"/>
      <c r="L264" s="16"/>
      <c r="M264" s="15"/>
      <c r="N264" s="15"/>
      <c r="O264" s="20"/>
      <c r="P264" s="15"/>
      <c r="Q264" s="20"/>
      <c r="R264" s="15"/>
      <c r="S264" s="15"/>
      <c r="T264" s="15"/>
      <c r="U264" s="15"/>
      <c r="V264" s="17"/>
      <c r="W264" s="17"/>
      <c r="X264" s="16"/>
      <c r="Y264" s="20"/>
      <c r="Z264" s="15"/>
      <c r="AA264" s="22"/>
      <c r="AB264" s="90"/>
      <c r="AC264" s="22"/>
      <c r="AD264" s="25"/>
      <c r="AE264" s="25" t="str">
        <f t="shared" si="38"/>
        <v/>
      </c>
      <c r="AF264" s="17" t="str">
        <f t="shared" ca="1" si="39"/>
        <v/>
      </c>
      <c r="AG264" s="17" t="str">
        <f t="shared" si="40"/>
        <v/>
      </c>
      <c r="AH264" s="17" t="str">
        <f t="shared" si="41"/>
        <v/>
      </c>
      <c r="AI264" s="17" t="str">
        <f t="shared" ca="1" si="42"/>
        <v/>
      </c>
      <c r="AJ264" s="17" t="str">
        <f t="shared" ca="1" si="29"/>
        <v/>
      </c>
      <c r="AK264" s="17" t="str">
        <f t="shared" si="30"/>
        <v/>
      </c>
      <c r="AL264" s="17" t="str">
        <f t="shared" si="31"/>
        <v/>
      </c>
      <c r="AM264" s="17" t="str">
        <f t="shared" si="32"/>
        <v/>
      </c>
      <c r="AN264" s="17">
        <f t="shared" si="33"/>
        <v>0</v>
      </c>
      <c r="AO264" s="17" t="str">
        <f t="shared" ca="1" si="34"/>
        <v/>
      </c>
      <c r="AP264" s="17" t="str">
        <f t="shared" ca="1" si="35"/>
        <v/>
      </c>
      <c r="AQ264" s="17" t="str">
        <f t="shared" si="36"/>
        <v/>
      </c>
      <c r="AR264" s="17" t="str">
        <f t="shared" ca="1" si="37"/>
        <v/>
      </c>
      <c r="AS264" s="18"/>
      <c r="AT264" s="24">
        <f t="shared" ref="AT264:AT327" si="43">IF(AND(L264="DONE",AC264&gt;0,AQ264="WITHIN SLA"),1,0)</f>
        <v>0</v>
      </c>
      <c r="AU264" s="24">
        <f t="shared" ref="AU264:AU327" si="44">IF(AND(L264="DONE",AC264&gt;0,AQ264="EXCEEDED SLA"),1,0)</f>
        <v>0</v>
      </c>
      <c r="AV264" s="24">
        <f t="shared" ref="AV264:AV327" si="45">IF(AND(L264="PENDING",M264="AWAITING FROM CSMP"),1,0)</f>
        <v>0</v>
      </c>
      <c r="AW264" s="24">
        <f t="shared" ref="AW264:AW327" si="46">IF(AND(L264="PENDING",M264="WATO ON-HAND",O264&gt;0,W264="WATO",AA264=0),1,0)</f>
        <v>0</v>
      </c>
      <c r="AX264" s="24">
        <f t="shared" ref="AX264:AX327" si="47">IF(AND(L264="PENDING",M264="SUBMITTED TO WFM",O264&gt;0,W264="WFM",AA264=0),1,0)</f>
        <v>0</v>
      </c>
      <c r="AY264" s="24">
        <f t="shared" ref="AY264:AY327" si="48">IF(AND(L264="PENDING",AA264&gt;0),1,0)</f>
        <v>0</v>
      </c>
      <c r="AZ264" s="18"/>
    </row>
    <row r="265" spans="1:52" x14ac:dyDescent="0.25">
      <c r="A265" s="16"/>
      <c r="B265" s="16"/>
      <c r="C265" s="65"/>
      <c r="D265" s="15"/>
      <c r="E265" s="15"/>
      <c r="F265" s="15"/>
      <c r="G265" s="16"/>
      <c r="H265" s="16"/>
      <c r="I265" s="16"/>
      <c r="J265" s="16"/>
      <c r="K265" s="86"/>
      <c r="L265" s="16"/>
      <c r="M265" s="15"/>
      <c r="N265" s="15"/>
      <c r="O265" s="20"/>
      <c r="P265" s="15"/>
      <c r="Q265" s="20"/>
      <c r="R265" s="15"/>
      <c r="S265" s="15"/>
      <c r="T265" s="15"/>
      <c r="U265" s="15"/>
      <c r="V265" s="17"/>
      <c r="W265" s="17"/>
      <c r="X265" s="16"/>
      <c r="Y265" s="20"/>
      <c r="Z265" s="15"/>
      <c r="AA265" s="22"/>
      <c r="AB265" s="90"/>
      <c r="AC265" s="22"/>
      <c r="AD265" s="25"/>
      <c r="AE265" s="25" t="str">
        <f t="shared" si="38"/>
        <v/>
      </c>
      <c r="AF265" s="17" t="str">
        <f t="shared" ca="1" si="39"/>
        <v/>
      </c>
      <c r="AG265" s="17" t="str">
        <f t="shared" si="40"/>
        <v/>
      </c>
      <c r="AH265" s="17" t="str">
        <f t="shared" si="41"/>
        <v/>
      </c>
      <c r="AI265" s="17" t="str">
        <f t="shared" ca="1" si="42"/>
        <v/>
      </c>
      <c r="AJ265" s="17" t="str">
        <f t="shared" ca="1" si="29"/>
        <v/>
      </c>
      <c r="AK265" s="17" t="str">
        <f t="shared" si="30"/>
        <v/>
      </c>
      <c r="AL265" s="17" t="str">
        <f t="shared" si="31"/>
        <v/>
      </c>
      <c r="AM265" s="17" t="str">
        <f t="shared" si="32"/>
        <v/>
      </c>
      <c r="AN265" s="17">
        <f t="shared" si="33"/>
        <v>0</v>
      </c>
      <c r="AO265" s="17" t="str">
        <f t="shared" ca="1" si="34"/>
        <v/>
      </c>
      <c r="AP265" s="17" t="str">
        <f t="shared" ca="1" si="35"/>
        <v/>
      </c>
      <c r="AQ265" s="17" t="str">
        <f t="shared" si="36"/>
        <v/>
      </c>
      <c r="AR265" s="17" t="str">
        <f t="shared" ca="1" si="37"/>
        <v/>
      </c>
      <c r="AS265" s="18"/>
      <c r="AT265" s="24">
        <f t="shared" si="43"/>
        <v>0</v>
      </c>
      <c r="AU265" s="24">
        <f t="shared" si="44"/>
        <v>0</v>
      </c>
      <c r="AV265" s="24">
        <f t="shared" si="45"/>
        <v>0</v>
      </c>
      <c r="AW265" s="24">
        <f t="shared" si="46"/>
        <v>0</v>
      </c>
      <c r="AX265" s="24">
        <f t="shared" si="47"/>
        <v>0</v>
      </c>
      <c r="AY265" s="24">
        <f t="shared" si="48"/>
        <v>0</v>
      </c>
      <c r="AZ265" s="18"/>
    </row>
    <row r="266" spans="1:52" x14ac:dyDescent="0.25">
      <c r="A266" s="16"/>
      <c r="B266" s="16"/>
      <c r="C266" s="65"/>
      <c r="D266" s="15"/>
      <c r="E266" s="15"/>
      <c r="F266" s="15"/>
      <c r="G266" s="16"/>
      <c r="H266" s="16"/>
      <c r="I266" s="16"/>
      <c r="J266" s="16"/>
      <c r="K266" s="86"/>
      <c r="L266" s="16"/>
      <c r="M266" s="15"/>
      <c r="N266" s="15"/>
      <c r="O266" s="20"/>
      <c r="P266" s="15"/>
      <c r="Q266" s="20"/>
      <c r="R266" s="15"/>
      <c r="S266" s="15"/>
      <c r="T266" s="15"/>
      <c r="U266" s="15"/>
      <c r="V266" s="17"/>
      <c r="W266" s="17"/>
      <c r="X266" s="16"/>
      <c r="Y266" s="20"/>
      <c r="Z266" s="15"/>
      <c r="AA266" s="22"/>
      <c r="AB266" s="90"/>
      <c r="AC266" s="22"/>
      <c r="AD266" s="25"/>
      <c r="AE266" s="25" t="str">
        <f t="shared" si="38"/>
        <v/>
      </c>
      <c r="AF266" s="17" t="str">
        <f t="shared" ca="1" si="39"/>
        <v/>
      </c>
      <c r="AG266" s="17" t="str">
        <f t="shared" si="40"/>
        <v/>
      </c>
      <c r="AH266" s="17" t="str">
        <f t="shared" si="41"/>
        <v/>
      </c>
      <c r="AI266" s="17" t="str">
        <f t="shared" ca="1" si="42"/>
        <v/>
      </c>
      <c r="AJ266" s="17" t="str">
        <f t="shared" ca="1" si="29"/>
        <v/>
      </c>
      <c r="AK266" s="17" t="str">
        <f t="shared" si="30"/>
        <v/>
      </c>
      <c r="AL266" s="17" t="str">
        <f t="shared" si="31"/>
        <v/>
      </c>
      <c r="AM266" s="17" t="str">
        <f t="shared" si="32"/>
        <v/>
      </c>
      <c r="AN266" s="17">
        <f t="shared" si="33"/>
        <v>0</v>
      </c>
      <c r="AO266" s="17" t="str">
        <f t="shared" ca="1" si="34"/>
        <v/>
      </c>
      <c r="AP266" s="17" t="str">
        <f t="shared" ca="1" si="35"/>
        <v/>
      </c>
      <c r="AQ266" s="17" t="str">
        <f t="shared" si="36"/>
        <v/>
      </c>
      <c r="AR266" s="17" t="str">
        <f t="shared" ca="1" si="37"/>
        <v/>
      </c>
      <c r="AS266" s="18"/>
      <c r="AT266" s="24">
        <f t="shared" si="43"/>
        <v>0</v>
      </c>
      <c r="AU266" s="24">
        <f t="shared" si="44"/>
        <v>0</v>
      </c>
      <c r="AV266" s="24">
        <f t="shared" si="45"/>
        <v>0</v>
      </c>
      <c r="AW266" s="24">
        <f t="shared" si="46"/>
        <v>0</v>
      </c>
      <c r="AX266" s="24">
        <f t="shared" si="47"/>
        <v>0</v>
      </c>
      <c r="AY266" s="24">
        <f t="shared" si="48"/>
        <v>0</v>
      </c>
      <c r="AZ266" s="18"/>
    </row>
    <row r="267" spans="1:52" x14ac:dyDescent="0.25">
      <c r="A267" s="16"/>
      <c r="B267" s="16"/>
      <c r="C267" s="65"/>
      <c r="D267" s="15"/>
      <c r="E267" s="15"/>
      <c r="F267" s="15"/>
      <c r="G267" s="16"/>
      <c r="H267" s="16"/>
      <c r="I267" s="16"/>
      <c r="J267" s="16"/>
      <c r="K267" s="86"/>
      <c r="L267" s="16"/>
      <c r="M267" s="15"/>
      <c r="N267" s="15"/>
      <c r="O267" s="20"/>
      <c r="P267" s="15"/>
      <c r="Q267" s="20"/>
      <c r="R267" s="15"/>
      <c r="S267" s="15"/>
      <c r="T267" s="15"/>
      <c r="U267" s="15"/>
      <c r="V267" s="17"/>
      <c r="W267" s="17"/>
      <c r="X267" s="16"/>
      <c r="Y267" s="20"/>
      <c r="Z267" s="15"/>
      <c r="AA267" s="22"/>
      <c r="AB267" s="90"/>
      <c r="AC267" s="22"/>
      <c r="AD267" s="25"/>
      <c r="AE267" s="25" t="str">
        <f t="shared" si="38"/>
        <v/>
      </c>
      <c r="AF267" s="17" t="str">
        <f t="shared" ca="1" si="39"/>
        <v/>
      </c>
      <c r="AG267" s="17" t="str">
        <f t="shared" si="40"/>
        <v/>
      </c>
      <c r="AH267" s="17" t="str">
        <f t="shared" si="41"/>
        <v/>
      </c>
      <c r="AI267" s="17" t="str">
        <f t="shared" ca="1" si="42"/>
        <v/>
      </c>
      <c r="AJ267" s="17" t="str">
        <f t="shared" ca="1" si="29"/>
        <v/>
      </c>
      <c r="AK267" s="17" t="str">
        <f t="shared" si="30"/>
        <v/>
      </c>
      <c r="AL267" s="17" t="str">
        <f t="shared" si="31"/>
        <v/>
      </c>
      <c r="AM267" s="17" t="str">
        <f t="shared" si="32"/>
        <v/>
      </c>
      <c r="AN267" s="17">
        <f t="shared" si="33"/>
        <v>0</v>
      </c>
      <c r="AO267" s="17" t="str">
        <f t="shared" ca="1" si="34"/>
        <v/>
      </c>
      <c r="AP267" s="17" t="str">
        <f t="shared" ca="1" si="35"/>
        <v/>
      </c>
      <c r="AQ267" s="17" t="str">
        <f t="shared" si="36"/>
        <v/>
      </c>
      <c r="AR267" s="17" t="str">
        <f t="shared" ca="1" si="37"/>
        <v/>
      </c>
      <c r="AS267" s="18"/>
      <c r="AT267" s="24">
        <f t="shared" si="43"/>
        <v>0</v>
      </c>
      <c r="AU267" s="24">
        <f t="shared" si="44"/>
        <v>0</v>
      </c>
      <c r="AV267" s="24">
        <f t="shared" si="45"/>
        <v>0</v>
      </c>
      <c r="AW267" s="24">
        <f t="shared" si="46"/>
        <v>0</v>
      </c>
      <c r="AX267" s="24">
        <f t="shared" si="47"/>
        <v>0</v>
      </c>
      <c r="AY267" s="24">
        <f t="shared" si="48"/>
        <v>0</v>
      </c>
      <c r="AZ267" s="18"/>
    </row>
    <row r="268" spans="1:52" x14ac:dyDescent="0.25">
      <c r="A268" s="16"/>
      <c r="B268" s="16"/>
      <c r="C268" s="65"/>
      <c r="D268" s="15"/>
      <c r="E268" s="15"/>
      <c r="F268" s="15"/>
      <c r="G268" s="16"/>
      <c r="H268" s="16"/>
      <c r="I268" s="16"/>
      <c r="J268" s="16"/>
      <c r="K268" s="86"/>
      <c r="L268" s="16"/>
      <c r="M268" s="15"/>
      <c r="N268" s="15"/>
      <c r="O268" s="20"/>
      <c r="P268" s="15"/>
      <c r="Q268" s="20"/>
      <c r="R268" s="15"/>
      <c r="S268" s="15"/>
      <c r="T268" s="15"/>
      <c r="U268" s="15"/>
      <c r="V268" s="17"/>
      <c r="W268" s="17"/>
      <c r="X268" s="16"/>
      <c r="Y268" s="20"/>
      <c r="Z268" s="15"/>
      <c r="AA268" s="22"/>
      <c r="AB268" s="90"/>
      <c r="AC268" s="22"/>
      <c r="AD268" s="25"/>
      <c r="AE268" s="25" t="str">
        <f t="shared" si="38"/>
        <v/>
      </c>
      <c r="AF268" s="17" t="str">
        <f t="shared" ca="1" si="39"/>
        <v/>
      </c>
      <c r="AG268" s="17" t="str">
        <f t="shared" si="40"/>
        <v/>
      </c>
      <c r="AH268" s="17" t="str">
        <f t="shared" si="41"/>
        <v/>
      </c>
      <c r="AI268" s="17" t="str">
        <f t="shared" ca="1" si="42"/>
        <v/>
      </c>
      <c r="AJ268" s="17" t="str">
        <f t="shared" ca="1" si="29"/>
        <v/>
      </c>
      <c r="AK268" s="17" t="str">
        <f t="shared" si="30"/>
        <v/>
      </c>
      <c r="AL268" s="17" t="str">
        <f t="shared" si="31"/>
        <v/>
      </c>
      <c r="AM268" s="17" t="str">
        <f t="shared" si="32"/>
        <v/>
      </c>
      <c r="AN268" s="17">
        <f t="shared" si="33"/>
        <v>0</v>
      </c>
      <c r="AO268" s="17" t="str">
        <f t="shared" ca="1" si="34"/>
        <v/>
      </c>
      <c r="AP268" s="17" t="str">
        <f t="shared" ca="1" si="35"/>
        <v/>
      </c>
      <c r="AQ268" s="17" t="str">
        <f t="shared" si="36"/>
        <v/>
      </c>
      <c r="AR268" s="17" t="str">
        <f t="shared" ca="1" si="37"/>
        <v/>
      </c>
      <c r="AS268" s="18"/>
      <c r="AT268" s="24">
        <f t="shared" si="43"/>
        <v>0</v>
      </c>
      <c r="AU268" s="24">
        <f t="shared" si="44"/>
        <v>0</v>
      </c>
      <c r="AV268" s="24">
        <f t="shared" si="45"/>
        <v>0</v>
      </c>
      <c r="AW268" s="24">
        <f t="shared" si="46"/>
        <v>0</v>
      </c>
      <c r="AX268" s="24">
        <f t="shared" si="47"/>
        <v>0</v>
      </c>
      <c r="AY268" s="24">
        <f t="shared" si="48"/>
        <v>0</v>
      </c>
      <c r="AZ268" s="18"/>
    </row>
    <row r="269" spans="1:52" x14ac:dyDescent="0.25">
      <c r="A269" s="16"/>
      <c r="B269" s="16"/>
      <c r="C269" s="65"/>
      <c r="D269" s="15"/>
      <c r="E269" s="15"/>
      <c r="F269" s="15"/>
      <c r="G269" s="16"/>
      <c r="H269" s="16"/>
      <c r="I269" s="16"/>
      <c r="J269" s="16"/>
      <c r="K269" s="86"/>
      <c r="L269" s="16"/>
      <c r="M269" s="15"/>
      <c r="N269" s="15"/>
      <c r="O269" s="20"/>
      <c r="P269" s="15"/>
      <c r="Q269" s="20"/>
      <c r="R269" s="15"/>
      <c r="S269" s="15"/>
      <c r="T269" s="15"/>
      <c r="U269" s="15"/>
      <c r="V269" s="17"/>
      <c r="W269" s="17"/>
      <c r="X269" s="16"/>
      <c r="Y269" s="20"/>
      <c r="Z269" s="15"/>
      <c r="AA269" s="22"/>
      <c r="AB269" s="90"/>
      <c r="AC269" s="22"/>
      <c r="AD269" s="25"/>
      <c r="AE269" s="25" t="str">
        <f t="shared" si="38"/>
        <v/>
      </c>
      <c r="AF269" s="17" t="str">
        <f t="shared" ca="1" si="39"/>
        <v/>
      </c>
      <c r="AG269" s="17" t="str">
        <f t="shared" si="40"/>
        <v/>
      </c>
      <c r="AH269" s="17" t="str">
        <f t="shared" si="41"/>
        <v/>
      </c>
      <c r="AI269" s="17" t="str">
        <f t="shared" ca="1" si="42"/>
        <v/>
      </c>
      <c r="AJ269" s="17" t="str">
        <f t="shared" ca="1" si="29"/>
        <v/>
      </c>
      <c r="AK269" s="17" t="str">
        <f t="shared" si="30"/>
        <v/>
      </c>
      <c r="AL269" s="17" t="str">
        <f t="shared" si="31"/>
        <v/>
      </c>
      <c r="AM269" s="17" t="str">
        <f t="shared" si="32"/>
        <v/>
      </c>
      <c r="AN269" s="17">
        <f t="shared" si="33"/>
        <v>0</v>
      </c>
      <c r="AO269" s="17" t="str">
        <f t="shared" ca="1" si="34"/>
        <v/>
      </c>
      <c r="AP269" s="17" t="str">
        <f t="shared" ca="1" si="35"/>
        <v/>
      </c>
      <c r="AQ269" s="17" t="str">
        <f t="shared" si="36"/>
        <v/>
      </c>
      <c r="AR269" s="17" t="str">
        <f t="shared" ca="1" si="37"/>
        <v/>
      </c>
      <c r="AS269" s="18"/>
      <c r="AT269" s="24">
        <f t="shared" si="43"/>
        <v>0</v>
      </c>
      <c r="AU269" s="24">
        <f t="shared" si="44"/>
        <v>0</v>
      </c>
      <c r="AV269" s="24">
        <f t="shared" si="45"/>
        <v>0</v>
      </c>
      <c r="AW269" s="24">
        <f t="shared" si="46"/>
        <v>0</v>
      </c>
      <c r="AX269" s="24">
        <f t="shared" si="47"/>
        <v>0</v>
      </c>
      <c r="AY269" s="24">
        <f t="shared" si="48"/>
        <v>0</v>
      </c>
      <c r="AZ269" s="18"/>
    </row>
    <row r="270" spans="1:52" x14ac:dyDescent="0.25">
      <c r="A270" s="16"/>
      <c r="B270" s="16"/>
      <c r="C270" s="65"/>
      <c r="D270" s="15"/>
      <c r="E270" s="15"/>
      <c r="F270" s="15"/>
      <c r="G270" s="16"/>
      <c r="H270" s="16"/>
      <c r="I270" s="16"/>
      <c r="J270" s="16"/>
      <c r="K270" s="86"/>
      <c r="L270" s="16"/>
      <c r="M270" s="15"/>
      <c r="N270" s="15"/>
      <c r="O270" s="20"/>
      <c r="P270" s="15"/>
      <c r="Q270" s="20"/>
      <c r="R270" s="15"/>
      <c r="S270" s="15"/>
      <c r="T270" s="15"/>
      <c r="U270" s="15"/>
      <c r="V270" s="17"/>
      <c r="W270" s="17"/>
      <c r="X270" s="16"/>
      <c r="Y270" s="20"/>
      <c r="Z270" s="15"/>
      <c r="AA270" s="22"/>
      <c r="AB270" s="90"/>
      <c r="AC270" s="22"/>
      <c r="AD270" s="25"/>
      <c r="AE270" s="25" t="str">
        <f t="shared" si="38"/>
        <v/>
      </c>
      <c r="AF270" s="17" t="str">
        <f t="shared" ca="1" si="39"/>
        <v/>
      </c>
      <c r="AG270" s="17" t="str">
        <f t="shared" si="40"/>
        <v/>
      </c>
      <c r="AH270" s="17" t="str">
        <f t="shared" si="41"/>
        <v/>
      </c>
      <c r="AI270" s="17" t="str">
        <f t="shared" ca="1" si="42"/>
        <v/>
      </c>
      <c r="AJ270" s="17" t="str">
        <f t="shared" ca="1" si="29"/>
        <v/>
      </c>
      <c r="AK270" s="17" t="str">
        <f t="shared" si="30"/>
        <v/>
      </c>
      <c r="AL270" s="17" t="str">
        <f t="shared" si="31"/>
        <v/>
      </c>
      <c r="AM270" s="17" t="str">
        <f t="shared" si="32"/>
        <v/>
      </c>
      <c r="AN270" s="17">
        <f t="shared" si="33"/>
        <v>0</v>
      </c>
      <c r="AO270" s="17" t="str">
        <f t="shared" ca="1" si="34"/>
        <v/>
      </c>
      <c r="AP270" s="17" t="str">
        <f t="shared" ca="1" si="35"/>
        <v/>
      </c>
      <c r="AQ270" s="17" t="str">
        <f t="shared" si="36"/>
        <v/>
      </c>
      <c r="AR270" s="17" t="str">
        <f t="shared" ca="1" si="37"/>
        <v/>
      </c>
      <c r="AS270" s="18"/>
      <c r="AT270" s="24">
        <f t="shared" si="43"/>
        <v>0</v>
      </c>
      <c r="AU270" s="24">
        <f t="shared" si="44"/>
        <v>0</v>
      </c>
      <c r="AV270" s="24">
        <f t="shared" si="45"/>
        <v>0</v>
      </c>
      <c r="AW270" s="24">
        <f t="shared" si="46"/>
        <v>0</v>
      </c>
      <c r="AX270" s="24">
        <f t="shared" si="47"/>
        <v>0</v>
      </c>
      <c r="AY270" s="24">
        <f t="shared" si="48"/>
        <v>0</v>
      </c>
      <c r="AZ270" s="18"/>
    </row>
    <row r="271" spans="1:52" x14ac:dyDescent="0.25">
      <c r="A271" s="16"/>
      <c r="B271" s="16"/>
      <c r="C271" s="65"/>
      <c r="D271" s="15"/>
      <c r="E271" s="15"/>
      <c r="F271" s="15"/>
      <c r="G271" s="16"/>
      <c r="H271" s="16"/>
      <c r="I271" s="16"/>
      <c r="J271" s="16"/>
      <c r="K271" s="86"/>
      <c r="L271" s="16"/>
      <c r="M271" s="15"/>
      <c r="N271" s="15"/>
      <c r="O271" s="20"/>
      <c r="P271" s="15"/>
      <c r="Q271" s="20"/>
      <c r="R271" s="15"/>
      <c r="S271" s="15"/>
      <c r="T271" s="15"/>
      <c r="U271" s="15"/>
      <c r="V271" s="17"/>
      <c r="W271" s="17"/>
      <c r="X271" s="16"/>
      <c r="Y271" s="20"/>
      <c r="Z271" s="15"/>
      <c r="AA271" s="22"/>
      <c r="AB271" s="90"/>
      <c r="AC271" s="22"/>
      <c r="AD271" s="25"/>
      <c r="AE271" s="25" t="str">
        <f t="shared" si="38"/>
        <v/>
      </c>
      <c r="AF271" s="17" t="str">
        <f t="shared" ca="1" si="39"/>
        <v/>
      </c>
      <c r="AG271" s="17" t="str">
        <f t="shared" si="40"/>
        <v/>
      </c>
      <c r="AH271" s="17" t="str">
        <f t="shared" si="41"/>
        <v/>
      </c>
      <c r="AI271" s="17" t="str">
        <f t="shared" ca="1" si="42"/>
        <v/>
      </c>
      <c r="AJ271" s="17" t="str">
        <f t="shared" ca="1" si="29"/>
        <v/>
      </c>
      <c r="AK271" s="17" t="str">
        <f t="shared" si="30"/>
        <v/>
      </c>
      <c r="AL271" s="17" t="str">
        <f t="shared" si="31"/>
        <v/>
      </c>
      <c r="AM271" s="17" t="str">
        <f t="shared" si="32"/>
        <v/>
      </c>
      <c r="AN271" s="17">
        <f t="shared" si="33"/>
        <v>0</v>
      </c>
      <c r="AO271" s="17" t="str">
        <f t="shared" ca="1" si="34"/>
        <v/>
      </c>
      <c r="AP271" s="17" t="str">
        <f t="shared" ca="1" si="35"/>
        <v/>
      </c>
      <c r="AQ271" s="17" t="str">
        <f t="shared" si="36"/>
        <v/>
      </c>
      <c r="AR271" s="17" t="str">
        <f t="shared" ca="1" si="37"/>
        <v/>
      </c>
      <c r="AS271" s="18"/>
      <c r="AT271" s="24">
        <f t="shared" si="43"/>
        <v>0</v>
      </c>
      <c r="AU271" s="24">
        <f t="shared" si="44"/>
        <v>0</v>
      </c>
      <c r="AV271" s="24">
        <f t="shared" si="45"/>
        <v>0</v>
      </c>
      <c r="AW271" s="24">
        <f t="shared" si="46"/>
        <v>0</v>
      </c>
      <c r="AX271" s="24">
        <f t="shared" si="47"/>
        <v>0</v>
      </c>
      <c r="AY271" s="24">
        <f t="shared" si="48"/>
        <v>0</v>
      </c>
      <c r="AZ271" s="18"/>
    </row>
    <row r="272" spans="1:52" x14ac:dyDescent="0.25">
      <c r="A272" s="16"/>
      <c r="B272" s="16"/>
      <c r="C272" s="65"/>
      <c r="D272" s="15"/>
      <c r="E272" s="15"/>
      <c r="F272" s="15"/>
      <c r="G272" s="16"/>
      <c r="H272" s="16"/>
      <c r="I272" s="16"/>
      <c r="J272" s="16"/>
      <c r="K272" s="86"/>
      <c r="L272" s="16"/>
      <c r="M272" s="15"/>
      <c r="N272" s="15"/>
      <c r="O272" s="20"/>
      <c r="P272" s="15"/>
      <c r="Q272" s="20"/>
      <c r="R272" s="15"/>
      <c r="S272" s="15"/>
      <c r="T272" s="15"/>
      <c r="U272" s="15"/>
      <c r="V272" s="17"/>
      <c r="W272" s="17"/>
      <c r="X272" s="16"/>
      <c r="Y272" s="20"/>
      <c r="Z272" s="15"/>
      <c r="AA272" s="22"/>
      <c r="AB272" s="90"/>
      <c r="AC272" s="22"/>
      <c r="AD272" s="25"/>
      <c r="AE272" s="25" t="str">
        <f t="shared" si="38"/>
        <v/>
      </c>
      <c r="AF272" s="17" t="str">
        <f t="shared" ca="1" si="39"/>
        <v/>
      </c>
      <c r="AG272" s="17" t="str">
        <f t="shared" si="40"/>
        <v/>
      </c>
      <c r="AH272" s="17" t="str">
        <f t="shared" si="41"/>
        <v/>
      </c>
      <c r="AI272" s="17" t="str">
        <f t="shared" ca="1" si="42"/>
        <v/>
      </c>
      <c r="AJ272" s="17" t="str">
        <f t="shared" ca="1" si="29"/>
        <v/>
      </c>
      <c r="AK272" s="17" t="str">
        <f t="shared" si="30"/>
        <v/>
      </c>
      <c r="AL272" s="17" t="str">
        <f t="shared" si="31"/>
        <v/>
      </c>
      <c r="AM272" s="17" t="str">
        <f t="shared" si="32"/>
        <v/>
      </c>
      <c r="AN272" s="17">
        <f t="shared" si="33"/>
        <v>0</v>
      </c>
      <c r="AO272" s="17" t="str">
        <f t="shared" ca="1" si="34"/>
        <v/>
      </c>
      <c r="AP272" s="17" t="str">
        <f t="shared" ca="1" si="35"/>
        <v/>
      </c>
      <c r="AQ272" s="17" t="str">
        <f t="shared" si="36"/>
        <v/>
      </c>
      <c r="AR272" s="17" t="str">
        <f t="shared" ca="1" si="37"/>
        <v/>
      </c>
      <c r="AS272" s="18"/>
      <c r="AT272" s="24">
        <f t="shared" si="43"/>
        <v>0</v>
      </c>
      <c r="AU272" s="24">
        <f t="shared" si="44"/>
        <v>0</v>
      </c>
      <c r="AV272" s="24">
        <f t="shared" si="45"/>
        <v>0</v>
      </c>
      <c r="AW272" s="24">
        <f t="shared" si="46"/>
        <v>0</v>
      </c>
      <c r="AX272" s="24">
        <f t="shared" si="47"/>
        <v>0</v>
      </c>
      <c r="AY272" s="24">
        <f t="shared" si="48"/>
        <v>0</v>
      </c>
      <c r="AZ272" s="18"/>
    </row>
    <row r="273" spans="1:52" x14ac:dyDescent="0.25">
      <c r="A273" s="16"/>
      <c r="B273" s="16"/>
      <c r="C273" s="65"/>
      <c r="D273" s="15"/>
      <c r="E273" s="15"/>
      <c r="F273" s="15"/>
      <c r="G273" s="16"/>
      <c r="H273" s="16"/>
      <c r="I273" s="16"/>
      <c r="J273" s="16"/>
      <c r="K273" s="86"/>
      <c r="L273" s="16"/>
      <c r="M273" s="15"/>
      <c r="N273" s="15"/>
      <c r="O273" s="20"/>
      <c r="P273" s="15"/>
      <c r="Q273" s="20"/>
      <c r="R273" s="15"/>
      <c r="S273" s="15"/>
      <c r="T273" s="15"/>
      <c r="U273" s="15"/>
      <c r="V273" s="17"/>
      <c r="W273" s="17"/>
      <c r="X273" s="16"/>
      <c r="Y273" s="20"/>
      <c r="Z273" s="15"/>
      <c r="AA273" s="22"/>
      <c r="AB273" s="90"/>
      <c r="AC273" s="22"/>
      <c r="AD273" s="25"/>
      <c r="AE273" s="25" t="str">
        <f t="shared" si="38"/>
        <v/>
      </c>
      <c r="AF273" s="17" t="str">
        <f t="shared" ca="1" si="39"/>
        <v/>
      </c>
      <c r="AG273" s="17" t="str">
        <f t="shared" si="40"/>
        <v/>
      </c>
      <c r="AH273" s="17" t="str">
        <f t="shared" si="41"/>
        <v/>
      </c>
      <c r="AI273" s="17" t="str">
        <f t="shared" ca="1" si="42"/>
        <v/>
      </c>
      <c r="AJ273" s="17" t="str">
        <f t="shared" ca="1" si="29"/>
        <v/>
      </c>
      <c r="AK273" s="17" t="str">
        <f t="shared" si="30"/>
        <v/>
      </c>
      <c r="AL273" s="17" t="str">
        <f t="shared" si="31"/>
        <v/>
      </c>
      <c r="AM273" s="17" t="str">
        <f t="shared" si="32"/>
        <v/>
      </c>
      <c r="AN273" s="17">
        <f t="shared" si="33"/>
        <v>0</v>
      </c>
      <c r="AO273" s="17" t="str">
        <f t="shared" ca="1" si="34"/>
        <v/>
      </c>
      <c r="AP273" s="17" t="str">
        <f t="shared" ca="1" si="35"/>
        <v/>
      </c>
      <c r="AQ273" s="17" t="str">
        <f t="shared" si="36"/>
        <v/>
      </c>
      <c r="AR273" s="17" t="str">
        <f t="shared" ca="1" si="37"/>
        <v/>
      </c>
      <c r="AS273" s="18"/>
      <c r="AT273" s="24">
        <f t="shared" si="43"/>
        <v>0</v>
      </c>
      <c r="AU273" s="24">
        <f t="shared" si="44"/>
        <v>0</v>
      </c>
      <c r="AV273" s="24">
        <f t="shared" si="45"/>
        <v>0</v>
      </c>
      <c r="AW273" s="24">
        <f t="shared" si="46"/>
        <v>0</v>
      </c>
      <c r="AX273" s="24">
        <f t="shared" si="47"/>
        <v>0</v>
      </c>
      <c r="AY273" s="24">
        <f t="shared" si="48"/>
        <v>0</v>
      </c>
      <c r="AZ273" s="18"/>
    </row>
    <row r="274" spans="1:52" x14ac:dyDescent="0.25">
      <c r="A274" s="16"/>
      <c r="B274" s="16"/>
      <c r="C274" s="65"/>
      <c r="D274" s="15"/>
      <c r="E274" s="15"/>
      <c r="F274" s="15"/>
      <c r="G274" s="16"/>
      <c r="H274" s="16"/>
      <c r="I274" s="16"/>
      <c r="J274" s="16"/>
      <c r="K274" s="86"/>
      <c r="L274" s="16"/>
      <c r="M274" s="15"/>
      <c r="N274" s="15"/>
      <c r="O274" s="20"/>
      <c r="P274" s="15"/>
      <c r="Q274" s="20"/>
      <c r="R274" s="15"/>
      <c r="S274" s="15"/>
      <c r="T274" s="15"/>
      <c r="U274" s="15"/>
      <c r="V274" s="17"/>
      <c r="W274" s="17"/>
      <c r="X274" s="16"/>
      <c r="Y274" s="20"/>
      <c r="Z274" s="15"/>
      <c r="AA274" s="22"/>
      <c r="AB274" s="90"/>
      <c r="AC274" s="22"/>
      <c r="AD274" s="25"/>
      <c r="AE274" s="25" t="str">
        <f t="shared" si="38"/>
        <v/>
      </c>
      <c r="AF274" s="17" t="str">
        <f t="shared" ca="1" si="39"/>
        <v/>
      </c>
      <c r="AG274" s="17" t="str">
        <f t="shared" si="40"/>
        <v/>
      </c>
      <c r="AH274" s="17" t="str">
        <f t="shared" si="41"/>
        <v/>
      </c>
      <c r="AI274" s="17" t="str">
        <f t="shared" ca="1" si="42"/>
        <v/>
      </c>
      <c r="AJ274" s="17" t="str">
        <f t="shared" ca="1" si="29"/>
        <v/>
      </c>
      <c r="AK274" s="17" t="str">
        <f t="shared" si="30"/>
        <v/>
      </c>
      <c r="AL274" s="17" t="str">
        <f t="shared" si="31"/>
        <v/>
      </c>
      <c r="AM274" s="17" t="str">
        <f t="shared" si="32"/>
        <v/>
      </c>
      <c r="AN274" s="17">
        <f t="shared" si="33"/>
        <v>0</v>
      </c>
      <c r="AO274" s="17" t="str">
        <f t="shared" ca="1" si="34"/>
        <v/>
      </c>
      <c r="AP274" s="17" t="str">
        <f t="shared" ca="1" si="35"/>
        <v/>
      </c>
      <c r="AQ274" s="17" t="str">
        <f t="shared" si="36"/>
        <v/>
      </c>
      <c r="AR274" s="17" t="str">
        <f t="shared" ca="1" si="37"/>
        <v/>
      </c>
      <c r="AS274" s="18"/>
      <c r="AT274" s="24">
        <f t="shared" si="43"/>
        <v>0</v>
      </c>
      <c r="AU274" s="24">
        <f t="shared" si="44"/>
        <v>0</v>
      </c>
      <c r="AV274" s="24">
        <f t="shared" si="45"/>
        <v>0</v>
      </c>
      <c r="AW274" s="24">
        <f t="shared" si="46"/>
        <v>0</v>
      </c>
      <c r="AX274" s="24">
        <f t="shared" si="47"/>
        <v>0</v>
      </c>
      <c r="AY274" s="24">
        <f t="shared" si="48"/>
        <v>0</v>
      </c>
      <c r="AZ274" s="18"/>
    </row>
    <row r="275" spans="1:52" x14ac:dyDescent="0.25">
      <c r="A275" s="16"/>
      <c r="B275" s="16"/>
      <c r="C275" s="65"/>
      <c r="D275" s="15"/>
      <c r="E275" s="15"/>
      <c r="F275" s="15"/>
      <c r="G275" s="16"/>
      <c r="H275" s="16"/>
      <c r="I275" s="16"/>
      <c r="J275" s="16"/>
      <c r="K275" s="86"/>
      <c r="L275" s="16"/>
      <c r="M275" s="15"/>
      <c r="N275" s="15"/>
      <c r="O275" s="20"/>
      <c r="P275" s="15"/>
      <c r="Q275" s="20"/>
      <c r="R275" s="15"/>
      <c r="S275" s="15"/>
      <c r="T275" s="15"/>
      <c r="U275" s="15"/>
      <c r="V275" s="17"/>
      <c r="W275" s="17"/>
      <c r="X275" s="16"/>
      <c r="Y275" s="20"/>
      <c r="Z275" s="15"/>
      <c r="AA275" s="22"/>
      <c r="AB275" s="90"/>
      <c r="AC275" s="22"/>
      <c r="AD275" s="25"/>
      <c r="AE275" s="25" t="str">
        <f t="shared" si="38"/>
        <v/>
      </c>
      <c r="AF275" s="17" t="str">
        <f t="shared" ca="1" si="39"/>
        <v/>
      </c>
      <c r="AG275" s="17" t="str">
        <f t="shared" si="40"/>
        <v/>
      </c>
      <c r="AH275" s="17" t="str">
        <f t="shared" si="41"/>
        <v/>
      </c>
      <c r="AI275" s="17" t="str">
        <f t="shared" ca="1" si="42"/>
        <v/>
      </c>
      <c r="AJ275" s="17" t="str">
        <f t="shared" ca="1" si="29"/>
        <v/>
      </c>
      <c r="AK275" s="17" t="str">
        <f t="shared" si="30"/>
        <v/>
      </c>
      <c r="AL275" s="17" t="str">
        <f t="shared" si="31"/>
        <v/>
      </c>
      <c r="AM275" s="17" t="str">
        <f t="shared" si="32"/>
        <v/>
      </c>
      <c r="AN275" s="17">
        <f t="shared" si="33"/>
        <v>0</v>
      </c>
      <c r="AO275" s="17" t="str">
        <f t="shared" ca="1" si="34"/>
        <v/>
      </c>
      <c r="AP275" s="17" t="str">
        <f t="shared" ca="1" si="35"/>
        <v/>
      </c>
      <c r="AQ275" s="17" t="str">
        <f t="shared" si="36"/>
        <v/>
      </c>
      <c r="AR275" s="17" t="str">
        <f t="shared" ca="1" si="37"/>
        <v/>
      </c>
      <c r="AS275" s="18"/>
      <c r="AT275" s="24">
        <f t="shared" si="43"/>
        <v>0</v>
      </c>
      <c r="AU275" s="24">
        <f t="shared" si="44"/>
        <v>0</v>
      </c>
      <c r="AV275" s="24">
        <f t="shared" si="45"/>
        <v>0</v>
      </c>
      <c r="AW275" s="24">
        <f t="shared" si="46"/>
        <v>0</v>
      </c>
      <c r="AX275" s="24">
        <f t="shared" si="47"/>
        <v>0</v>
      </c>
      <c r="AY275" s="24">
        <f t="shared" si="48"/>
        <v>0</v>
      </c>
      <c r="AZ275" s="18"/>
    </row>
    <row r="276" spans="1:52" x14ac:dyDescent="0.25">
      <c r="A276" s="16"/>
      <c r="B276" s="16"/>
      <c r="C276" s="65"/>
      <c r="D276" s="15"/>
      <c r="E276" s="15"/>
      <c r="F276" s="15"/>
      <c r="G276" s="16"/>
      <c r="H276" s="16"/>
      <c r="I276" s="16"/>
      <c r="J276" s="16"/>
      <c r="K276" s="86"/>
      <c r="L276" s="16"/>
      <c r="M276" s="15"/>
      <c r="N276" s="15"/>
      <c r="O276" s="20"/>
      <c r="P276" s="15"/>
      <c r="Q276" s="20"/>
      <c r="R276" s="15"/>
      <c r="S276" s="15"/>
      <c r="T276" s="15"/>
      <c r="U276" s="15"/>
      <c r="V276" s="17"/>
      <c r="W276" s="17"/>
      <c r="X276" s="16"/>
      <c r="Y276" s="20"/>
      <c r="Z276" s="15"/>
      <c r="AA276" s="22"/>
      <c r="AB276" s="90"/>
      <c r="AC276" s="22"/>
      <c r="AD276" s="25"/>
      <c r="AE276" s="25" t="str">
        <f t="shared" si="38"/>
        <v/>
      </c>
      <c r="AF276" s="17" t="str">
        <f t="shared" ca="1" si="39"/>
        <v/>
      </c>
      <c r="AG276" s="17" t="str">
        <f t="shared" si="40"/>
        <v/>
      </c>
      <c r="AH276" s="17" t="str">
        <f t="shared" si="41"/>
        <v/>
      </c>
      <c r="AI276" s="17" t="str">
        <f t="shared" ca="1" si="42"/>
        <v/>
      </c>
      <c r="AJ276" s="17" t="str">
        <f t="shared" ca="1" si="29"/>
        <v/>
      </c>
      <c r="AK276" s="17" t="str">
        <f t="shared" si="30"/>
        <v/>
      </c>
      <c r="AL276" s="17" t="str">
        <f t="shared" si="31"/>
        <v/>
      </c>
      <c r="AM276" s="17" t="str">
        <f t="shared" si="32"/>
        <v/>
      </c>
      <c r="AN276" s="17">
        <f t="shared" si="33"/>
        <v>0</v>
      </c>
      <c r="AO276" s="17" t="str">
        <f t="shared" ca="1" si="34"/>
        <v/>
      </c>
      <c r="AP276" s="17" t="str">
        <f t="shared" ca="1" si="35"/>
        <v/>
      </c>
      <c r="AQ276" s="17" t="str">
        <f t="shared" si="36"/>
        <v/>
      </c>
      <c r="AR276" s="17" t="str">
        <f t="shared" ca="1" si="37"/>
        <v/>
      </c>
      <c r="AS276" s="18"/>
      <c r="AT276" s="24">
        <f t="shared" si="43"/>
        <v>0</v>
      </c>
      <c r="AU276" s="24">
        <f t="shared" si="44"/>
        <v>0</v>
      </c>
      <c r="AV276" s="24">
        <f t="shared" si="45"/>
        <v>0</v>
      </c>
      <c r="AW276" s="24">
        <f t="shared" si="46"/>
        <v>0</v>
      </c>
      <c r="AX276" s="24">
        <f t="shared" si="47"/>
        <v>0</v>
      </c>
      <c r="AY276" s="24">
        <f t="shared" si="48"/>
        <v>0</v>
      </c>
      <c r="AZ276" s="18"/>
    </row>
    <row r="277" spans="1:52" x14ac:dyDescent="0.25">
      <c r="A277" s="16"/>
      <c r="B277" s="16"/>
      <c r="C277" s="65"/>
      <c r="D277" s="15"/>
      <c r="E277" s="15"/>
      <c r="F277" s="15"/>
      <c r="G277" s="16"/>
      <c r="H277" s="16"/>
      <c r="I277" s="16"/>
      <c r="J277" s="16"/>
      <c r="K277" s="86"/>
      <c r="L277" s="16"/>
      <c r="M277" s="15"/>
      <c r="N277" s="15"/>
      <c r="O277" s="20"/>
      <c r="P277" s="15"/>
      <c r="Q277" s="20"/>
      <c r="R277" s="15"/>
      <c r="S277" s="15"/>
      <c r="T277" s="15"/>
      <c r="U277" s="15"/>
      <c r="V277" s="17"/>
      <c r="W277" s="17"/>
      <c r="X277" s="16"/>
      <c r="Y277" s="20"/>
      <c r="Z277" s="15"/>
      <c r="AA277" s="22"/>
      <c r="AB277" s="90"/>
      <c r="AC277" s="22"/>
      <c r="AD277" s="25"/>
      <c r="AE277" s="25" t="str">
        <f t="shared" si="38"/>
        <v/>
      </c>
      <c r="AF277" s="17" t="str">
        <f t="shared" ca="1" si="39"/>
        <v/>
      </c>
      <c r="AG277" s="17" t="str">
        <f t="shared" si="40"/>
        <v/>
      </c>
      <c r="AH277" s="17" t="str">
        <f t="shared" si="41"/>
        <v/>
      </c>
      <c r="AI277" s="17" t="str">
        <f t="shared" ca="1" si="42"/>
        <v/>
      </c>
      <c r="AJ277" s="17" t="str">
        <f t="shared" ca="1" si="29"/>
        <v/>
      </c>
      <c r="AK277" s="17" t="str">
        <f t="shared" si="30"/>
        <v/>
      </c>
      <c r="AL277" s="17" t="str">
        <f t="shared" si="31"/>
        <v/>
      </c>
      <c r="AM277" s="17" t="str">
        <f t="shared" si="32"/>
        <v/>
      </c>
      <c r="AN277" s="17">
        <f t="shared" si="33"/>
        <v>0</v>
      </c>
      <c r="AO277" s="17" t="str">
        <f t="shared" ca="1" si="34"/>
        <v/>
      </c>
      <c r="AP277" s="17" t="str">
        <f t="shared" ca="1" si="35"/>
        <v/>
      </c>
      <c r="AQ277" s="17" t="str">
        <f t="shared" si="36"/>
        <v/>
      </c>
      <c r="AR277" s="17" t="str">
        <f t="shared" ca="1" si="37"/>
        <v/>
      </c>
      <c r="AS277" s="18"/>
      <c r="AT277" s="24">
        <f t="shared" si="43"/>
        <v>0</v>
      </c>
      <c r="AU277" s="24">
        <f t="shared" si="44"/>
        <v>0</v>
      </c>
      <c r="AV277" s="24">
        <f t="shared" si="45"/>
        <v>0</v>
      </c>
      <c r="AW277" s="24">
        <f t="shared" si="46"/>
        <v>0</v>
      </c>
      <c r="AX277" s="24">
        <f t="shared" si="47"/>
        <v>0</v>
      </c>
      <c r="AY277" s="24">
        <f t="shared" si="48"/>
        <v>0</v>
      </c>
      <c r="AZ277" s="18"/>
    </row>
    <row r="278" spans="1:52" x14ac:dyDescent="0.25">
      <c r="A278" s="16"/>
      <c r="B278" s="16"/>
      <c r="C278" s="65"/>
      <c r="D278" s="15"/>
      <c r="E278" s="15"/>
      <c r="F278" s="15"/>
      <c r="G278" s="16"/>
      <c r="H278" s="16"/>
      <c r="I278" s="16"/>
      <c r="J278" s="16"/>
      <c r="K278" s="86"/>
      <c r="L278" s="16"/>
      <c r="M278" s="15"/>
      <c r="N278" s="15"/>
      <c r="O278" s="20"/>
      <c r="P278" s="15"/>
      <c r="Q278" s="20"/>
      <c r="R278" s="15"/>
      <c r="S278" s="15"/>
      <c r="T278" s="15"/>
      <c r="U278" s="15"/>
      <c r="V278" s="17"/>
      <c r="W278" s="17"/>
      <c r="X278" s="16"/>
      <c r="Y278" s="20"/>
      <c r="Z278" s="15"/>
      <c r="AA278" s="22"/>
      <c r="AB278" s="90"/>
      <c r="AC278" s="22"/>
      <c r="AD278" s="25"/>
      <c r="AE278" s="25" t="str">
        <f t="shared" si="38"/>
        <v/>
      </c>
      <c r="AF278" s="17" t="str">
        <f t="shared" ca="1" si="39"/>
        <v/>
      </c>
      <c r="AG278" s="17" t="str">
        <f t="shared" si="40"/>
        <v/>
      </c>
      <c r="AH278" s="17" t="str">
        <f t="shared" si="41"/>
        <v/>
      </c>
      <c r="AI278" s="17" t="str">
        <f t="shared" ca="1" si="42"/>
        <v/>
      </c>
      <c r="AJ278" s="17" t="str">
        <f t="shared" ca="1" si="29"/>
        <v/>
      </c>
      <c r="AK278" s="17" t="str">
        <f t="shared" si="30"/>
        <v/>
      </c>
      <c r="AL278" s="17" t="str">
        <f t="shared" si="31"/>
        <v/>
      </c>
      <c r="AM278" s="17" t="str">
        <f t="shared" si="32"/>
        <v/>
      </c>
      <c r="AN278" s="17">
        <f t="shared" si="33"/>
        <v>0</v>
      </c>
      <c r="AO278" s="17" t="str">
        <f t="shared" ca="1" si="34"/>
        <v/>
      </c>
      <c r="AP278" s="17" t="str">
        <f t="shared" ca="1" si="35"/>
        <v/>
      </c>
      <c r="AQ278" s="17" t="str">
        <f t="shared" si="36"/>
        <v/>
      </c>
      <c r="AR278" s="17" t="str">
        <f t="shared" ca="1" si="37"/>
        <v/>
      </c>
      <c r="AS278" s="18"/>
      <c r="AT278" s="24">
        <f t="shared" si="43"/>
        <v>0</v>
      </c>
      <c r="AU278" s="24">
        <f t="shared" si="44"/>
        <v>0</v>
      </c>
      <c r="AV278" s="24">
        <f t="shared" si="45"/>
        <v>0</v>
      </c>
      <c r="AW278" s="24">
        <f t="shared" si="46"/>
        <v>0</v>
      </c>
      <c r="AX278" s="24">
        <f t="shared" si="47"/>
        <v>0</v>
      </c>
      <c r="AY278" s="24">
        <f t="shared" si="48"/>
        <v>0</v>
      </c>
      <c r="AZ278" s="18"/>
    </row>
    <row r="279" spans="1:52" x14ac:dyDescent="0.25">
      <c r="A279" s="16"/>
      <c r="B279" s="16"/>
      <c r="C279" s="65"/>
      <c r="D279" s="15"/>
      <c r="E279" s="15"/>
      <c r="F279" s="15"/>
      <c r="G279" s="16"/>
      <c r="H279" s="16"/>
      <c r="I279" s="16"/>
      <c r="J279" s="16"/>
      <c r="K279" s="86"/>
      <c r="L279" s="16"/>
      <c r="M279" s="15"/>
      <c r="N279" s="15"/>
      <c r="O279" s="20"/>
      <c r="P279" s="15"/>
      <c r="Q279" s="20"/>
      <c r="R279" s="15"/>
      <c r="S279" s="15"/>
      <c r="T279" s="15"/>
      <c r="U279" s="15"/>
      <c r="V279" s="17"/>
      <c r="W279" s="17"/>
      <c r="X279" s="16"/>
      <c r="Y279" s="20"/>
      <c r="Z279" s="15"/>
      <c r="AA279" s="22"/>
      <c r="AB279" s="90"/>
      <c r="AC279" s="22"/>
      <c r="AD279" s="25"/>
      <c r="AE279" s="25" t="str">
        <f t="shared" si="38"/>
        <v/>
      </c>
      <c r="AF279" s="17" t="str">
        <f t="shared" ca="1" si="39"/>
        <v/>
      </c>
      <c r="AG279" s="17" t="str">
        <f t="shared" si="40"/>
        <v/>
      </c>
      <c r="AH279" s="17" t="str">
        <f t="shared" si="41"/>
        <v/>
      </c>
      <c r="AI279" s="17" t="str">
        <f t="shared" ca="1" si="42"/>
        <v/>
      </c>
      <c r="AJ279" s="17" t="str">
        <f t="shared" ca="1" si="29"/>
        <v/>
      </c>
      <c r="AK279" s="17" t="str">
        <f t="shared" si="30"/>
        <v/>
      </c>
      <c r="AL279" s="17" t="str">
        <f t="shared" si="31"/>
        <v/>
      </c>
      <c r="AM279" s="17" t="str">
        <f t="shared" si="32"/>
        <v/>
      </c>
      <c r="AN279" s="17">
        <f t="shared" si="33"/>
        <v>0</v>
      </c>
      <c r="AO279" s="17" t="str">
        <f t="shared" ca="1" si="34"/>
        <v/>
      </c>
      <c r="AP279" s="17" t="str">
        <f t="shared" ca="1" si="35"/>
        <v/>
      </c>
      <c r="AQ279" s="17" t="str">
        <f t="shared" si="36"/>
        <v/>
      </c>
      <c r="AR279" s="17" t="str">
        <f t="shared" ca="1" si="37"/>
        <v/>
      </c>
      <c r="AS279" s="18"/>
      <c r="AT279" s="24">
        <f t="shared" si="43"/>
        <v>0</v>
      </c>
      <c r="AU279" s="24">
        <f t="shared" si="44"/>
        <v>0</v>
      </c>
      <c r="AV279" s="24">
        <f t="shared" si="45"/>
        <v>0</v>
      </c>
      <c r="AW279" s="24">
        <f t="shared" si="46"/>
        <v>0</v>
      </c>
      <c r="AX279" s="24">
        <f t="shared" si="47"/>
        <v>0</v>
      </c>
      <c r="AY279" s="24">
        <f t="shared" si="48"/>
        <v>0</v>
      </c>
      <c r="AZ279" s="18"/>
    </row>
    <row r="280" spans="1:52" x14ac:dyDescent="0.25">
      <c r="A280" s="16"/>
      <c r="B280" s="16"/>
      <c r="C280" s="65"/>
      <c r="D280" s="15"/>
      <c r="E280" s="15"/>
      <c r="F280" s="15"/>
      <c r="G280" s="16"/>
      <c r="H280" s="16"/>
      <c r="I280" s="16"/>
      <c r="J280" s="16"/>
      <c r="K280" s="86"/>
      <c r="L280" s="16"/>
      <c r="M280" s="15"/>
      <c r="N280" s="15"/>
      <c r="O280" s="20"/>
      <c r="P280" s="15"/>
      <c r="Q280" s="20"/>
      <c r="R280" s="15"/>
      <c r="S280" s="15"/>
      <c r="T280" s="15"/>
      <c r="U280" s="15"/>
      <c r="V280" s="17"/>
      <c r="W280" s="17"/>
      <c r="X280" s="16"/>
      <c r="Y280" s="20"/>
      <c r="Z280" s="15"/>
      <c r="AA280" s="22"/>
      <c r="AB280" s="90"/>
      <c r="AC280" s="22"/>
      <c r="AD280" s="25"/>
      <c r="AE280" s="25" t="str">
        <f t="shared" si="38"/>
        <v/>
      </c>
      <c r="AF280" s="17" t="str">
        <f t="shared" ca="1" si="39"/>
        <v/>
      </c>
      <c r="AG280" s="17" t="str">
        <f t="shared" si="40"/>
        <v/>
      </c>
      <c r="AH280" s="17" t="str">
        <f t="shared" si="41"/>
        <v/>
      </c>
      <c r="AI280" s="17" t="str">
        <f t="shared" ca="1" si="42"/>
        <v/>
      </c>
      <c r="AJ280" s="17" t="str">
        <f t="shared" ca="1" si="29"/>
        <v/>
      </c>
      <c r="AK280" s="17" t="str">
        <f t="shared" si="30"/>
        <v/>
      </c>
      <c r="AL280" s="17" t="str">
        <f t="shared" si="31"/>
        <v/>
      </c>
      <c r="AM280" s="17" t="str">
        <f t="shared" si="32"/>
        <v/>
      </c>
      <c r="AN280" s="17">
        <f t="shared" si="33"/>
        <v>0</v>
      </c>
      <c r="AO280" s="17" t="str">
        <f t="shared" ca="1" si="34"/>
        <v/>
      </c>
      <c r="AP280" s="17" t="str">
        <f t="shared" ca="1" si="35"/>
        <v/>
      </c>
      <c r="AQ280" s="17" t="str">
        <f t="shared" si="36"/>
        <v/>
      </c>
      <c r="AR280" s="17" t="str">
        <f t="shared" ca="1" si="37"/>
        <v/>
      </c>
      <c r="AS280" s="18"/>
      <c r="AT280" s="24">
        <f t="shared" si="43"/>
        <v>0</v>
      </c>
      <c r="AU280" s="24">
        <f t="shared" si="44"/>
        <v>0</v>
      </c>
      <c r="AV280" s="24">
        <f t="shared" si="45"/>
        <v>0</v>
      </c>
      <c r="AW280" s="24">
        <f t="shared" si="46"/>
        <v>0</v>
      </c>
      <c r="AX280" s="24">
        <f t="shared" si="47"/>
        <v>0</v>
      </c>
      <c r="AY280" s="24">
        <f t="shared" si="48"/>
        <v>0</v>
      </c>
      <c r="AZ280" s="18"/>
    </row>
    <row r="281" spans="1:52" x14ac:dyDescent="0.25">
      <c r="A281" s="16"/>
      <c r="B281" s="16"/>
      <c r="C281" s="65"/>
      <c r="D281" s="15"/>
      <c r="E281" s="15"/>
      <c r="F281" s="15"/>
      <c r="G281" s="16"/>
      <c r="H281" s="16"/>
      <c r="I281" s="16"/>
      <c r="J281" s="16"/>
      <c r="K281" s="86"/>
      <c r="L281" s="16"/>
      <c r="M281" s="15"/>
      <c r="N281" s="15"/>
      <c r="O281" s="20"/>
      <c r="P281" s="15"/>
      <c r="Q281" s="20"/>
      <c r="R281" s="15"/>
      <c r="S281" s="15"/>
      <c r="T281" s="15"/>
      <c r="U281" s="15"/>
      <c r="V281" s="17"/>
      <c r="W281" s="17"/>
      <c r="X281" s="16"/>
      <c r="Y281" s="20"/>
      <c r="Z281" s="15"/>
      <c r="AA281" s="22"/>
      <c r="AB281" s="90"/>
      <c r="AC281" s="22"/>
      <c r="AD281" s="25"/>
      <c r="AE281" s="25" t="str">
        <f t="shared" si="38"/>
        <v/>
      </c>
      <c r="AF281" s="17" t="str">
        <f t="shared" ca="1" si="39"/>
        <v/>
      </c>
      <c r="AG281" s="17" t="str">
        <f t="shared" si="40"/>
        <v/>
      </c>
      <c r="AH281" s="17" t="str">
        <f t="shared" si="41"/>
        <v/>
      </c>
      <c r="AI281" s="17" t="str">
        <f t="shared" ca="1" si="42"/>
        <v/>
      </c>
      <c r="AJ281" s="17" t="str">
        <f t="shared" ca="1" si="29"/>
        <v/>
      </c>
      <c r="AK281" s="17" t="str">
        <f t="shared" si="30"/>
        <v/>
      </c>
      <c r="AL281" s="17" t="str">
        <f t="shared" si="31"/>
        <v/>
      </c>
      <c r="AM281" s="17" t="str">
        <f t="shared" si="32"/>
        <v/>
      </c>
      <c r="AN281" s="17">
        <f t="shared" si="33"/>
        <v>0</v>
      </c>
      <c r="AO281" s="17" t="str">
        <f t="shared" ca="1" si="34"/>
        <v/>
      </c>
      <c r="AP281" s="17" t="str">
        <f t="shared" ca="1" si="35"/>
        <v/>
      </c>
      <c r="AQ281" s="17" t="str">
        <f t="shared" si="36"/>
        <v/>
      </c>
      <c r="AR281" s="17" t="str">
        <f t="shared" ca="1" si="37"/>
        <v/>
      </c>
      <c r="AS281" s="18"/>
      <c r="AT281" s="24">
        <f t="shared" si="43"/>
        <v>0</v>
      </c>
      <c r="AU281" s="24">
        <f t="shared" si="44"/>
        <v>0</v>
      </c>
      <c r="AV281" s="24">
        <f t="shared" si="45"/>
        <v>0</v>
      </c>
      <c r="AW281" s="24">
        <f t="shared" si="46"/>
        <v>0</v>
      </c>
      <c r="AX281" s="24">
        <f t="shared" si="47"/>
        <v>0</v>
      </c>
      <c r="AY281" s="24">
        <f t="shared" si="48"/>
        <v>0</v>
      </c>
      <c r="AZ281" s="18"/>
    </row>
    <row r="282" spans="1:52" x14ac:dyDescent="0.25">
      <c r="A282" s="16"/>
      <c r="B282" s="16"/>
      <c r="C282" s="65"/>
      <c r="D282" s="15"/>
      <c r="E282" s="15"/>
      <c r="F282" s="15"/>
      <c r="G282" s="16"/>
      <c r="H282" s="16"/>
      <c r="I282" s="16"/>
      <c r="J282" s="16"/>
      <c r="K282" s="86"/>
      <c r="L282" s="16"/>
      <c r="M282" s="15"/>
      <c r="N282" s="15"/>
      <c r="O282" s="20"/>
      <c r="P282" s="15"/>
      <c r="Q282" s="20"/>
      <c r="R282" s="15"/>
      <c r="S282" s="15"/>
      <c r="T282" s="15"/>
      <c r="U282" s="15"/>
      <c r="V282" s="17"/>
      <c r="W282" s="17"/>
      <c r="X282" s="16"/>
      <c r="Y282" s="20"/>
      <c r="Z282" s="15"/>
      <c r="AA282" s="22"/>
      <c r="AB282" s="90"/>
      <c r="AC282" s="22"/>
      <c r="AD282" s="25"/>
      <c r="AE282" s="25" t="str">
        <f t="shared" si="38"/>
        <v/>
      </c>
      <c r="AF282" s="17" t="str">
        <f t="shared" ca="1" si="39"/>
        <v/>
      </c>
      <c r="AG282" s="17" t="str">
        <f t="shared" si="40"/>
        <v/>
      </c>
      <c r="AH282" s="17" t="str">
        <f t="shared" si="41"/>
        <v/>
      </c>
      <c r="AI282" s="17" t="str">
        <f t="shared" ca="1" si="42"/>
        <v/>
      </c>
      <c r="AJ282" s="17" t="str">
        <f t="shared" ca="1" si="29"/>
        <v/>
      </c>
      <c r="AK282" s="17" t="str">
        <f t="shared" si="30"/>
        <v/>
      </c>
      <c r="AL282" s="17" t="str">
        <f t="shared" si="31"/>
        <v/>
      </c>
      <c r="AM282" s="17" t="str">
        <f t="shared" si="32"/>
        <v/>
      </c>
      <c r="AN282" s="17">
        <f t="shared" si="33"/>
        <v>0</v>
      </c>
      <c r="AO282" s="17" t="str">
        <f t="shared" ca="1" si="34"/>
        <v/>
      </c>
      <c r="AP282" s="17" t="str">
        <f t="shared" ca="1" si="35"/>
        <v/>
      </c>
      <c r="AQ282" s="17" t="str">
        <f t="shared" si="36"/>
        <v/>
      </c>
      <c r="AR282" s="17" t="str">
        <f t="shared" ca="1" si="37"/>
        <v/>
      </c>
      <c r="AS282" s="18"/>
      <c r="AT282" s="24">
        <f t="shared" si="43"/>
        <v>0</v>
      </c>
      <c r="AU282" s="24">
        <f t="shared" si="44"/>
        <v>0</v>
      </c>
      <c r="AV282" s="24">
        <f t="shared" si="45"/>
        <v>0</v>
      </c>
      <c r="AW282" s="24">
        <f t="shared" si="46"/>
        <v>0</v>
      </c>
      <c r="AX282" s="24">
        <f t="shared" si="47"/>
        <v>0</v>
      </c>
      <c r="AY282" s="24">
        <f t="shared" si="48"/>
        <v>0</v>
      </c>
      <c r="AZ282" s="18"/>
    </row>
    <row r="283" spans="1:52" x14ac:dyDescent="0.25">
      <c r="A283" s="16"/>
      <c r="B283" s="16"/>
      <c r="C283" s="65"/>
      <c r="D283" s="15"/>
      <c r="E283" s="15"/>
      <c r="F283" s="15"/>
      <c r="G283" s="16"/>
      <c r="H283" s="16"/>
      <c r="I283" s="16"/>
      <c r="J283" s="16"/>
      <c r="K283" s="86"/>
      <c r="L283" s="16"/>
      <c r="M283" s="15"/>
      <c r="N283" s="15"/>
      <c r="O283" s="20"/>
      <c r="P283" s="15"/>
      <c r="Q283" s="20"/>
      <c r="R283" s="15"/>
      <c r="S283" s="15"/>
      <c r="T283" s="15"/>
      <c r="U283" s="15"/>
      <c r="V283" s="17"/>
      <c r="W283" s="17"/>
      <c r="X283" s="16"/>
      <c r="Y283" s="20"/>
      <c r="Z283" s="15"/>
      <c r="AA283" s="22"/>
      <c r="AB283" s="90"/>
      <c r="AC283" s="22"/>
      <c r="AD283" s="25"/>
      <c r="AE283" s="25" t="str">
        <f t="shared" si="38"/>
        <v/>
      </c>
      <c r="AF283" s="17" t="str">
        <f t="shared" ca="1" si="39"/>
        <v/>
      </c>
      <c r="AG283" s="17" t="str">
        <f t="shared" si="40"/>
        <v/>
      </c>
      <c r="AH283" s="17" t="str">
        <f t="shared" si="41"/>
        <v/>
      </c>
      <c r="AI283" s="17" t="str">
        <f t="shared" ca="1" si="42"/>
        <v/>
      </c>
      <c r="AJ283" s="17" t="str">
        <f t="shared" ca="1" si="29"/>
        <v/>
      </c>
      <c r="AK283" s="17" t="str">
        <f t="shared" si="30"/>
        <v/>
      </c>
      <c r="AL283" s="17" t="str">
        <f t="shared" si="31"/>
        <v/>
      </c>
      <c r="AM283" s="17" t="str">
        <f t="shared" si="32"/>
        <v/>
      </c>
      <c r="AN283" s="17">
        <f t="shared" si="33"/>
        <v>0</v>
      </c>
      <c r="AO283" s="17" t="str">
        <f t="shared" ca="1" si="34"/>
        <v/>
      </c>
      <c r="AP283" s="17" t="str">
        <f t="shared" ca="1" si="35"/>
        <v/>
      </c>
      <c r="AQ283" s="17" t="str">
        <f t="shared" si="36"/>
        <v/>
      </c>
      <c r="AR283" s="17" t="str">
        <f t="shared" ca="1" si="37"/>
        <v/>
      </c>
      <c r="AS283" s="18"/>
      <c r="AT283" s="24">
        <f t="shared" si="43"/>
        <v>0</v>
      </c>
      <c r="AU283" s="24">
        <f t="shared" si="44"/>
        <v>0</v>
      </c>
      <c r="AV283" s="24">
        <f t="shared" si="45"/>
        <v>0</v>
      </c>
      <c r="AW283" s="24">
        <f t="shared" si="46"/>
        <v>0</v>
      </c>
      <c r="AX283" s="24">
        <f t="shared" si="47"/>
        <v>0</v>
      </c>
      <c r="AY283" s="24">
        <f t="shared" si="48"/>
        <v>0</v>
      </c>
      <c r="AZ283" s="18"/>
    </row>
    <row r="284" spans="1:52" x14ac:dyDescent="0.25">
      <c r="A284" s="16"/>
      <c r="B284" s="16"/>
      <c r="C284" s="65"/>
      <c r="D284" s="15"/>
      <c r="E284" s="15"/>
      <c r="F284" s="15"/>
      <c r="G284" s="16"/>
      <c r="H284" s="16"/>
      <c r="I284" s="16"/>
      <c r="J284" s="16"/>
      <c r="K284" s="86"/>
      <c r="L284" s="16"/>
      <c r="M284" s="15"/>
      <c r="N284" s="15"/>
      <c r="O284" s="20"/>
      <c r="P284" s="15"/>
      <c r="Q284" s="20"/>
      <c r="R284" s="15"/>
      <c r="S284" s="15"/>
      <c r="T284" s="15"/>
      <c r="U284" s="15"/>
      <c r="V284" s="17"/>
      <c r="W284" s="17"/>
      <c r="X284" s="16"/>
      <c r="Y284" s="20"/>
      <c r="Z284" s="15"/>
      <c r="AA284" s="22"/>
      <c r="AB284" s="90"/>
      <c r="AC284" s="22"/>
      <c r="AD284" s="25"/>
      <c r="AE284" s="25" t="str">
        <f t="shared" si="38"/>
        <v/>
      </c>
      <c r="AF284" s="17" t="str">
        <f t="shared" ca="1" si="39"/>
        <v/>
      </c>
      <c r="AG284" s="17" t="str">
        <f t="shared" si="40"/>
        <v/>
      </c>
      <c r="AH284" s="17" t="str">
        <f t="shared" si="41"/>
        <v/>
      </c>
      <c r="AI284" s="17" t="str">
        <f t="shared" ca="1" si="42"/>
        <v/>
      </c>
      <c r="AJ284" s="17" t="str">
        <f t="shared" ca="1" si="29"/>
        <v/>
      </c>
      <c r="AK284" s="17" t="str">
        <f t="shared" si="30"/>
        <v/>
      </c>
      <c r="AL284" s="17" t="str">
        <f t="shared" si="31"/>
        <v/>
      </c>
      <c r="AM284" s="17" t="str">
        <f t="shared" si="32"/>
        <v/>
      </c>
      <c r="AN284" s="17">
        <f t="shared" si="33"/>
        <v>0</v>
      </c>
      <c r="AO284" s="17" t="str">
        <f t="shared" ca="1" si="34"/>
        <v/>
      </c>
      <c r="AP284" s="17" t="str">
        <f t="shared" ca="1" si="35"/>
        <v/>
      </c>
      <c r="AQ284" s="17" t="str">
        <f t="shared" si="36"/>
        <v/>
      </c>
      <c r="AR284" s="17" t="str">
        <f t="shared" ca="1" si="37"/>
        <v/>
      </c>
      <c r="AS284" s="18"/>
      <c r="AT284" s="24">
        <f t="shared" si="43"/>
        <v>0</v>
      </c>
      <c r="AU284" s="24">
        <f t="shared" si="44"/>
        <v>0</v>
      </c>
      <c r="AV284" s="24">
        <f t="shared" si="45"/>
        <v>0</v>
      </c>
      <c r="AW284" s="24">
        <f t="shared" si="46"/>
        <v>0</v>
      </c>
      <c r="AX284" s="24">
        <f t="shared" si="47"/>
        <v>0</v>
      </c>
      <c r="AY284" s="24">
        <f t="shared" si="48"/>
        <v>0</v>
      </c>
      <c r="AZ284" s="18"/>
    </row>
    <row r="285" spans="1:52" x14ac:dyDescent="0.25">
      <c r="A285" s="16"/>
      <c r="B285" s="16"/>
      <c r="C285" s="65"/>
      <c r="D285" s="15"/>
      <c r="E285" s="15"/>
      <c r="F285" s="15"/>
      <c r="G285" s="16"/>
      <c r="H285" s="16"/>
      <c r="I285" s="16"/>
      <c r="J285" s="16"/>
      <c r="K285" s="86"/>
      <c r="L285" s="16"/>
      <c r="M285" s="15"/>
      <c r="N285" s="15"/>
      <c r="O285" s="20"/>
      <c r="P285" s="15"/>
      <c r="Q285" s="20"/>
      <c r="R285" s="15"/>
      <c r="S285" s="15"/>
      <c r="T285" s="15"/>
      <c r="U285" s="15"/>
      <c r="V285" s="17"/>
      <c r="W285" s="17"/>
      <c r="X285" s="16"/>
      <c r="Y285" s="20"/>
      <c r="Z285" s="15"/>
      <c r="AA285" s="22"/>
      <c r="AB285" s="90"/>
      <c r="AC285" s="22"/>
      <c r="AD285" s="25"/>
      <c r="AE285" s="25" t="str">
        <f t="shared" si="38"/>
        <v/>
      </c>
      <c r="AF285" s="17" t="str">
        <f t="shared" ca="1" si="39"/>
        <v/>
      </c>
      <c r="AG285" s="17" t="str">
        <f t="shared" si="40"/>
        <v/>
      </c>
      <c r="AH285" s="17" t="str">
        <f t="shared" si="41"/>
        <v/>
      </c>
      <c r="AI285" s="17" t="str">
        <f t="shared" ca="1" si="42"/>
        <v/>
      </c>
      <c r="AJ285" s="17" t="str">
        <f t="shared" ca="1" si="29"/>
        <v/>
      </c>
      <c r="AK285" s="17" t="str">
        <f t="shared" si="30"/>
        <v/>
      </c>
      <c r="AL285" s="17" t="str">
        <f t="shared" si="31"/>
        <v/>
      </c>
      <c r="AM285" s="17" t="str">
        <f t="shared" si="32"/>
        <v/>
      </c>
      <c r="AN285" s="17">
        <f t="shared" si="33"/>
        <v>0</v>
      </c>
      <c r="AO285" s="17" t="str">
        <f t="shared" ca="1" si="34"/>
        <v/>
      </c>
      <c r="AP285" s="17" t="str">
        <f t="shared" ca="1" si="35"/>
        <v/>
      </c>
      <c r="AQ285" s="17" t="str">
        <f t="shared" si="36"/>
        <v/>
      </c>
      <c r="AR285" s="17" t="str">
        <f t="shared" ca="1" si="37"/>
        <v/>
      </c>
      <c r="AS285" s="18"/>
      <c r="AT285" s="24">
        <f t="shared" si="43"/>
        <v>0</v>
      </c>
      <c r="AU285" s="24">
        <f t="shared" si="44"/>
        <v>0</v>
      </c>
      <c r="AV285" s="24">
        <f t="shared" si="45"/>
        <v>0</v>
      </c>
      <c r="AW285" s="24">
        <f t="shared" si="46"/>
        <v>0</v>
      </c>
      <c r="AX285" s="24">
        <f t="shared" si="47"/>
        <v>0</v>
      </c>
      <c r="AY285" s="24">
        <f t="shared" si="48"/>
        <v>0</v>
      </c>
      <c r="AZ285" s="18"/>
    </row>
    <row r="286" spans="1:52" x14ac:dyDescent="0.25">
      <c r="A286" s="16"/>
      <c r="B286" s="16"/>
      <c r="C286" s="65"/>
      <c r="D286" s="15"/>
      <c r="E286" s="15"/>
      <c r="F286" s="15"/>
      <c r="G286" s="16"/>
      <c r="H286" s="16"/>
      <c r="I286" s="16"/>
      <c r="J286" s="16"/>
      <c r="K286" s="86"/>
      <c r="L286" s="16"/>
      <c r="M286" s="15"/>
      <c r="N286" s="15"/>
      <c r="O286" s="20"/>
      <c r="P286" s="15"/>
      <c r="Q286" s="20"/>
      <c r="R286" s="15"/>
      <c r="S286" s="15"/>
      <c r="T286" s="15"/>
      <c r="U286" s="15"/>
      <c r="V286" s="17"/>
      <c r="W286" s="17"/>
      <c r="X286" s="16"/>
      <c r="Y286" s="20"/>
      <c r="Z286" s="15"/>
      <c r="AA286" s="22"/>
      <c r="AB286" s="90"/>
      <c r="AC286" s="22"/>
      <c r="AD286" s="25"/>
      <c r="AE286" s="25" t="str">
        <f t="shared" si="38"/>
        <v/>
      </c>
      <c r="AF286" s="17" t="str">
        <f t="shared" ca="1" si="39"/>
        <v/>
      </c>
      <c r="AG286" s="17" t="str">
        <f t="shared" si="40"/>
        <v/>
      </c>
      <c r="AH286" s="17" t="str">
        <f t="shared" si="41"/>
        <v/>
      </c>
      <c r="AI286" s="17" t="str">
        <f t="shared" ca="1" si="42"/>
        <v/>
      </c>
      <c r="AJ286" s="17" t="str">
        <f t="shared" ca="1" si="29"/>
        <v/>
      </c>
      <c r="AK286" s="17" t="str">
        <f t="shared" si="30"/>
        <v/>
      </c>
      <c r="AL286" s="17" t="str">
        <f t="shared" si="31"/>
        <v/>
      </c>
      <c r="AM286" s="17" t="str">
        <f t="shared" si="32"/>
        <v/>
      </c>
      <c r="AN286" s="17">
        <f t="shared" si="33"/>
        <v>0</v>
      </c>
      <c r="AO286" s="17" t="str">
        <f t="shared" ca="1" si="34"/>
        <v/>
      </c>
      <c r="AP286" s="17" t="str">
        <f t="shared" ca="1" si="35"/>
        <v/>
      </c>
      <c r="AQ286" s="17" t="str">
        <f t="shared" si="36"/>
        <v/>
      </c>
      <c r="AR286" s="17" t="str">
        <f t="shared" ca="1" si="37"/>
        <v/>
      </c>
      <c r="AS286" s="18"/>
      <c r="AT286" s="24">
        <f t="shared" si="43"/>
        <v>0</v>
      </c>
      <c r="AU286" s="24">
        <f t="shared" si="44"/>
        <v>0</v>
      </c>
      <c r="AV286" s="24">
        <f t="shared" si="45"/>
        <v>0</v>
      </c>
      <c r="AW286" s="24">
        <f t="shared" si="46"/>
        <v>0</v>
      </c>
      <c r="AX286" s="24">
        <f t="shared" si="47"/>
        <v>0</v>
      </c>
      <c r="AY286" s="24">
        <f t="shared" si="48"/>
        <v>0</v>
      </c>
      <c r="AZ286" s="18"/>
    </row>
    <row r="287" spans="1:52" x14ac:dyDescent="0.25">
      <c r="A287" s="16"/>
      <c r="B287" s="16"/>
      <c r="C287" s="65"/>
      <c r="D287" s="15"/>
      <c r="E287" s="15"/>
      <c r="F287" s="15"/>
      <c r="G287" s="16"/>
      <c r="H287" s="16"/>
      <c r="I287" s="16"/>
      <c r="J287" s="16"/>
      <c r="K287" s="86"/>
      <c r="L287" s="16"/>
      <c r="M287" s="15"/>
      <c r="N287" s="15"/>
      <c r="O287" s="20"/>
      <c r="P287" s="15"/>
      <c r="Q287" s="20"/>
      <c r="R287" s="15"/>
      <c r="S287" s="15"/>
      <c r="T287" s="15"/>
      <c r="U287" s="15"/>
      <c r="V287" s="17"/>
      <c r="W287" s="17"/>
      <c r="X287" s="16"/>
      <c r="Y287" s="20"/>
      <c r="Z287" s="15"/>
      <c r="AA287" s="22"/>
      <c r="AB287" s="90"/>
      <c r="AC287" s="22"/>
      <c r="AD287" s="25"/>
      <c r="AE287" s="25" t="str">
        <f t="shared" si="38"/>
        <v/>
      </c>
      <c r="AF287" s="17" t="str">
        <f t="shared" ca="1" si="39"/>
        <v/>
      </c>
      <c r="AG287" s="17" t="str">
        <f t="shared" si="40"/>
        <v/>
      </c>
      <c r="AH287" s="17" t="str">
        <f t="shared" si="41"/>
        <v/>
      </c>
      <c r="AI287" s="17" t="str">
        <f t="shared" ca="1" si="42"/>
        <v/>
      </c>
      <c r="AJ287" s="17" t="str">
        <f t="shared" ca="1" si="29"/>
        <v/>
      </c>
      <c r="AK287" s="17" t="str">
        <f t="shared" si="30"/>
        <v/>
      </c>
      <c r="AL287" s="17" t="str">
        <f t="shared" si="31"/>
        <v/>
      </c>
      <c r="AM287" s="17" t="str">
        <f t="shared" si="32"/>
        <v/>
      </c>
      <c r="AN287" s="17">
        <f t="shared" si="33"/>
        <v>0</v>
      </c>
      <c r="AO287" s="17" t="str">
        <f t="shared" ca="1" si="34"/>
        <v/>
      </c>
      <c r="AP287" s="17" t="str">
        <f t="shared" ca="1" si="35"/>
        <v/>
      </c>
      <c r="AQ287" s="17" t="str">
        <f t="shared" si="36"/>
        <v/>
      </c>
      <c r="AR287" s="17" t="str">
        <f t="shared" ca="1" si="37"/>
        <v/>
      </c>
      <c r="AS287" s="18"/>
      <c r="AT287" s="24">
        <f t="shared" si="43"/>
        <v>0</v>
      </c>
      <c r="AU287" s="24">
        <f t="shared" si="44"/>
        <v>0</v>
      </c>
      <c r="AV287" s="24">
        <f t="shared" si="45"/>
        <v>0</v>
      </c>
      <c r="AW287" s="24">
        <f t="shared" si="46"/>
        <v>0</v>
      </c>
      <c r="AX287" s="24">
        <f t="shared" si="47"/>
        <v>0</v>
      </c>
      <c r="AY287" s="24">
        <f t="shared" si="48"/>
        <v>0</v>
      </c>
      <c r="AZ287" s="18"/>
    </row>
    <row r="288" spans="1:52" x14ac:dyDescent="0.25">
      <c r="A288" s="16"/>
      <c r="B288" s="16"/>
      <c r="C288" s="65"/>
      <c r="D288" s="15"/>
      <c r="E288" s="15"/>
      <c r="F288" s="15"/>
      <c r="G288" s="16"/>
      <c r="H288" s="16"/>
      <c r="I288" s="16"/>
      <c r="J288" s="16"/>
      <c r="K288" s="86"/>
      <c r="L288" s="16"/>
      <c r="M288" s="15"/>
      <c r="N288" s="15"/>
      <c r="O288" s="20"/>
      <c r="P288" s="15"/>
      <c r="Q288" s="20"/>
      <c r="R288" s="15"/>
      <c r="S288" s="15"/>
      <c r="T288" s="15"/>
      <c r="U288" s="15"/>
      <c r="V288" s="17"/>
      <c r="W288" s="17"/>
      <c r="X288" s="16"/>
      <c r="Y288" s="20"/>
      <c r="Z288" s="15"/>
      <c r="AA288" s="22"/>
      <c r="AB288" s="90"/>
      <c r="AC288" s="22"/>
      <c r="AD288" s="25"/>
      <c r="AE288" s="25" t="str">
        <f t="shared" si="38"/>
        <v/>
      </c>
      <c r="AF288" s="17" t="str">
        <f t="shared" ca="1" si="39"/>
        <v/>
      </c>
      <c r="AG288" s="17" t="str">
        <f t="shared" si="40"/>
        <v/>
      </c>
      <c r="AH288" s="17" t="str">
        <f t="shared" si="41"/>
        <v/>
      </c>
      <c r="AI288" s="17" t="str">
        <f t="shared" ca="1" si="42"/>
        <v/>
      </c>
      <c r="AJ288" s="17" t="str">
        <f t="shared" ca="1" si="29"/>
        <v/>
      </c>
      <c r="AK288" s="17" t="str">
        <f t="shared" si="30"/>
        <v/>
      </c>
      <c r="AL288" s="17" t="str">
        <f t="shared" si="31"/>
        <v/>
      </c>
      <c r="AM288" s="17" t="str">
        <f t="shared" si="32"/>
        <v/>
      </c>
      <c r="AN288" s="17">
        <f t="shared" si="33"/>
        <v>0</v>
      </c>
      <c r="AO288" s="17" t="str">
        <f t="shared" ca="1" si="34"/>
        <v/>
      </c>
      <c r="AP288" s="17" t="str">
        <f t="shared" ca="1" si="35"/>
        <v/>
      </c>
      <c r="AQ288" s="17" t="str">
        <f t="shared" si="36"/>
        <v/>
      </c>
      <c r="AR288" s="17" t="str">
        <f t="shared" ca="1" si="37"/>
        <v/>
      </c>
      <c r="AS288" s="18"/>
      <c r="AT288" s="24">
        <f t="shared" si="43"/>
        <v>0</v>
      </c>
      <c r="AU288" s="24">
        <f t="shared" si="44"/>
        <v>0</v>
      </c>
      <c r="AV288" s="24">
        <f t="shared" si="45"/>
        <v>0</v>
      </c>
      <c r="AW288" s="24">
        <f t="shared" si="46"/>
        <v>0</v>
      </c>
      <c r="AX288" s="24">
        <f t="shared" si="47"/>
        <v>0</v>
      </c>
      <c r="AY288" s="24">
        <f t="shared" si="48"/>
        <v>0</v>
      </c>
      <c r="AZ288" s="18"/>
    </row>
    <row r="289" spans="1:52" x14ac:dyDescent="0.25">
      <c r="A289" s="16"/>
      <c r="B289" s="16"/>
      <c r="C289" s="65"/>
      <c r="D289" s="15"/>
      <c r="E289" s="15"/>
      <c r="F289" s="15"/>
      <c r="G289" s="16"/>
      <c r="H289" s="16"/>
      <c r="I289" s="16"/>
      <c r="J289" s="16"/>
      <c r="K289" s="86"/>
      <c r="L289" s="16"/>
      <c r="M289" s="15"/>
      <c r="N289" s="15"/>
      <c r="O289" s="20"/>
      <c r="P289" s="15"/>
      <c r="Q289" s="20"/>
      <c r="R289" s="15"/>
      <c r="S289" s="15"/>
      <c r="T289" s="15"/>
      <c r="U289" s="15"/>
      <c r="V289" s="17"/>
      <c r="W289" s="17"/>
      <c r="X289" s="16"/>
      <c r="Y289" s="20"/>
      <c r="Z289" s="15"/>
      <c r="AA289" s="22"/>
      <c r="AB289" s="90"/>
      <c r="AC289" s="22"/>
      <c r="AD289" s="25"/>
      <c r="AE289" s="25" t="str">
        <f t="shared" si="38"/>
        <v/>
      </c>
      <c r="AF289" s="17" t="str">
        <f t="shared" ca="1" si="39"/>
        <v/>
      </c>
      <c r="AG289" s="17" t="str">
        <f t="shared" si="40"/>
        <v/>
      </c>
      <c r="AH289" s="17" t="str">
        <f t="shared" si="41"/>
        <v/>
      </c>
      <c r="AI289" s="17" t="str">
        <f t="shared" ca="1" si="42"/>
        <v/>
      </c>
      <c r="AJ289" s="17" t="str">
        <f t="shared" ca="1" si="29"/>
        <v/>
      </c>
      <c r="AK289" s="17" t="str">
        <f t="shared" si="30"/>
        <v/>
      </c>
      <c r="AL289" s="17" t="str">
        <f t="shared" si="31"/>
        <v/>
      </c>
      <c r="AM289" s="17" t="str">
        <f t="shared" si="32"/>
        <v/>
      </c>
      <c r="AN289" s="17">
        <f t="shared" si="33"/>
        <v>0</v>
      </c>
      <c r="AO289" s="17" t="str">
        <f t="shared" ca="1" si="34"/>
        <v/>
      </c>
      <c r="AP289" s="17" t="str">
        <f t="shared" ca="1" si="35"/>
        <v/>
      </c>
      <c r="AQ289" s="17" t="str">
        <f t="shared" si="36"/>
        <v/>
      </c>
      <c r="AR289" s="17" t="str">
        <f t="shared" ca="1" si="37"/>
        <v/>
      </c>
      <c r="AS289" s="18"/>
      <c r="AT289" s="24">
        <f t="shared" si="43"/>
        <v>0</v>
      </c>
      <c r="AU289" s="24">
        <f t="shared" si="44"/>
        <v>0</v>
      </c>
      <c r="AV289" s="24">
        <f t="shared" si="45"/>
        <v>0</v>
      </c>
      <c r="AW289" s="24">
        <f t="shared" si="46"/>
        <v>0</v>
      </c>
      <c r="AX289" s="24">
        <f t="shared" si="47"/>
        <v>0</v>
      </c>
      <c r="AY289" s="24">
        <f t="shared" si="48"/>
        <v>0</v>
      </c>
      <c r="AZ289" s="18"/>
    </row>
    <row r="290" spans="1:52" x14ac:dyDescent="0.25">
      <c r="A290" s="16"/>
      <c r="B290" s="16"/>
      <c r="C290" s="65"/>
      <c r="D290" s="15"/>
      <c r="E290" s="15"/>
      <c r="F290" s="15"/>
      <c r="G290" s="16"/>
      <c r="H290" s="16"/>
      <c r="I290" s="16"/>
      <c r="J290" s="16"/>
      <c r="K290" s="86"/>
      <c r="L290" s="16"/>
      <c r="M290" s="15"/>
      <c r="N290" s="15"/>
      <c r="O290" s="20"/>
      <c r="P290" s="15"/>
      <c r="Q290" s="20"/>
      <c r="R290" s="15"/>
      <c r="S290" s="15"/>
      <c r="T290" s="15"/>
      <c r="U290" s="15"/>
      <c r="V290" s="17"/>
      <c r="W290" s="17"/>
      <c r="X290" s="16"/>
      <c r="Y290" s="20"/>
      <c r="Z290" s="15"/>
      <c r="AA290" s="22"/>
      <c r="AB290" s="90"/>
      <c r="AC290" s="22"/>
      <c r="AD290" s="25"/>
      <c r="AE290" s="25" t="str">
        <f t="shared" si="38"/>
        <v/>
      </c>
      <c r="AF290" s="17" t="str">
        <f t="shared" ca="1" si="39"/>
        <v/>
      </c>
      <c r="AG290" s="17" t="str">
        <f t="shared" si="40"/>
        <v/>
      </c>
      <c r="AH290" s="17" t="str">
        <f t="shared" si="41"/>
        <v/>
      </c>
      <c r="AI290" s="17" t="str">
        <f t="shared" ca="1" si="42"/>
        <v/>
      </c>
      <c r="AJ290" s="17" t="str">
        <f t="shared" ca="1" si="29"/>
        <v/>
      </c>
      <c r="AK290" s="17" t="str">
        <f t="shared" si="30"/>
        <v/>
      </c>
      <c r="AL290" s="17" t="str">
        <f t="shared" si="31"/>
        <v/>
      </c>
      <c r="AM290" s="17" t="str">
        <f t="shared" si="32"/>
        <v/>
      </c>
      <c r="AN290" s="17">
        <f t="shared" si="33"/>
        <v>0</v>
      </c>
      <c r="AO290" s="17" t="str">
        <f t="shared" ca="1" si="34"/>
        <v/>
      </c>
      <c r="AP290" s="17" t="str">
        <f t="shared" ca="1" si="35"/>
        <v/>
      </c>
      <c r="AQ290" s="17" t="str">
        <f t="shared" si="36"/>
        <v/>
      </c>
      <c r="AR290" s="17" t="str">
        <f t="shared" ca="1" si="37"/>
        <v/>
      </c>
      <c r="AS290" s="18"/>
      <c r="AT290" s="24">
        <f t="shared" si="43"/>
        <v>0</v>
      </c>
      <c r="AU290" s="24">
        <f t="shared" si="44"/>
        <v>0</v>
      </c>
      <c r="AV290" s="24">
        <f t="shared" si="45"/>
        <v>0</v>
      </c>
      <c r="AW290" s="24">
        <f t="shared" si="46"/>
        <v>0</v>
      </c>
      <c r="AX290" s="24">
        <f t="shared" si="47"/>
        <v>0</v>
      </c>
      <c r="AY290" s="24">
        <f t="shared" si="48"/>
        <v>0</v>
      </c>
      <c r="AZ290" s="18"/>
    </row>
    <row r="291" spans="1:52" x14ac:dyDescent="0.25">
      <c r="A291" s="16"/>
      <c r="B291" s="16"/>
      <c r="C291" s="65"/>
      <c r="D291" s="15"/>
      <c r="E291" s="15"/>
      <c r="F291" s="15"/>
      <c r="G291" s="16"/>
      <c r="H291" s="16"/>
      <c r="I291" s="16"/>
      <c r="J291" s="16"/>
      <c r="K291" s="86"/>
      <c r="L291" s="16"/>
      <c r="M291" s="15"/>
      <c r="N291" s="15"/>
      <c r="O291" s="20"/>
      <c r="P291" s="15"/>
      <c r="Q291" s="20"/>
      <c r="R291" s="15"/>
      <c r="S291" s="15"/>
      <c r="T291" s="15"/>
      <c r="U291" s="15"/>
      <c r="V291" s="17"/>
      <c r="W291" s="17"/>
      <c r="X291" s="16"/>
      <c r="Y291" s="20"/>
      <c r="Z291" s="15"/>
      <c r="AA291" s="22"/>
      <c r="AB291" s="90"/>
      <c r="AC291" s="22"/>
      <c r="AD291" s="25"/>
      <c r="AE291" s="25" t="str">
        <f t="shared" si="38"/>
        <v/>
      </c>
      <c r="AF291" s="17" t="str">
        <f t="shared" ca="1" si="39"/>
        <v/>
      </c>
      <c r="AG291" s="17" t="str">
        <f t="shared" si="40"/>
        <v/>
      </c>
      <c r="AH291" s="17" t="str">
        <f t="shared" si="41"/>
        <v/>
      </c>
      <c r="AI291" s="17" t="str">
        <f t="shared" ca="1" si="42"/>
        <v/>
      </c>
      <c r="AJ291" s="17" t="str">
        <f t="shared" ca="1" si="29"/>
        <v/>
      </c>
      <c r="AK291" s="17" t="str">
        <f t="shared" si="30"/>
        <v/>
      </c>
      <c r="AL291" s="17" t="str">
        <f t="shared" si="31"/>
        <v/>
      </c>
      <c r="AM291" s="17" t="str">
        <f t="shared" si="32"/>
        <v/>
      </c>
      <c r="AN291" s="17">
        <f t="shared" si="33"/>
        <v>0</v>
      </c>
      <c r="AO291" s="17" t="str">
        <f t="shared" ca="1" si="34"/>
        <v/>
      </c>
      <c r="AP291" s="17" t="str">
        <f t="shared" ca="1" si="35"/>
        <v/>
      </c>
      <c r="AQ291" s="17" t="str">
        <f t="shared" si="36"/>
        <v/>
      </c>
      <c r="AR291" s="17" t="str">
        <f t="shared" ca="1" si="37"/>
        <v/>
      </c>
      <c r="AS291" s="18"/>
      <c r="AT291" s="24">
        <f t="shared" si="43"/>
        <v>0</v>
      </c>
      <c r="AU291" s="24">
        <f t="shared" si="44"/>
        <v>0</v>
      </c>
      <c r="AV291" s="24">
        <f t="shared" si="45"/>
        <v>0</v>
      </c>
      <c r="AW291" s="24">
        <f t="shared" si="46"/>
        <v>0</v>
      </c>
      <c r="AX291" s="24">
        <f t="shared" si="47"/>
        <v>0</v>
      </c>
      <c r="AY291" s="24">
        <f t="shared" si="48"/>
        <v>0</v>
      </c>
      <c r="AZ291" s="18"/>
    </row>
    <row r="292" spans="1:52" x14ac:dyDescent="0.25">
      <c r="A292" s="16"/>
      <c r="B292" s="16"/>
      <c r="C292" s="65"/>
      <c r="D292" s="15"/>
      <c r="E292" s="15"/>
      <c r="F292" s="15"/>
      <c r="G292" s="16"/>
      <c r="H292" s="16"/>
      <c r="I292" s="16"/>
      <c r="J292" s="16"/>
      <c r="K292" s="86"/>
      <c r="L292" s="16"/>
      <c r="M292" s="15"/>
      <c r="N292" s="15"/>
      <c r="O292" s="20"/>
      <c r="P292" s="15"/>
      <c r="Q292" s="20"/>
      <c r="R292" s="15"/>
      <c r="S292" s="15"/>
      <c r="T292" s="15"/>
      <c r="U292" s="15"/>
      <c r="V292" s="17"/>
      <c r="W292" s="17"/>
      <c r="X292" s="16"/>
      <c r="Y292" s="20"/>
      <c r="Z292" s="15"/>
      <c r="AA292" s="22"/>
      <c r="AB292" s="90"/>
      <c r="AC292" s="22"/>
      <c r="AD292" s="25"/>
      <c r="AE292" s="25" t="str">
        <f t="shared" si="38"/>
        <v/>
      </c>
      <c r="AF292" s="17" t="str">
        <f t="shared" ca="1" si="39"/>
        <v/>
      </c>
      <c r="AG292" s="17" t="str">
        <f t="shared" si="40"/>
        <v/>
      </c>
      <c r="AH292" s="17" t="str">
        <f t="shared" si="41"/>
        <v/>
      </c>
      <c r="AI292" s="17" t="str">
        <f t="shared" ca="1" si="42"/>
        <v/>
      </c>
      <c r="AJ292" s="17" t="str">
        <f t="shared" ca="1" si="29"/>
        <v/>
      </c>
      <c r="AK292" s="17" t="str">
        <f t="shared" si="30"/>
        <v/>
      </c>
      <c r="AL292" s="17" t="str">
        <f t="shared" si="31"/>
        <v/>
      </c>
      <c r="AM292" s="17" t="str">
        <f t="shared" si="32"/>
        <v/>
      </c>
      <c r="AN292" s="17">
        <f t="shared" si="33"/>
        <v>0</v>
      </c>
      <c r="AO292" s="17" t="str">
        <f t="shared" ca="1" si="34"/>
        <v/>
      </c>
      <c r="AP292" s="17" t="str">
        <f t="shared" ca="1" si="35"/>
        <v/>
      </c>
      <c r="AQ292" s="17" t="str">
        <f t="shared" si="36"/>
        <v/>
      </c>
      <c r="AR292" s="17" t="str">
        <f t="shared" ca="1" si="37"/>
        <v/>
      </c>
      <c r="AS292" s="18"/>
      <c r="AT292" s="24">
        <f t="shared" si="43"/>
        <v>0</v>
      </c>
      <c r="AU292" s="24">
        <f t="shared" si="44"/>
        <v>0</v>
      </c>
      <c r="AV292" s="24">
        <f t="shared" si="45"/>
        <v>0</v>
      </c>
      <c r="AW292" s="24">
        <f t="shared" si="46"/>
        <v>0</v>
      </c>
      <c r="AX292" s="24">
        <f t="shared" si="47"/>
        <v>0</v>
      </c>
      <c r="AY292" s="24">
        <f t="shared" si="48"/>
        <v>0</v>
      </c>
      <c r="AZ292" s="18"/>
    </row>
    <row r="293" spans="1:52" x14ac:dyDescent="0.25">
      <c r="A293" s="16"/>
      <c r="B293" s="16"/>
      <c r="C293" s="65"/>
      <c r="D293" s="15"/>
      <c r="E293" s="15"/>
      <c r="F293" s="15"/>
      <c r="G293" s="16"/>
      <c r="H293" s="16"/>
      <c r="I293" s="16"/>
      <c r="J293" s="16"/>
      <c r="K293" s="86"/>
      <c r="L293" s="16"/>
      <c r="M293" s="15"/>
      <c r="N293" s="15"/>
      <c r="O293" s="20"/>
      <c r="P293" s="15"/>
      <c r="Q293" s="20"/>
      <c r="R293" s="15"/>
      <c r="S293" s="15"/>
      <c r="T293" s="15"/>
      <c r="U293" s="15"/>
      <c r="V293" s="17"/>
      <c r="W293" s="17"/>
      <c r="X293" s="16"/>
      <c r="Y293" s="20"/>
      <c r="Z293" s="15"/>
      <c r="AA293" s="22"/>
      <c r="AB293" s="90"/>
      <c r="AC293" s="22"/>
      <c r="AD293" s="25"/>
      <c r="AE293" s="25" t="str">
        <f t="shared" si="38"/>
        <v/>
      </c>
      <c r="AF293" s="17" t="str">
        <f t="shared" ca="1" si="39"/>
        <v/>
      </c>
      <c r="AG293" s="17" t="str">
        <f t="shared" si="40"/>
        <v/>
      </c>
      <c r="AH293" s="17" t="str">
        <f t="shared" si="41"/>
        <v/>
      </c>
      <c r="AI293" s="17" t="str">
        <f t="shared" ca="1" si="42"/>
        <v/>
      </c>
      <c r="AJ293" s="17" t="str">
        <f t="shared" ca="1" si="29"/>
        <v/>
      </c>
      <c r="AK293" s="17" t="str">
        <f t="shared" si="30"/>
        <v/>
      </c>
      <c r="AL293" s="17" t="str">
        <f t="shared" si="31"/>
        <v/>
      </c>
      <c r="AM293" s="17" t="str">
        <f t="shared" si="32"/>
        <v/>
      </c>
      <c r="AN293" s="17">
        <f t="shared" si="33"/>
        <v>0</v>
      </c>
      <c r="AO293" s="17" t="str">
        <f t="shared" ca="1" si="34"/>
        <v/>
      </c>
      <c r="AP293" s="17" t="str">
        <f t="shared" ca="1" si="35"/>
        <v/>
      </c>
      <c r="AQ293" s="17" t="str">
        <f t="shared" si="36"/>
        <v/>
      </c>
      <c r="AR293" s="17" t="str">
        <f t="shared" ca="1" si="37"/>
        <v/>
      </c>
      <c r="AS293" s="18"/>
      <c r="AT293" s="24">
        <f t="shared" si="43"/>
        <v>0</v>
      </c>
      <c r="AU293" s="24">
        <f t="shared" si="44"/>
        <v>0</v>
      </c>
      <c r="AV293" s="24">
        <f t="shared" si="45"/>
        <v>0</v>
      </c>
      <c r="AW293" s="24">
        <f t="shared" si="46"/>
        <v>0</v>
      </c>
      <c r="AX293" s="24">
        <f t="shared" si="47"/>
        <v>0</v>
      </c>
      <c r="AY293" s="24">
        <f t="shared" si="48"/>
        <v>0</v>
      </c>
      <c r="AZ293" s="18"/>
    </row>
    <row r="294" spans="1:52" x14ac:dyDescent="0.25">
      <c r="A294" s="16"/>
      <c r="B294" s="16"/>
      <c r="C294" s="65"/>
      <c r="D294" s="15"/>
      <c r="E294" s="15"/>
      <c r="F294" s="15"/>
      <c r="G294" s="16"/>
      <c r="H294" s="16"/>
      <c r="I294" s="16"/>
      <c r="J294" s="16"/>
      <c r="K294" s="86"/>
      <c r="L294" s="16"/>
      <c r="M294" s="15"/>
      <c r="N294" s="15"/>
      <c r="O294" s="20"/>
      <c r="P294" s="15"/>
      <c r="Q294" s="20"/>
      <c r="R294" s="15"/>
      <c r="S294" s="15"/>
      <c r="T294" s="15"/>
      <c r="U294" s="15"/>
      <c r="V294" s="17"/>
      <c r="W294" s="17"/>
      <c r="X294" s="16"/>
      <c r="Y294" s="20"/>
      <c r="Z294" s="15"/>
      <c r="AA294" s="22"/>
      <c r="AB294" s="90"/>
      <c r="AC294" s="22"/>
      <c r="AD294" s="25"/>
      <c r="AE294" s="25" t="str">
        <f t="shared" si="38"/>
        <v/>
      </c>
      <c r="AF294" s="17" t="str">
        <f t="shared" ca="1" si="39"/>
        <v/>
      </c>
      <c r="AG294" s="17" t="str">
        <f t="shared" si="40"/>
        <v/>
      </c>
      <c r="AH294" s="17" t="str">
        <f t="shared" si="41"/>
        <v/>
      </c>
      <c r="AI294" s="17" t="str">
        <f t="shared" ca="1" si="42"/>
        <v/>
      </c>
      <c r="AJ294" s="17" t="str">
        <f t="shared" ca="1" si="29"/>
        <v/>
      </c>
      <c r="AK294" s="17" t="str">
        <f t="shared" si="30"/>
        <v/>
      </c>
      <c r="AL294" s="17" t="str">
        <f t="shared" si="31"/>
        <v/>
      </c>
      <c r="AM294" s="17" t="str">
        <f t="shared" si="32"/>
        <v/>
      </c>
      <c r="AN294" s="17">
        <f t="shared" si="33"/>
        <v>0</v>
      </c>
      <c r="AO294" s="17" t="str">
        <f t="shared" ca="1" si="34"/>
        <v/>
      </c>
      <c r="AP294" s="17" t="str">
        <f t="shared" ca="1" si="35"/>
        <v/>
      </c>
      <c r="AQ294" s="17" t="str">
        <f t="shared" si="36"/>
        <v/>
      </c>
      <c r="AR294" s="17" t="str">
        <f t="shared" ca="1" si="37"/>
        <v/>
      </c>
      <c r="AS294" s="18"/>
      <c r="AT294" s="24">
        <f t="shared" si="43"/>
        <v>0</v>
      </c>
      <c r="AU294" s="24">
        <f t="shared" si="44"/>
        <v>0</v>
      </c>
      <c r="AV294" s="24">
        <f t="shared" si="45"/>
        <v>0</v>
      </c>
      <c r="AW294" s="24">
        <f t="shared" si="46"/>
        <v>0</v>
      </c>
      <c r="AX294" s="24">
        <f t="shared" si="47"/>
        <v>0</v>
      </c>
      <c r="AY294" s="24">
        <f t="shared" si="48"/>
        <v>0</v>
      </c>
      <c r="AZ294" s="18"/>
    </row>
    <row r="295" spans="1:52" x14ac:dyDescent="0.25">
      <c r="A295" s="16"/>
      <c r="B295" s="16"/>
      <c r="C295" s="65"/>
      <c r="D295" s="15"/>
      <c r="E295" s="15"/>
      <c r="F295" s="15"/>
      <c r="G295" s="16"/>
      <c r="H295" s="16"/>
      <c r="I295" s="16"/>
      <c r="J295" s="16"/>
      <c r="K295" s="86"/>
      <c r="L295" s="16"/>
      <c r="M295" s="15"/>
      <c r="N295" s="15"/>
      <c r="O295" s="20"/>
      <c r="P295" s="15"/>
      <c r="Q295" s="20"/>
      <c r="R295" s="15"/>
      <c r="S295" s="15"/>
      <c r="T295" s="15"/>
      <c r="U295" s="15"/>
      <c r="V295" s="17"/>
      <c r="W295" s="17"/>
      <c r="X295" s="16"/>
      <c r="Y295" s="20"/>
      <c r="Z295" s="15"/>
      <c r="AA295" s="22"/>
      <c r="AB295" s="90"/>
      <c r="AC295" s="22"/>
      <c r="AD295" s="25"/>
      <c r="AE295" s="25" t="str">
        <f t="shared" si="38"/>
        <v/>
      </c>
      <c r="AF295" s="17" t="str">
        <f t="shared" ca="1" si="39"/>
        <v/>
      </c>
      <c r="AG295" s="17" t="str">
        <f t="shared" si="40"/>
        <v/>
      </c>
      <c r="AH295" s="17" t="str">
        <f t="shared" si="41"/>
        <v/>
      </c>
      <c r="AI295" s="17" t="str">
        <f t="shared" ca="1" si="42"/>
        <v/>
      </c>
      <c r="AJ295" s="17" t="str">
        <f t="shared" ca="1" si="29"/>
        <v/>
      </c>
      <c r="AK295" s="17" t="str">
        <f t="shared" si="30"/>
        <v/>
      </c>
      <c r="AL295" s="17" t="str">
        <f t="shared" si="31"/>
        <v/>
      </c>
      <c r="AM295" s="17" t="str">
        <f t="shared" si="32"/>
        <v/>
      </c>
      <c r="AN295" s="17">
        <f t="shared" si="33"/>
        <v>0</v>
      </c>
      <c r="AO295" s="17" t="str">
        <f t="shared" ca="1" si="34"/>
        <v/>
      </c>
      <c r="AP295" s="17" t="str">
        <f t="shared" ca="1" si="35"/>
        <v/>
      </c>
      <c r="AQ295" s="17" t="str">
        <f t="shared" si="36"/>
        <v/>
      </c>
      <c r="AR295" s="17" t="str">
        <f t="shared" ca="1" si="37"/>
        <v/>
      </c>
      <c r="AS295" s="18"/>
      <c r="AT295" s="24">
        <f t="shared" si="43"/>
        <v>0</v>
      </c>
      <c r="AU295" s="24">
        <f t="shared" si="44"/>
        <v>0</v>
      </c>
      <c r="AV295" s="24">
        <f t="shared" si="45"/>
        <v>0</v>
      </c>
      <c r="AW295" s="24">
        <f t="shared" si="46"/>
        <v>0</v>
      </c>
      <c r="AX295" s="24">
        <f t="shared" si="47"/>
        <v>0</v>
      </c>
      <c r="AY295" s="24">
        <f t="shared" si="48"/>
        <v>0</v>
      </c>
      <c r="AZ295" s="18"/>
    </row>
    <row r="296" spans="1:52" x14ac:dyDescent="0.25">
      <c r="A296" s="16"/>
      <c r="B296" s="16"/>
      <c r="C296" s="65"/>
      <c r="D296" s="15"/>
      <c r="E296" s="15"/>
      <c r="F296" s="15"/>
      <c r="G296" s="16"/>
      <c r="H296" s="16"/>
      <c r="I296" s="16"/>
      <c r="J296" s="16"/>
      <c r="K296" s="86"/>
      <c r="L296" s="16"/>
      <c r="M296" s="15"/>
      <c r="N296" s="15"/>
      <c r="O296" s="20"/>
      <c r="P296" s="15"/>
      <c r="Q296" s="20"/>
      <c r="R296" s="15"/>
      <c r="S296" s="15"/>
      <c r="T296" s="15"/>
      <c r="U296" s="15"/>
      <c r="V296" s="17"/>
      <c r="W296" s="17"/>
      <c r="X296" s="16"/>
      <c r="Y296" s="20"/>
      <c r="Z296" s="15"/>
      <c r="AA296" s="22"/>
      <c r="AB296" s="90"/>
      <c r="AC296" s="22"/>
      <c r="AD296" s="25"/>
      <c r="AE296" s="25" t="str">
        <f t="shared" si="38"/>
        <v/>
      </c>
      <c r="AF296" s="17" t="str">
        <f t="shared" ca="1" si="39"/>
        <v/>
      </c>
      <c r="AG296" s="17" t="str">
        <f t="shared" si="40"/>
        <v/>
      </c>
      <c r="AH296" s="17" t="str">
        <f t="shared" si="41"/>
        <v/>
      </c>
      <c r="AI296" s="17" t="str">
        <f t="shared" ca="1" si="42"/>
        <v/>
      </c>
      <c r="AJ296" s="17" t="str">
        <f t="shared" ca="1" si="29"/>
        <v/>
      </c>
      <c r="AK296" s="17" t="str">
        <f t="shared" si="30"/>
        <v/>
      </c>
      <c r="AL296" s="17" t="str">
        <f t="shared" si="31"/>
        <v/>
      </c>
      <c r="AM296" s="17" t="str">
        <f t="shared" si="32"/>
        <v/>
      </c>
      <c r="AN296" s="17">
        <f t="shared" si="33"/>
        <v>0</v>
      </c>
      <c r="AO296" s="17" t="str">
        <f t="shared" ca="1" si="34"/>
        <v/>
      </c>
      <c r="AP296" s="17" t="str">
        <f t="shared" ca="1" si="35"/>
        <v/>
      </c>
      <c r="AQ296" s="17" t="str">
        <f t="shared" si="36"/>
        <v/>
      </c>
      <c r="AR296" s="17" t="str">
        <f t="shared" ca="1" si="37"/>
        <v/>
      </c>
      <c r="AS296" s="18"/>
      <c r="AT296" s="24">
        <f t="shared" si="43"/>
        <v>0</v>
      </c>
      <c r="AU296" s="24">
        <f t="shared" si="44"/>
        <v>0</v>
      </c>
      <c r="AV296" s="24">
        <f t="shared" si="45"/>
        <v>0</v>
      </c>
      <c r="AW296" s="24">
        <f t="shared" si="46"/>
        <v>0</v>
      </c>
      <c r="AX296" s="24">
        <f t="shared" si="47"/>
        <v>0</v>
      </c>
      <c r="AY296" s="24">
        <f t="shared" si="48"/>
        <v>0</v>
      </c>
      <c r="AZ296" s="18"/>
    </row>
    <row r="297" spans="1:52" x14ac:dyDescent="0.25">
      <c r="A297" s="16"/>
      <c r="B297" s="16"/>
      <c r="C297" s="65"/>
      <c r="D297" s="15"/>
      <c r="E297" s="15"/>
      <c r="F297" s="15"/>
      <c r="G297" s="16"/>
      <c r="H297" s="16"/>
      <c r="I297" s="16"/>
      <c r="J297" s="16"/>
      <c r="K297" s="86"/>
      <c r="L297" s="16"/>
      <c r="M297" s="15"/>
      <c r="N297" s="15"/>
      <c r="O297" s="20"/>
      <c r="P297" s="15"/>
      <c r="Q297" s="20"/>
      <c r="R297" s="15"/>
      <c r="S297" s="15"/>
      <c r="T297" s="15"/>
      <c r="U297" s="15"/>
      <c r="V297" s="17"/>
      <c r="W297" s="17"/>
      <c r="X297" s="16"/>
      <c r="Y297" s="20"/>
      <c r="Z297" s="15"/>
      <c r="AA297" s="22"/>
      <c r="AB297" s="90"/>
      <c r="AC297" s="22"/>
      <c r="AD297" s="25"/>
      <c r="AE297" s="25" t="str">
        <f t="shared" si="38"/>
        <v/>
      </c>
      <c r="AF297" s="17" t="str">
        <f t="shared" ca="1" si="39"/>
        <v/>
      </c>
      <c r="AG297" s="17" t="str">
        <f t="shared" si="40"/>
        <v/>
      </c>
      <c r="AH297" s="17" t="str">
        <f t="shared" si="41"/>
        <v/>
      </c>
      <c r="AI297" s="17" t="str">
        <f t="shared" ca="1" si="42"/>
        <v/>
      </c>
      <c r="AJ297" s="17" t="str">
        <f t="shared" ca="1" si="29"/>
        <v/>
      </c>
      <c r="AK297" s="17" t="str">
        <f t="shared" si="30"/>
        <v/>
      </c>
      <c r="AL297" s="17" t="str">
        <f t="shared" si="31"/>
        <v/>
      </c>
      <c r="AM297" s="17" t="str">
        <f t="shared" si="32"/>
        <v/>
      </c>
      <c r="AN297" s="17">
        <f t="shared" si="33"/>
        <v>0</v>
      </c>
      <c r="AO297" s="17" t="str">
        <f t="shared" ca="1" si="34"/>
        <v/>
      </c>
      <c r="AP297" s="17" t="str">
        <f t="shared" ca="1" si="35"/>
        <v/>
      </c>
      <c r="AQ297" s="17" t="str">
        <f t="shared" si="36"/>
        <v/>
      </c>
      <c r="AR297" s="17" t="str">
        <f t="shared" ca="1" si="37"/>
        <v/>
      </c>
      <c r="AS297" s="18"/>
      <c r="AT297" s="24">
        <f t="shared" si="43"/>
        <v>0</v>
      </c>
      <c r="AU297" s="24">
        <f t="shared" si="44"/>
        <v>0</v>
      </c>
      <c r="AV297" s="24">
        <f t="shared" si="45"/>
        <v>0</v>
      </c>
      <c r="AW297" s="24">
        <f t="shared" si="46"/>
        <v>0</v>
      </c>
      <c r="AX297" s="24">
        <f t="shared" si="47"/>
        <v>0</v>
      </c>
      <c r="AY297" s="24">
        <f t="shared" si="48"/>
        <v>0</v>
      </c>
      <c r="AZ297" s="18"/>
    </row>
    <row r="298" spans="1:52" x14ac:dyDescent="0.25">
      <c r="A298" s="16"/>
      <c r="B298" s="16"/>
      <c r="C298" s="65"/>
      <c r="D298" s="15"/>
      <c r="E298" s="15"/>
      <c r="F298" s="15"/>
      <c r="G298" s="16"/>
      <c r="H298" s="16"/>
      <c r="I298" s="16"/>
      <c r="J298" s="16"/>
      <c r="K298" s="86"/>
      <c r="L298" s="16"/>
      <c r="M298" s="15"/>
      <c r="N298" s="15"/>
      <c r="O298" s="20"/>
      <c r="P298" s="15"/>
      <c r="Q298" s="20"/>
      <c r="R298" s="15"/>
      <c r="S298" s="15"/>
      <c r="T298" s="15"/>
      <c r="U298" s="15"/>
      <c r="V298" s="17"/>
      <c r="W298" s="17"/>
      <c r="X298" s="16"/>
      <c r="Y298" s="20"/>
      <c r="Z298" s="15"/>
      <c r="AA298" s="22"/>
      <c r="AB298" s="90"/>
      <c r="AC298" s="22"/>
      <c r="AD298" s="25"/>
      <c r="AE298" s="25" t="str">
        <f t="shared" si="38"/>
        <v/>
      </c>
      <c r="AF298" s="17" t="str">
        <f t="shared" ca="1" si="39"/>
        <v/>
      </c>
      <c r="AG298" s="17" t="str">
        <f t="shared" si="40"/>
        <v/>
      </c>
      <c r="AH298" s="17" t="str">
        <f t="shared" si="41"/>
        <v/>
      </c>
      <c r="AI298" s="17" t="str">
        <f t="shared" ca="1" si="42"/>
        <v/>
      </c>
      <c r="AJ298" s="17" t="str">
        <f t="shared" ca="1" si="29"/>
        <v/>
      </c>
      <c r="AK298" s="17" t="str">
        <f t="shared" si="30"/>
        <v/>
      </c>
      <c r="AL298" s="17" t="str">
        <f t="shared" si="31"/>
        <v/>
      </c>
      <c r="AM298" s="17" t="str">
        <f t="shared" si="32"/>
        <v/>
      </c>
      <c r="AN298" s="17">
        <f t="shared" si="33"/>
        <v>0</v>
      </c>
      <c r="AO298" s="17" t="str">
        <f t="shared" ca="1" si="34"/>
        <v/>
      </c>
      <c r="AP298" s="17" t="str">
        <f t="shared" ca="1" si="35"/>
        <v/>
      </c>
      <c r="AQ298" s="17" t="str">
        <f t="shared" si="36"/>
        <v/>
      </c>
      <c r="AR298" s="17" t="str">
        <f t="shared" ca="1" si="37"/>
        <v/>
      </c>
      <c r="AS298" s="18"/>
      <c r="AT298" s="24">
        <f t="shared" si="43"/>
        <v>0</v>
      </c>
      <c r="AU298" s="24">
        <f t="shared" si="44"/>
        <v>0</v>
      </c>
      <c r="AV298" s="24">
        <f t="shared" si="45"/>
        <v>0</v>
      </c>
      <c r="AW298" s="24">
        <f t="shared" si="46"/>
        <v>0</v>
      </c>
      <c r="AX298" s="24">
        <f t="shared" si="47"/>
        <v>0</v>
      </c>
      <c r="AY298" s="24">
        <f t="shared" si="48"/>
        <v>0</v>
      </c>
      <c r="AZ298" s="18"/>
    </row>
    <row r="299" spans="1:52" x14ac:dyDescent="0.25">
      <c r="A299" s="16"/>
      <c r="B299" s="16"/>
      <c r="C299" s="65"/>
      <c r="D299" s="15"/>
      <c r="E299" s="15"/>
      <c r="F299" s="15"/>
      <c r="G299" s="16"/>
      <c r="H299" s="16"/>
      <c r="I299" s="16"/>
      <c r="J299" s="16"/>
      <c r="K299" s="86"/>
      <c r="L299" s="16"/>
      <c r="M299" s="15"/>
      <c r="N299" s="15"/>
      <c r="O299" s="20"/>
      <c r="P299" s="15"/>
      <c r="Q299" s="20"/>
      <c r="R299" s="15"/>
      <c r="S299" s="15"/>
      <c r="T299" s="15"/>
      <c r="U299" s="15"/>
      <c r="V299" s="17"/>
      <c r="W299" s="17"/>
      <c r="X299" s="16"/>
      <c r="Y299" s="20"/>
      <c r="Z299" s="15"/>
      <c r="AA299" s="22"/>
      <c r="AB299" s="90"/>
      <c r="AC299" s="22"/>
      <c r="AD299" s="25"/>
      <c r="AE299" s="25" t="str">
        <f t="shared" si="38"/>
        <v/>
      </c>
      <c r="AF299" s="17" t="str">
        <f t="shared" ca="1" si="39"/>
        <v/>
      </c>
      <c r="AG299" s="17" t="str">
        <f t="shared" si="40"/>
        <v/>
      </c>
      <c r="AH299" s="17" t="str">
        <f t="shared" si="41"/>
        <v/>
      </c>
      <c r="AI299" s="17" t="str">
        <f t="shared" ca="1" si="42"/>
        <v/>
      </c>
      <c r="AJ299" s="17" t="str">
        <f t="shared" ca="1" si="29"/>
        <v/>
      </c>
      <c r="AK299" s="17" t="str">
        <f t="shared" si="30"/>
        <v/>
      </c>
      <c r="AL299" s="17" t="str">
        <f t="shared" si="31"/>
        <v/>
      </c>
      <c r="AM299" s="17" t="str">
        <f t="shared" si="32"/>
        <v/>
      </c>
      <c r="AN299" s="17">
        <f t="shared" si="33"/>
        <v>0</v>
      </c>
      <c r="AO299" s="17" t="str">
        <f t="shared" ca="1" si="34"/>
        <v/>
      </c>
      <c r="AP299" s="17" t="str">
        <f t="shared" ca="1" si="35"/>
        <v/>
      </c>
      <c r="AQ299" s="17" t="str">
        <f t="shared" si="36"/>
        <v/>
      </c>
      <c r="AR299" s="17" t="str">
        <f t="shared" ca="1" si="37"/>
        <v/>
      </c>
      <c r="AS299" s="18"/>
      <c r="AT299" s="24">
        <f t="shared" si="43"/>
        <v>0</v>
      </c>
      <c r="AU299" s="24">
        <f t="shared" si="44"/>
        <v>0</v>
      </c>
      <c r="AV299" s="24">
        <f t="shared" si="45"/>
        <v>0</v>
      </c>
      <c r="AW299" s="24">
        <f t="shared" si="46"/>
        <v>0</v>
      </c>
      <c r="AX299" s="24">
        <f t="shared" si="47"/>
        <v>0</v>
      </c>
      <c r="AY299" s="24">
        <f t="shared" si="48"/>
        <v>0</v>
      </c>
      <c r="AZ299" s="18"/>
    </row>
    <row r="300" spans="1:52" x14ac:dyDescent="0.25">
      <c r="A300" s="16"/>
      <c r="B300" s="16"/>
      <c r="C300" s="65"/>
      <c r="D300" s="15"/>
      <c r="E300" s="15"/>
      <c r="F300" s="15"/>
      <c r="G300" s="16"/>
      <c r="H300" s="16"/>
      <c r="I300" s="16"/>
      <c r="J300" s="16"/>
      <c r="K300" s="86"/>
      <c r="L300" s="16"/>
      <c r="M300" s="15"/>
      <c r="N300" s="15"/>
      <c r="O300" s="20"/>
      <c r="P300" s="15"/>
      <c r="Q300" s="20"/>
      <c r="R300" s="15"/>
      <c r="S300" s="15"/>
      <c r="T300" s="15"/>
      <c r="U300" s="15"/>
      <c r="V300" s="17"/>
      <c r="W300" s="17"/>
      <c r="X300" s="16"/>
      <c r="Y300" s="20"/>
      <c r="Z300" s="15"/>
      <c r="AA300" s="22"/>
      <c r="AB300" s="90"/>
      <c r="AC300" s="22"/>
      <c r="AD300" s="25"/>
      <c r="AE300" s="25" t="str">
        <f t="shared" si="38"/>
        <v/>
      </c>
      <c r="AF300" s="17" t="str">
        <f t="shared" ca="1" si="39"/>
        <v/>
      </c>
      <c r="AG300" s="17" t="str">
        <f t="shared" si="40"/>
        <v/>
      </c>
      <c r="AH300" s="17" t="str">
        <f t="shared" si="41"/>
        <v/>
      </c>
      <c r="AI300" s="17" t="str">
        <f t="shared" ca="1" si="42"/>
        <v/>
      </c>
      <c r="AJ300" s="17" t="str">
        <f t="shared" ca="1" si="29"/>
        <v/>
      </c>
      <c r="AK300" s="17" t="str">
        <f t="shared" si="30"/>
        <v/>
      </c>
      <c r="AL300" s="17" t="str">
        <f t="shared" si="31"/>
        <v/>
      </c>
      <c r="AM300" s="17" t="str">
        <f t="shared" si="32"/>
        <v/>
      </c>
      <c r="AN300" s="17">
        <f t="shared" si="33"/>
        <v>0</v>
      </c>
      <c r="AO300" s="17" t="str">
        <f t="shared" ca="1" si="34"/>
        <v/>
      </c>
      <c r="AP300" s="17" t="str">
        <f t="shared" ca="1" si="35"/>
        <v/>
      </c>
      <c r="AQ300" s="17" t="str">
        <f t="shared" si="36"/>
        <v/>
      </c>
      <c r="AR300" s="17" t="str">
        <f t="shared" ca="1" si="37"/>
        <v/>
      </c>
      <c r="AS300" s="18"/>
      <c r="AT300" s="24">
        <f t="shared" si="43"/>
        <v>0</v>
      </c>
      <c r="AU300" s="24">
        <f t="shared" si="44"/>
        <v>0</v>
      </c>
      <c r="AV300" s="24">
        <f t="shared" si="45"/>
        <v>0</v>
      </c>
      <c r="AW300" s="24">
        <f t="shared" si="46"/>
        <v>0</v>
      </c>
      <c r="AX300" s="24">
        <f t="shared" si="47"/>
        <v>0</v>
      </c>
      <c r="AY300" s="24">
        <f t="shared" si="48"/>
        <v>0</v>
      </c>
      <c r="AZ300" s="18"/>
    </row>
    <row r="301" spans="1:52" x14ac:dyDescent="0.25">
      <c r="A301" s="16"/>
      <c r="B301" s="16"/>
      <c r="C301" s="65"/>
      <c r="D301" s="15"/>
      <c r="E301" s="15"/>
      <c r="F301" s="15"/>
      <c r="G301" s="16"/>
      <c r="H301" s="16"/>
      <c r="I301" s="16"/>
      <c r="J301" s="16"/>
      <c r="K301" s="86"/>
      <c r="L301" s="16"/>
      <c r="M301" s="15"/>
      <c r="N301" s="15"/>
      <c r="O301" s="20"/>
      <c r="P301" s="15"/>
      <c r="Q301" s="20"/>
      <c r="R301" s="15"/>
      <c r="S301" s="15"/>
      <c r="T301" s="15"/>
      <c r="U301" s="15"/>
      <c r="V301" s="17"/>
      <c r="W301" s="17"/>
      <c r="X301" s="16"/>
      <c r="Y301" s="20"/>
      <c r="Z301" s="15"/>
      <c r="AA301" s="22"/>
      <c r="AB301" s="90"/>
      <c r="AC301" s="22"/>
      <c r="AD301" s="25"/>
      <c r="AE301" s="25" t="str">
        <f t="shared" si="38"/>
        <v/>
      </c>
      <c r="AF301" s="17" t="str">
        <f t="shared" ca="1" si="39"/>
        <v/>
      </c>
      <c r="AG301" s="17" t="str">
        <f t="shared" si="40"/>
        <v/>
      </c>
      <c r="AH301" s="17" t="str">
        <f t="shared" si="41"/>
        <v/>
      </c>
      <c r="AI301" s="17" t="str">
        <f t="shared" ca="1" si="42"/>
        <v/>
      </c>
      <c r="AJ301" s="17" t="str">
        <f t="shared" ca="1" si="29"/>
        <v/>
      </c>
      <c r="AK301" s="17" t="str">
        <f t="shared" si="30"/>
        <v/>
      </c>
      <c r="AL301" s="17" t="str">
        <f t="shared" si="31"/>
        <v/>
      </c>
      <c r="AM301" s="17" t="str">
        <f t="shared" si="32"/>
        <v/>
      </c>
      <c r="AN301" s="17">
        <f t="shared" si="33"/>
        <v>0</v>
      </c>
      <c r="AO301" s="17" t="str">
        <f t="shared" ca="1" si="34"/>
        <v/>
      </c>
      <c r="AP301" s="17" t="str">
        <f t="shared" ca="1" si="35"/>
        <v/>
      </c>
      <c r="AQ301" s="17" t="str">
        <f t="shared" si="36"/>
        <v/>
      </c>
      <c r="AR301" s="17" t="str">
        <f t="shared" ca="1" si="37"/>
        <v/>
      </c>
      <c r="AS301" s="18"/>
      <c r="AT301" s="24">
        <f t="shared" si="43"/>
        <v>0</v>
      </c>
      <c r="AU301" s="24">
        <f t="shared" si="44"/>
        <v>0</v>
      </c>
      <c r="AV301" s="24">
        <f t="shared" si="45"/>
        <v>0</v>
      </c>
      <c r="AW301" s="24">
        <f t="shared" si="46"/>
        <v>0</v>
      </c>
      <c r="AX301" s="24">
        <f t="shared" si="47"/>
        <v>0</v>
      </c>
      <c r="AY301" s="24">
        <f t="shared" si="48"/>
        <v>0</v>
      </c>
      <c r="AZ301" s="18"/>
    </row>
    <row r="302" spans="1:52" x14ac:dyDescent="0.25">
      <c r="A302" s="16"/>
      <c r="B302" s="16"/>
      <c r="C302" s="65"/>
      <c r="D302" s="15"/>
      <c r="E302" s="15"/>
      <c r="F302" s="15"/>
      <c r="G302" s="16"/>
      <c r="H302" s="16"/>
      <c r="I302" s="16"/>
      <c r="J302" s="16"/>
      <c r="K302" s="86"/>
      <c r="L302" s="16"/>
      <c r="M302" s="15"/>
      <c r="N302" s="15"/>
      <c r="O302" s="20"/>
      <c r="P302" s="15"/>
      <c r="Q302" s="20"/>
      <c r="R302" s="15"/>
      <c r="S302" s="15"/>
      <c r="T302" s="15"/>
      <c r="U302" s="15"/>
      <c r="V302" s="17"/>
      <c r="W302" s="17"/>
      <c r="X302" s="16"/>
      <c r="Y302" s="20"/>
      <c r="Z302" s="15"/>
      <c r="AA302" s="22"/>
      <c r="AB302" s="90"/>
      <c r="AC302" s="22"/>
      <c r="AD302" s="25"/>
      <c r="AE302" s="25" t="str">
        <f t="shared" si="38"/>
        <v/>
      </c>
      <c r="AF302" s="17" t="str">
        <f t="shared" ca="1" si="39"/>
        <v/>
      </c>
      <c r="AG302" s="17" t="str">
        <f t="shared" si="40"/>
        <v/>
      </c>
      <c r="AH302" s="17" t="str">
        <f t="shared" si="41"/>
        <v/>
      </c>
      <c r="AI302" s="17" t="str">
        <f t="shared" ca="1" si="42"/>
        <v/>
      </c>
      <c r="AJ302" s="17" t="str">
        <f t="shared" ca="1" si="29"/>
        <v/>
      </c>
      <c r="AK302" s="17" t="str">
        <f t="shared" si="30"/>
        <v/>
      </c>
      <c r="AL302" s="17" t="str">
        <f t="shared" si="31"/>
        <v/>
      </c>
      <c r="AM302" s="17" t="str">
        <f t="shared" si="32"/>
        <v/>
      </c>
      <c r="AN302" s="17">
        <f t="shared" si="33"/>
        <v>0</v>
      </c>
      <c r="AO302" s="17" t="str">
        <f t="shared" ca="1" si="34"/>
        <v/>
      </c>
      <c r="AP302" s="17" t="str">
        <f t="shared" ca="1" si="35"/>
        <v/>
      </c>
      <c r="AQ302" s="17" t="str">
        <f t="shared" si="36"/>
        <v/>
      </c>
      <c r="AR302" s="17" t="str">
        <f t="shared" ca="1" si="37"/>
        <v/>
      </c>
      <c r="AS302" s="18"/>
      <c r="AT302" s="24">
        <f t="shared" si="43"/>
        <v>0</v>
      </c>
      <c r="AU302" s="24">
        <f t="shared" si="44"/>
        <v>0</v>
      </c>
      <c r="AV302" s="24">
        <f t="shared" si="45"/>
        <v>0</v>
      </c>
      <c r="AW302" s="24">
        <f t="shared" si="46"/>
        <v>0</v>
      </c>
      <c r="AX302" s="24">
        <f t="shared" si="47"/>
        <v>0</v>
      </c>
      <c r="AY302" s="24">
        <f t="shared" si="48"/>
        <v>0</v>
      </c>
      <c r="AZ302" s="18"/>
    </row>
    <row r="303" spans="1:52" x14ac:dyDescent="0.25">
      <c r="A303" s="16"/>
      <c r="B303" s="16"/>
      <c r="C303" s="65"/>
      <c r="D303" s="15"/>
      <c r="E303" s="15"/>
      <c r="F303" s="15"/>
      <c r="G303" s="16"/>
      <c r="H303" s="16"/>
      <c r="I303" s="16"/>
      <c r="J303" s="16"/>
      <c r="K303" s="86"/>
      <c r="L303" s="16"/>
      <c r="M303" s="15"/>
      <c r="N303" s="15"/>
      <c r="O303" s="20"/>
      <c r="P303" s="15"/>
      <c r="Q303" s="20"/>
      <c r="R303" s="15"/>
      <c r="S303" s="15"/>
      <c r="T303" s="15"/>
      <c r="U303" s="15"/>
      <c r="V303" s="17"/>
      <c r="W303" s="17"/>
      <c r="X303" s="16"/>
      <c r="Y303" s="20"/>
      <c r="Z303" s="15"/>
      <c r="AA303" s="22"/>
      <c r="AB303" s="90"/>
      <c r="AC303" s="22"/>
      <c r="AD303" s="25"/>
      <c r="AE303" s="25" t="str">
        <f t="shared" si="38"/>
        <v/>
      </c>
      <c r="AF303" s="17" t="str">
        <f t="shared" ca="1" si="39"/>
        <v/>
      </c>
      <c r="AG303" s="17" t="str">
        <f t="shared" si="40"/>
        <v/>
      </c>
      <c r="AH303" s="17" t="str">
        <f t="shared" si="41"/>
        <v/>
      </c>
      <c r="AI303" s="17" t="str">
        <f t="shared" ca="1" si="42"/>
        <v/>
      </c>
      <c r="AJ303" s="17" t="str">
        <f t="shared" ca="1" si="29"/>
        <v/>
      </c>
      <c r="AK303" s="17" t="str">
        <f t="shared" si="30"/>
        <v/>
      </c>
      <c r="AL303" s="17" t="str">
        <f t="shared" si="31"/>
        <v/>
      </c>
      <c r="AM303" s="17" t="str">
        <f t="shared" si="32"/>
        <v/>
      </c>
      <c r="AN303" s="17">
        <f t="shared" si="33"/>
        <v>0</v>
      </c>
      <c r="AO303" s="17" t="str">
        <f t="shared" ca="1" si="34"/>
        <v/>
      </c>
      <c r="AP303" s="17" t="str">
        <f t="shared" ca="1" si="35"/>
        <v/>
      </c>
      <c r="AQ303" s="17" t="str">
        <f t="shared" si="36"/>
        <v/>
      </c>
      <c r="AR303" s="17" t="str">
        <f t="shared" ca="1" si="37"/>
        <v/>
      </c>
      <c r="AS303" s="18"/>
      <c r="AT303" s="24">
        <f t="shared" si="43"/>
        <v>0</v>
      </c>
      <c r="AU303" s="24">
        <f t="shared" si="44"/>
        <v>0</v>
      </c>
      <c r="AV303" s="24">
        <f t="shared" si="45"/>
        <v>0</v>
      </c>
      <c r="AW303" s="24">
        <f t="shared" si="46"/>
        <v>0</v>
      </c>
      <c r="AX303" s="24">
        <f t="shared" si="47"/>
        <v>0</v>
      </c>
      <c r="AY303" s="24">
        <f t="shared" si="48"/>
        <v>0</v>
      </c>
      <c r="AZ303" s="18"/>
    </row>
    <row r="304" spans="1:52" x14ac:dyDescent="0.25">
      <c r="A304" s="16"/>
      <c r="B304" s="16"/>
      <c r="C304" s="65"/>
      <c r="D304" s="15"/>
      <c r="E304" s="15"/>
      <c r="F304" s="15"/>
      <c r="G304" s="16"/>
      <c r="H304" s="16"/>
      <c r="I304" s="16"/>
      <c r="J304" s="16"/>
      <c r="K304" s="86"/>
      <c r="L304" s="16"/>
      <c r="M304" s="15"/>
      <c r="N304" s="15"/>
      <c r="O304" s="20"/>
      <c r="P304" s="15"/>
      <c r="Q304" s="20"/>
      <c r="R304" s="15"/>
      <c r="S304" s="15"/>
      <c r="T304" s="15"/>
      <c r="U304" s="15"/>
      <c r="V304" s="17"/>
      <c r="W304" s="17"/>
      <c r="X304" s="16"/>
      <c r="Y304" s="20"/>
      <c r="Z304" s="15"/>
      <c r="AA304" s="22"/>
      <c r="AB304" s="90"/>
      <c r="AC304" s="22"/>
      <c r="AD304" s="25"/>
      <c r="AE304" s="25" t="str">
        <f t="shared" si="38"/>
        <v/>
      </c>
      <c r="AF304" s="17" t="str">
        <f t="shared" ca="1" si="39"/>
        <v/>
      </c>
      <c r="AG304" s="17" t="str">
        <f t="shared" si="40"/>
        <v/>
      </c>
      <c r="AH304" s="17" t="str">
        <f t="shared" si="41"/>
        <v/>
      </c>
      <c r="AI304" s="17" t="str">
        <f t="shared" ca="1" si="42"/>
        <v/>
      </c>
      <c r="AJ304" s="17" t="str">
        <f t="shared" ca="1" si="29"/>
        <v/>
      </c>
      <c r="AK304" s="17" t="str">
        <f t="shared" si="30"/>
        <v/>
      </c>
      <c r="AL304" s="17" t="str">
        <f t="shared" si="31"/>
        <v/>
      </c>
      <c r="AM304" s="17" t="str">
        <f t="shared" si="32"/>
        <v/>
      </c>
      <c r="AN304" s="17">
        <f t="shared" si="33"/>
        <v>0</v>
      </c>
      <c r="AO304" s="17" t="str">
        <f t="shared" ca="1" si="34"/>
        <v/>
      </c>
      <c r="AP304" s="17" t="str">
        <f t="shared" ca="1" si="35"/>
        <v/>
      </c>
      <c r="AQ304" s="17" t="str">
        <f t="shared" si="36"/>
        <v/>
      </c>
      <c r="AR304" s="17" t="str">
        <f t="shared" ca="1" si="37"/>
        <v/>
      </c>
      <c r="AS304" s="18"/>
      <c r="AT304" s="24">
        <f t="shared" si="43"/>
        <v>0</v>
      </c>
      <c r="AU304" s="24">
        <f t="shared" si="44"/>
        <v>0</v>
      </c>
      <c r="AV304" s="24">
        <f t="shared" si="45"/>
        <v>0</v>
      </c>
      <c r="AW304" s="24">
        <f t="shared" si="46"/>
        <v>0</v>
      </c>
      <c r="AX304" s="24">
        <f t="shared" si="47"/>
        <v>0</v>
      </c>
      <c r="AY304" s="24">
        <f t="shared" si="48"/>
        <v>0</v>
      </c>
      <c r="AZ304" s="18"/>
    </row>
    <row r="305" spans="1:52" x14ac:dyDescent="0.25">
      <c r="A305" s="16"/>
      <c r="B305" s="16"/>
      <c r="C305" s="65"/>
      <c r="D305" s="15"/>
      <c r="E305" s="15"/>
      <c r="F305" s="15"/>
      <c r="G305" s="16"/>
      <c r="H305" s="16"/>
      <c r="I305" s="16"/>
      <c r="J305" s="16"/>
      <c r="K305" s="86"/>
      <c r="L305" s="16"/>
      <c r="M305" s="15"/>
      <c r="N305" s="15"/>
      <c r="O305" s="20"/>
      <c r="P305" s="15"/>
      <c r="Q305" s="20"/>
      <c r="R305" s="15"/>
      <c r="S305" s="15"/>
      <c r="T305" s="15"/>
      <c r="U305" s="15"/>
      <c r="V305" s="17"/>
      <c r="W305" s="17"/>
      <c r="X305" s="16"/>
      <c r="Y305" s="20"/>
      <c r="Z305" s="15"/>
      <c r="AA305" s="22"/>
      <c r="AB305" s="90"/>
      <c r="AC305" s="22"/>
      <c r="AD305" s="25"/>
      <c r="AE305" s="25" t="str">
        <f t="shared" si="38"/>
        <v/>
      </c>
      <c r="AF305" s="17" t="str">
        <f t="shared" ca="1" si="39"/>
        <v/>
      </c>
      <c r="AG305" s="17" t="str">
        <f t="shared" si="40"/>
        <v/>
      </c>
      <c r="AH305" s="17" t="str">
        <f t="shared" si="41"/>
        <v/>
      </c>
      <c r="AI305" s="17" t="str">
        <f t="shared" ca="1" si="42"/>
        <v/>
      </c>
      <c r="AJ305" s="17" t="str">
        <f t="shared" ca="1" si="29"/>
        <v/>
      </c>
      <c r="AK305" s="17" t="str">
        <f t="shared" si="30"/>
        <v/>
      </c>
      <c r="AL305" s="17" t="str">
        <f t="shared" si="31"/>
        <v/>
      </c>
      <c r="AM305" s="17" t="str">
        <f t="shared" si="32"/>
        <v/>
      </c>
      <c r="AN305" s="17">
        <f t="shared" si="33"/>
        <v>0</v>
      </c>
      <c r="AO305" s="17" t="str">
        <f t="shared" ca="1" si="34"/>
        <v/>
      </c>
      <c r="AP305" s="17" t="str">
        <f t="shared" ca="1" si="35"/>
        <v/>
      </c>
      <c r="AQ305" s="17" t="str">
        <f t="shared" si="36"/>
        <v/>
      </c>
      <c r="AR305" s="17" t="str">
        <f t="shared" ca="1" si="37"/>
        <v/>
      </c>
      <c r="AS305" s="18"/>
      <c r="AT305" s="24">
        <f t="shared" si="43"/>
        <v>0</v>
      </c>
      <c r="AU305" s="24">
        <f t="shared" si="44"/>
        <v>0</v>
      </c>
      <c r="AV305" s="24">
        <f t="shared" si="45"/>
        <v>0</v>
      </c>
      <c r="AW305" s="24">
        <f t="shared" si="46"/>
        <v>0</v>
      </c>
      <c r="AX305" s="24">
        <f t="shared" si="47"/>
        <v>0</v>
      </c>
      <c r="AY305" s="24">
        <f t="shared" si="48"/>
        <v>0</v>
      </c>
      <c r="AZ305" s="18"/>
    </row>
    <row r="306" spans="1:52" x14ac:dyDescent="0.25">
      <c r="A306" s="16"/>
      <c r="B306" s="16"/>
      <c r="C306" s="65"/>
      <c r="D306" s="15"/>
      <c r="E306" s="15"/>
      <c r="F306" s="15"/>
      <c r="G306" s="16"/>
      <c r="H306" s="16"/>
      <c r="I306" s="16"/>
      <c r="J306" s="16"/>
      <c r="K306" s="86"/>
      <c r="L306" s="16"/>
      <c r="M306" s="15"/>
      <c r="N306" s="15"/>
      <c r="O306" s="20"/>
      <c r="P306" s="15"/>
      <c r="Q306" s="20"/>
      <c r="R306" s="15"/>
      <c r="S306" s="15"/>
      <c r="T306" s="15"/>
      <c r="U306" s="15"/>
      <c r="V306" s="17"/>
      <c r="W306" s="17"/>
      <c r="X306" s="16"/>
      <c r="Y306" s="20"/>
      <c r="Z306" s="15"/>
      <c r="AA306" s="22"/>
      <c r="AB306" s="90"/>
      <c r="AC306" s="22"/>
      <c r="AD306" s="25"/>
      <c r="AE306" s="25" t="str">
        <f t="shared" si="38"/>
        <v/>
      </c>
      <c r="AF306" s="17" t="str">
        <f t="shared" ca="1" si="39"/>
        <v/>
      </c>
      <c r="AG306" s="17" t="str">
        <f t="shared" si="40"/>
        <v/>
      </c>
      <c r="AH306" s="17" t="str">
        <f t="shared" si="41"/>
        <v/>
      </c>
      <c r="AI306" s="17" t="str">
        <f t="shared" ca="1" si="42"/>
        <v/>
      </c>
      <c r="AJ306" s="17" t="str">
        <f t="shared" ca="1" si="29"/>
        <v/>
      </c>
      <c r="AK306" s="17" t="str">
        <f t="shared" si="30"/>
        <v/>
      </c>
      <c r="AL306" s="17" t="str">
        <f t="shared" si="31"/>
        <v/>
      </c>
      <c r="AM306" s="17" t="str">
        <f t="shared" si="32"/>
        <v/>
      </c>
      <c r="AN306" s="17">
        <f t="shared" si="33"/>
        <v>0</v>
      </c>
      <c r="AO306" s="17" t="str">
        <f t="shared" ca="1" si="34"/>
        <v/>
      </c>
      <c r="AP306" s="17" t="str">
        <f t="shared" ca="1" si="35"/>
        <v/>
      </c>
      <c r="AQ306" s="17" t="str">
        <f t="shared" si="36"/>
        <v/>
      </c>
      <c r="AR306" s="17" t="str">
        <f t="shared" ca="1" si="37"/>
        <v/>
      </c>
      <c r="AS306" s="18"/>
      <c r="AT306" s="24">
        <f t="shared" si="43"/>
        <v>0</v>
      </c>
      <c r="AU306" s="24">
        <f t="shared" si="44"/>
        <v>0</v>
      </c>
      <c r="AV306" s="24">
        <f t="shared" si="45"/>
        <v>0</v>
      </c>
      <c r="AW306" s="24">
        <f t="shared" si="46"/>
        <v>0</v>
      </c>
      <c r="AX306" s="24">
        <f t="shared" si="47"/>
        <v>0</v>
      </c>
      <c r="AY306" s="24">
        <f t="shared" si="48"/>
        <v>0</v>
      </c>
      <c r="AZ306" s="18"/>
    </row>
    <row r="307" spans="1:52" x14ac:dyDescent="0.25">
      <c r="A307" s="16"/>
      <c r="B307" s="16"/>
      <c r="C307" s="65"/>
      <c r="D307" s="15"/>
      <c r="E307" s="15"/>
      <c r="F307" s="15"/>
      <c r="G307" s="16"/>
      <c r="H307" s="16"/>
      <c r="I307" s="16"/>
      <c r="J307" s="16"/>
      <c r="K307" s="86"/>
      <c r="L307" s="16"/>
      <c r="M307" s="15"/>
      <c r="N307" s="15"/>
      <c r="O307" s="20"/>
      <c r="P307" s="15"/>
      <c r="Q307" s="20"/>
      <c r="R307" s="15"/>
      <c r="S307" s="15"/>
      <c r="T307" s="15"/>
      <c r="U307" s="15"/>
      <c r="V307" s="17"/>
      <c r="W307" s="17"/>
      <c r="X307" s="16"/>
      <c r="Y307" s="20"/>
      <c r="Z307" s="15"/>
      <c r="AA307" s="22"/>
      <c r="AB307" s="90"/>
      <c r="AC307" s="22"/>
      <c r="AD307" s="25"/>
      <c r="AE307" s="25" t="str">
        <f t="shared" si="38"/>
        <v/>
      </c>
      <c r="AF307" s="17" t="str">
        <f t="shared" ca="1" si="39"/>
        <v/>
      </c>
      <c r="AG307" s="17" t="str">
        <f t="shared" si="40"/>
        <v/>
      </c>
      <c r="AH307" s="17" t="str">
        <f t="shared" si="41"/>
        <v/>
      </c>
      <c r="AI307" s="17" t="str">
        <f t="shared" ca="1" si="42"/>
        <v/>
      </c>
      <c r="AJ307" s="17" t="str">
        <f t="shared" ca="1" si="29"/>
        <v/>
      </c>
      <c r="AK307" s="17" t="str">
        <f t="shared" si="30"/>
        <v/>
      </c>
      <c r="AL307" s="17" t="str">
        <f t="shared" si="31"/>
        <v/>
      </c>
      <c r="AM307" s="17" t="str">
        <f t="shared" si="32"/>
        <v/>
      </c>
      <c r="AN307" s="17">
        <f t="shared" si="33"/>
        <v>0</v>
      </c>
      <c r="AO307" s="17" t="str">
        <f t="shared" ca="1" si="34"/>
        <v/>
      </c>
      <c r="AP307" s="17" t="str">
        <f t="shared" ca="1" si="35"/>
        <v/>
      </c>
      <c r="AQ307" s="17" t="str">
        <f t="shared" si="36"/>
        <v/>
      </c>
      <c r="AR307" s="17" t="str">
        <f t="shared" ca="1" si="37"/>
        <v/>
      </c>
      <c r="AS307" s="18"/>
      <c r="AT307" s="24">
        <f t="shared" si="43"/>
        <v>0</v>
      </c>
      <c r="AU307" s="24">
        <f t="shared" si="44"/>
        <v>0</v>
      </c>
      <c r="AV307" s="24">
        <f t="shared" si="45"/>
        <v>0</v>
      </c>
      <c r="AW307" s="24">
        <f t="shared" si="46"/>
        <v>0</v>
      </c>
      <c r="AX307" s="24">
        <f t="shared" si="47"/>
        <v>0</v>
      </c>
      <c r="AY307" s="24">
        <f t="shared" si="48"/>
        <v>0</v>
      </c>
      <c r="AZ307" s="18"/>
    </row>
    <row r="308" spans="1:52" x14ac:dyDescent="0.25">
      <c r="A308" s="16"/>
      <c r="B308" s="16"/>
      <c r="C308" s="65"/>
      <c r="D308" s="15"/>
      <c r="E308" s="15"/>
      <c r="F308" s="15"/>
      <c r="G308" s="16"/>
      <c r="H308" s="16"/>
      <c r="I308" s="16"/>
      <c r="J308" s="16"/>
      <c r="K308" s="86"/>
      <c r="L308" s="16"/>
      <c r="M308" s="15"/>
      <c r="N308" s="15"/>
      <c r="O308" s="20"/>
      <c r="P308" s="15"/>
      <c r="Q308" s="20"/>
      <c r="R308" s="15"/>
      <c r="S308" s="15"/>
      <c r="T308" s="15"/>
      <c r="U308" s="15"/>
      <c r="V308" s="17"/>
      <c r="W308" s="17"/>
      <c r="X308" s="16"/>
      <c r="Y308" s="20"/>
      <c r="Z308" s="15"/>
      <c r="AA308" s="22"/>
      <c r="AB308" s="90"/>
      <c r="AC308" s="22"/>
      <c r="AD308" s="25"/>
      <c r="AE308" s="25" t="str">
        <f t="shared" si="38"/>
        <v/>
      </c>
      <c r="AF308" s="17" t="str">
        <f t="shared" ca="1" si="39"/>
        <v/>
      </c>
      <c r="AG308" s="17" t="str">
        <f t="shared" si="40"/>
        <v/>
      </c>
      <c r="AH308" s="17" t="str">
        <f t="shared" si="41"/>
        <v/>
      </c>
      <c r="AI308" s="17" t="str">
        <f t="shared" ca="1" si="42"/>
        <v/>
      </c>
      <c r="AJ308" s="17" t="str">
        <f t="shared" ca="1" si="29"/>
        <v/>
      </c>
      <c r="AK308" s="17" t="str">
        <f t="shared" si="30"/>
        <v/>
      </c>
      <c r="AL308" s="17" t="str">
        <f t="shared" si="31"/>
        <v/>
      </c>
      <c r="AM308" s="17" t="str">
        <f t="shared" si="32"/>
        <v/>
      </c>
      <c r="AN308" s="17">
        <f t="shared" si="33"/>
        <v>0</v>
      </c>
      <c r="AO308" s="17" t="str">
        <f t="shared" ca="1" si="34"/>
        <v/>
      </c>
      <c r="AP308" s="17" t="str">
        <f t="shared" ca="1" si="35"/>
        <v/>
      </c>
      <c r="AQ308" s="17" t="str">
        <f t="shared" si="36"/>
        <v/>
      </c>
      <c r="AR308" s="17" t="str">
        <f t="shared" ca="1" si="37"/>
        <v/>
      </c>
      <c r="AS308" s="18"/>
      <c r="AT308" s="24">
        <f t="shared" si="43"/>
        <v>0</v>
      </c>
      <c r="AU308" s="24">
        <f t="shared" si="44"/>
        <v>0</v>
      </c>
      <c r="AV308" s="24">
        <f t="shared" si="45"/>
        <v>0</v>
      </c>
      <c r="AW308" s="24">
        <f t="shared" si="46"/>
        <v>0</v>
      </c>
      <c r="AX308" s="24">
        <f t="shared" si="47"/>
        <v>0</v>
      </c>
      <c r="AY308" s="24">
        <f t="shared" si="48"/>
        <v>0</v>
      </c>
      <c r="AZ308" s="18"/>
    </row>
    <row r="309" spans="1:52" x14ac:dyDescent="0.25">
      <c r="A309" s="16"/>
      <c r="B309" s="16"/>
      <c r="C309" s="65"/>
      <c r="D309" s="15"/>
      <c r="E309" s="15"/>
      <c r="F309" s="15"/>
      <c r="G309" s="16"/>
      <c r="H309" s="16"/>
      <c r="I309" s="16"/>
      <c r="J309" s="16"/>
      <c r="K309" s="86"/>
      <c r="L309" s="16"/>
      <c r="M309" s="15"/>
      <c r="N309" s="15"/>
      <c r="O309" s="20"/>
      <c r="P309" s="15"/>
      <c r="Q309" s="20"/>
      <c r="R309" s="15"/>
      <c r="S309" s="15"/>
      <c r="T309" s="15"/>
      <c r="U309" s="15"/>
      <c r="V309" s="17"/>
      <c r="W309" s="17"/>
      <c r="X309" s="16"/>
      <c r="Y309" s="20"/>
      <c r="Z309" s="15"/>
      <c r="AA309" s="22"/>
      <c r="AB309" s="90"/>
      <c r="AC309" s="22"/>
      <c r="AD309" s="25"/>
      <c r="AE309" s="25" t="str">
        <f t="shared" si="38"/>
        <v/>
      </c>
      <c r="AF309" s="17" t="str">
        <f t="shared" ca="1" si="39"/>
        <v/>
      </c>
      <c r="AG309" s="17" t="str">
        <f t="shared" si="40"/>
        <v/>
      </c>
      <c r="AH309" s="17" t="str">
        <f t="shared" si="41"/>
        <v/>
      </c>
      <c r="AI309" s="17" t="str">
        <f t="shared" ca="1" si="42"/>
        <v/>
      </c>
      <c r="AJ309" s="17" t="str">
        <f t="shared" ca="1" si="29"/>
        <v/>
      </c>
      <c r="AK309" s="17" t="str">
        <f t="shared" si="30"/>
        <v/>
      </c>
      <c r="AL309" s="17" t="str">
        <f t="shared" si="31"/>
        <v/>
      </c>
      <c r="AM309" s="17" t="str">
        <f t="shared" si="32"/>
        <v/>
      </c>
      <c r="AN309" s="17">
        <f t="shared" si="33"/>
        <v>0</v>
      </c>
      <c r="AO309" s="17" t="str">
        <f t="shared" ca="1" si="34"/>
        <v/>
      </c>
      <c r="AP309" s="17" t="str">
        <f t="shared" ca="1" si="35"/>
        <v/>
      </c>
      <c r="AQ309" s="17" t="str">
        <f t="shared" si="36"/>
        <v/>
      </c>
      <c r="AR309" s="17" t="str">
        <f t="shared" ca="1" si="37"/>
        <v/>
      </c>
      <c r="AS309" s="18"/>
      <c r="AT309" s="24">
        <f t="shared" si="43"/>
        <v>0</v>
      </c>
      <c r="AU309" s="24">
        <f t="shared" si="44"/>
        <v>0</v>
      </c>
      <c r="AV309" s="24">
        <f t="shared" si="45"/>
        <v>0</v>
      </c>
      <c r="AW309" s="24">
        <f t="shared" si="46"/>
        <v>0</v>
      </c>
      <c r="AX309" s="24">
        <f t="shared" si="47"/>
        <v>0</v>
      </c>
      <c r="AY309" s="24">
        <f t="shared" si="48"/>
        <v>0</v>
      </c>
      <c r="AZ309" s="18"/>
    </row>
    <row r="310" spans="1:52" x14ac:dyDescent="0.25">
      <c r="A310" s="16"/>
      <c r="B310" s="16"/>
      <c r="C310" s="65"/>
      <c r="D310" s="15"/>
      <c r="E310" s="15"/>
      <c r="F310" s="15"/>
      <c r="G310" s="16"/>
      <c r="H310" s="16"/>
      <c r="I310" s="16"/>
      <c r="J310" s="16"/>
      <c r="K310" s="86"/>
      <c r="L310" s="16"/>
      <c r="M310" s="15"/>
      <c r="N310" s="15"/>
      <c r="O310" s="20"/>
      <c r="P310" s="15"/>
      <c r="Q310" s="20"/>
      <c r="R310" s="15"/>
      <c r="S310" s="15"/>
      <c r="T310" s="15"/>
      <c r="U310" s="15"/>
      <c r="V310" s="17"/>
      <c r="W310" s="17"/>
      <c r="X310" s="16"/>
      <c r="Y310" s="20"/>
      <c r="Z310" s="15"/>
      <c r="AA310" s="22"/>
      <c r="AB310" s="90"/>
      <c r="AC310" s="22"/>
      <c r="AD310" s="25"/>
      <c r="AE310" s="25" t="str">
        <f t="shared" si="38"/>
        <v/>
      </c>
      <c r="AF310" s="17" t="str">
        <f t="shared" ca="1" si="39"/>
        <v/>
      </c>
      <c r="AG310" s="17" t="str">
        <f t="shared" si="40"/>
        <v/>
      </c>
      <c r="AH310" s="17" t="str">
        <f t="shared" si="41"/>
        <v/>
      </c>
      <c r="AI310" s="17" t="str">
        <f t="shared" ca="1" si="42"/>
        <v/>
      </c>
      <c r="AJ310" s="17" t="str">
        <f t="shared" ca="1" si="29"/>
        <v/>
      </c>
      <c r="AK310" s="17" t="str">
        <f t="shared" si="30"/>
        <v/>
      </c>
      <c r="AL310" s="17" t="str">
        <f t="shared" si="31"/>
        <v/>
      </c>
      <c r="AM310" s="17" t="str">
        <f t="shared" si="32"/>
        <v/>
      </c>
      <c r="AN310" s="17">
        <f t="shared" si="33"/>
        <v>0</v>
      </c>
      <c r="AO310" s="17" t="str">
        <f t="shared" ca="1" si="34"/>
        <v/>
      </c>
      <c r="AP310" s="17" t="str">
        <f t="shared" ca="1" si="35"/>
        <v/>
      </c>
      <c r="AQ310" s="17" t="str">
        <f t="shared" si="36"/>
        <v/>
      </c>
      <c r="AR310" s="17" t="str">
        <f t="shared" ca="1" si="37"/>
        <v/>
      </c>
      <c r="AS310" s="18"/>
      <c r="AT310" s="24">
        <f t="shared" si="43"/>
        <v>0</v>
      </c>
      <c r="AU310" s="24">
        <f t="shared" si="44"/>
        <v>0</v>
      </c>
      <c r="AV310" s="24">
        <f t="shared" si="45"/>
        <v>0</v>
      </c>
      <c r="AW310" s="24">
        <f t="shared" si="46"/>
        <v>0</v>
      </c>
      <c r="AX310" s="24">
        <f t="shared" si="47"/>
        <v>0</v>
      </c>
      <c r="AY310" s="24">
        <f t="shared" si="48"/>
        <v>0</v>
      </c>
      <c r="AZ310" s="18"/>
    </row>
    <row r="311" spans="1:52" x14ac:dyDescent="0.25">
      <c r="A311" s="16"/>
      <c r="B311" s="16"/>
      <c r="C311" s="65"/>
      <c r="D311" s="15"/>
      <c r="E311" s="15"/>
      <c r="F311" s="15"/>
      <c r="G311" s="16"/>
      <c r="H311" s="16"/>
      <c r="I311" s="16"/>
      <c r="J311" s="16"/>
      <c r="K311" s="86"/>
      <c r="L311" s="16"/>
      <c r="M311" s="15"/>
      <c r="N311" s="15"/>
      <c r="O311" s="20"/>
      <c r="P311" s="15"/>
      <c r="Q311" s="20"/>
      <c r="R311" s="15"/>
      <c r="S311" s="15"/>
      <c r="T311" s="15"/>
      <c r="U311" s="15"/>
      <c r="V311" s="17"/>
      <c r="W311" s="17"/>
      <c r="X311" s="16"/>
      <c r="Y311" s="20"/>
      <c r="Z311" s="15"/>
      <c r="AA311" s="22"/>
      <c r="AB311" s="90"/>
      <c r="AC311" s="22"/>
      <c r="AD311" s="25"/>
      <c r="AE311" s="25" t="str">
        <f t="shared" si="38"/>
        <v/>
      </c>
      <c r="AF311" s="17" t="str">
        <f t="shared" ca="1" si="39"/>
        <v/>
      </c>
      <c r="AG311" s="17" t="str">
        <f t="shared" si="40"/>
        <v/>
      </c>
      <c r="AH311" s="17" t="str">
        <f t="shared" si="41"/>
        <v/>
      </c>
      <c r="AI311" s="17" t="str">
        <f t="shared" ca="1" si="42"/>
        <v/>
      </c>
      <c r="AJ311" s="17" t="str">
        <f t="shared" ca="1" si="29"/>
        <v/>
      </c>
      <c r="AK311" s="17" t="str">
        <f t="shared" si="30"/>
        <v/>
      </c>
      <c r="AL311" s="17" t="str">
        <f t="shared" si="31"/>
        <v/>
      </c>
      <c r="AM311" s="17" t="str">
        <f t="shared" si="32"/>
        <v/>
      </c>
      <c r="AN311" s="17">
        <f t="shared" si="33"/>
        <v>0</v>
      </c>
      <c r="AO311" s="17" t="str">
        <f t="shared" ca="1" si="34"/>
        <v/>
      </c>
      <c r="AP311" s="17" t="str">
        <f t="shared" ca="1" si="35"/>
        <v/>
      </c>
      <c r="AQ311" s="17" t="str">
        <f t="shared" si="36"/>
        <v/>
      </c>
      <c r="AR311" s="17" t="str">
        <f t="shared" ca="1" si="37"/>
        <v/>
      </c>
      <c r="AS311" s="18"/>
      <c r="AT311" s="24">
        <f t="shared" si="43"/>
        <v>0</v>
      </c>
      <c r="AU311" s="24">
        <f t="shared" si="44"/>
        <v>0</v>
      </c>
      <c r="AV311" s="24">
        <f t="shared" si="45"/>
        <v>0</v>
      </c>
      <c r="AW311" s="24">
        <f t="shared" si="46"/>
        <v>0</v>
      </c>
      <c r="AX311" s="24">
        <f t="shared" si="47"/>
        <v>0</v>
      </c>
      <c r="AY311" s="24">
        <f t="shared" si="48"/>
        <v>0</v>
      </c>
      <c r="AZ311" s="18"/>
    </row>
    <row r="312" spans="1:52" x14ac:dyDescent="0.25">
      <c r="A312" s="16"/>
      <c r="B312" s="16"/>
      <c r="C312" s="65"/>
      <c r="D312" s="15"/>
      <c r="E312" s="15"/>
      <c r="F312" s="15"/>
      <c r="G312" s="16"/>
      <c r="H312" s="16"/>
      <c r="I312" s="16"/>
      <c r="J312" s="16"/>
      <c r="K312" s="86"/>
      <c r="L312" s="16"/>
      <c r="M312" s="15"/>
      <c r="N312" s="15"/>
      <c r="O312" s="20"/>
      <c r="P312" s="15"/>
      <c r="Q312" s="20"/>
      <c r="R312" s="15"/>
      <c r="S312" s="15"/>
      <c r="T312" s="15"/>
      <c r="U312" s="15"/>
      <c r="V312" s="17"/>
      <c r="W312" s="17"/>
      <c r="X312" s="16"/>
      <c r="Y312" s="20"/>
      <c r="Z312" s="15"/>
      <c r="AA312" s="22"/>
      <c r="AB312" s="90"/>
      <c r="AC312" s="22"/>
      <c r="AD312" s="25"/>
      <c r="AE312" s="25" t="str">
        <f t="shared" si="38"/>
        <v/>
      </c>
      <c r="AF312" s="17" t="str">
        <f t="shared" ca="1" si="39"/>
        <v/>
      </c>
      <c r="AG312" s="17" t="str">
        <f t="shared" si="40"/>
        <v/>
      </c>
      <c r="AH312" s="17" t="str">
        <f t="shared" si="41"/>
        <v/>
      </c>
      <c r="AI312" s="17" t="str">
        <f t="shared" ca="1" si="42"/>
        <v/>
      </c>
      <c r="AJ312" s="17" t="str">
        <f t="shared" ca="1" si="29"/>
        <v/>
      </c>
      <c r="AK312" s="17" t="str">
        <f t="shared" si="30"/>
        <v/>
      </c>
      <c r="AL312" s="17" t="str">
        <f t="shared" si="31"/>
        <v/>
      </c>
      <c r="AM312" s="17" t="str">
        <f t="shared" si="32"/>
        <v/>
      </c>
      <c r="AN312" s="17">
        <f t="shared" si="33"/>
        <v>0</v>
      </c>
      <c r="AO312" s="17" t="str">
        <f t="shared" ca="1" si="34"/>
        <v/>
      </c>
      <c r="AP312" s="17" t="str">
        <f t="shared" ca="1" si="35"/>
        <v/>
      </c>
      <c r="AQ312" s="17" t="str">
        <f t="shared" si="36"/>
        <v/>
      </c>
      <c r="AR312" s="17" t="str">
        <f t="shared" ca="1" si="37"/>
        <v/>
      </c>
      <c r="AS312" s="18"/>
      <c r="AT312" s="24">
        <f t="shared" si="43"/>
        <v>0</v>
      </c>
      <c r="AU312" s="24">
        <f t="shared" si="44"/>
        <v>0</v>
      </c>
      <c r="AV312" s="24">
        <f t="shared" si="45"/>
        <v>0</v>
      </c>
      <c r="AW312" s="24">
        <f t="shared" si="46"/>
        <v>0</v>
      </c>
      <c r="AX312" s="24">
        <f t="shared" si="47"/>
        <v>0</v>
      </c>
      <c r="AY312" s="24">
        <f t="shared" si="48"/>
        <v>0</v>
      </c>
      <c r="AZ312" s="18"/>
    </row>
    <row r="313" spans="1:52" x14ac:dyDescent="0.25">
      <c r="A313" s="16"/>
      <c r="B313" s="16"/>
      <c r="C313" s="65"/>
      <c r="D313" s="15"/>
      <c r="E313" s="15"/>
      <c r="F313" s="15"/>
      <c r="G313" s="16"/>
      <c r="H313" s="16"/>
      <c r="I313" s="16"/>
      <c r="J313" s="16"/>
      <c r="K313" s="86"/>
      <c r="L313" s="16"/>
      <c r="M313" s="15"/>
      <c r="N313" s="15"/>
      <c r="O313" s="20"/>
      <c r="P313" s="15"/>
      <c r="Q313" s="20"/>
      <c r="R313" s="15"/>
      <c r="S313" s="15"/>
      <c r="T313" s="15"/>
      <c r="U313" s="15"/>
      <c r="V313" s="17"/>
      <c r="W313" s="17"/>
      <c r="X313" s="16"/>
      <c r="Y313" s="20"/>
      <c r="Z313" s="15"/>
      <c r="AA313" s="22"/>
      <c r="AB313" s="90"/>
      <c r="AC313" s="22"/>
      <c r="AD313" s="25"/>
      <c r="AE313" s="25" t="str">
        <f t="shared" si="38"/>
        <v/>
      </c>
      <c r="AF313" s="17" t="str">
        <f t="shared" ca="1" si="39"/>
        <v/>
      </c>
      <c r="AG313" s="17" t="str">
        <f t="shared" si="40"/>
        <v/>
      </c>
      <c r="AH313" s="17" t="str">
        <f t="shared" si="41"/>
        <v/>
      </c>
      <c r="AI313" s="17" t="str">
        <f t="shared" ca="1" si="42"/>
        <v/>
      </c>
      <c r="AJ313" s="17" t="str">
        <f t="shared" ca="1" si="29"/>
        <v/>
      </c>
      <c r="AK313" s="17" t="str">
        <f t="shared" si="30"/>
        <v/>
      </c>
      <c r="AL313" s="17" t="str">
        <f t="shared" si="31"/>
        <v/>
      </c>
      <c r="AM313" s="17" t="str">
        <f t="shared" si="32"/>
        <v/>
      </c>
      <c r="AN313" s="17">
        <f t="shared" si="33"/>
        <v>0</v>
      </c>
      <c r="AO313" s="17" t="str">
        <f t="shared" ca="1" si="34"/>
        <v/>
      </c>
      <c r="AP313" s="17" t="str">
        <f t="shared" ca="1" si="35"/>
        <v/>
      </c>
      <c r="AQ313" s="17" t="str">
        <f t="shared" si="36"/>
        <v/>
      </c>
      <c r="AR313" s="17" t="str">
        <f t="shared" ca="1" si="37"/>
        <v/>
      </c>
      <c r="AS313" s="18"/>
      <c r="AT313" s="24">
        <f t="shared" si="43"/>
        <v>0</v>
      </c>
      <c r="AU313" s="24">
        <f t="shared" si="44"/>
        <v>0</v>
      </c>
      <c r="AV313" s="24">
        <f t="shared" si="45"/>
        <v>0</v>
      </c>
      <c r="AW313" s="24">
        <f t="shared" si="46"/>
        <v>0</v>
      </c>
      <c r="AX313" s="24">
        <f t="shared" si="47"/>
        <v>0</v>
      </c>
      <c r="AY313" s="24">
        <f t="shared" si="48"/>
        <v>0</v>
      </c>
      <c r="AZ313" s="18"/>
    </row>
    <row r="314" spans="1:52" x14ac:dyDescent="0.25">
      <c r="A314" s="16"/>
      <c r="B314" s="16"/>
      <c r="C314" s="65"/>
      <c r="D314" s="15"/>
      <c r="E314" s="15"/>
      <c r="F314" s="15"/>
      <c r="G314" s="16"/>
      <c r="H314" s="16"/>
      <c r="I314" s="16"/>
      <c r="J314" s="16"/>
      <c r="K314" s="86"/>
      <c r="L314" s="16"/>
      <c r="M314" s="15"/>
      <c r="N314" s="15"/>
      <c r="O314" s="20"/>
      <c r="P314" s="15"/>
      <c r="Q314" s="20"/>
      <c r="R314" s="15"/>
      <c r="S314" s="15"/>
      <c r="T314" s="15"/>
      <c r="U314" s="15"/>
      <c r="V314" s="17"/>
      <c r="W314" s="17"/>
      <c r="X314" s="16"/>
      <c r="Y314" s="20"/>
      <c r="Z314" s="15"/>
      <c r="AA314" s="22"/>
      <c r="AB314" s="90"/>
      <c r="AC314" s="22"/>
      <c r="AD314" s="25"/>
      <c r="AE314" s="25" t="str">
        <f t="shared" si="38"/>
        <v/>
      </c>
      <c r="AF314" s="17" t="str">
        <f t="shared" ca="1" si="39"/>
        <v/>
      </c>
      <c r="AG314" s="17" t="str">
        <f t="shared" si="40"/>
        <v/>
      </c>
      <c r="AH314" s="17" t="str">
        <f t="shared" si="41"/>
        <v/>
      </c>
      <c r="AI314" s="17" t="str">
        <f t="shared" ca="1" si="42"/>
        <v/>
      </c>
      <c r="AJ314" s="17" t="str">
        <f t="shared" ca="1" si="29"/>
        <v/>
      </c>
      <c r="AK314" s="17" t="str">
        <f t="shared" si="30"/>
        <v/>
      </c>
      <c r="AL314" s="17" t="str">
        <f t="shared" si="31"/>
        <v/>
      </c>
      <c r="AM314" s="17" t="str">
        <f t="shared" si="32"/>
        <v/>
      </c>
      <c r="AN314" s="17">
        <f t="shared" si="33"/>
        <v>0</v>
      </c>
      <c r="AO314" s="17" t="str">
        <f t="shared" ca="1" si="34"/>
        <v/>
      </c>
      <c r="AP314" s="17" t="str">
        <f t="shared" ca="1" si="35"/>
        <v/>
      </c>
      <c r="AQ314" s="17" t="str">
        <f t="shared" si="36"/>
        <v/>
      </c>
      <c r="AR314" s="17" t="str">
        <f t="shared" ca="1" si="37"/>
        <v/>
      </c>
      <c r="AS314" s="18"/>
      <c r="AT314" s="24">
        <f t="shared" si="43"/>
        <v>0</v>
      </c>
      <c r="AU314" s="24">
        <f t="shared" si="44"/>
        <v>0</v>
      </c>
      <c r="AV314" s="24">
        <f t="shared" si="45"/>
        <v>0</v>
      </c>
      <c r="AW314" s="24">
        <f t="shared" si="46"/>
        <v>0</v>
      </c>
      <c r="AX314" s="24">
        <f t="shared" si="47"/>
        <v>0</v>
      </c>
      <c r="AY314" s="24">
        <f t="shared" si="48"/>
        <v>0</v>
      </c>
      <c r="AZ314" s="18"/>
    </row>
    <row r="315" spans="1:52" x14ac:dyDescent="0.25">
      <c r="A315" s="16"/>
      <c r="B315" s="16"/>
      <c r="C315" s="65"/>
      <c r="D315" s="15"/>
      <c r="E315" s="15"/>
      <c r="F315" s="15"/>
      <c r="G315" s="16"/>
      <c r="H315" s="16"/>
      <c r="I315" s="16"/>
      <c r="J315" s="16"/>
      <c r="K315" s="86"/>
      <c r="L315" s="16"/>
      <c r="M315" s="15"/>
      <c r="N315" s="15"/>
      <c r="O315" s="20"/>
      <c r="P315" s="15"/>
      <c r="Q315" s="20"/>
      <c r="R315" s="15"/>
      <c r="S315" s="15"/>
      <c r="T315" s="15"/>
      <c r="U315" s="15"/>
      <c r="V315" s="17"/>
      <c r="W315" s="17"/>
      <c r="X315" s="16"/>
      <c r="Y315" s="20"/>
      <c r="Z315" s="15"/>
      <c r="AA315" s="22"/>
      <c r="AB315" s="90"/>
      <c r="AC315" s="22"/>
      <c r="AD315" s="25"/>
      <c r="AE315" s="25" t="str">
        <f t="shared" si="38"/>
        <v/>
      </c>
      <c r="AF315" s="17" t="str">
        <f t="shared" ca="1" si="39"/>
        <v/>
      </c>
      <c r="AG315" s="17" t="str">
        <f t="shared" si="40"/>
        <v/>
      </c>
      <c r="AH315" s="17" t="str">
        <f t="shared" si="41"/>
        <v/>
      </c>
      <c r="AI315" s="17" t="str">
        <f t="shared" ca="1" si="42"/>
        <v/>
      </c>
      <c r="AJ315" s="17" t="str">
        <f t="shared" ca="1" si="29"/>
        <v/>
      </c>
      <c r="AK315" s="17" t="str">
        <f t="shared" si="30"/>
        <v/>
      </c>
      <c r="AL315" s="17" t="str">
        <f t="shared" si="31"/>
        <v/>
      </c>
      <c r="AM315" s="17" t="str">
        <f t="shared" si="32"/>
        <v/>
      </c>
      <c r="AN315" s="17">
        <f t="shared" si="33"/>
        <v>0</v>
      </c>
      <c r="AO315" s="17" t="str">
        <f t="shared" ca="1" si="34"/>
        <v/>
      </c>
      <c r="AP315" s="17" t="str">
        <f t="shared" ca="1" si="35"/>
        <v/>
      </c>
      <c r="AQ315" s="17" t="str">
        <f t="shared" si="36"/>
        <v/>
      </c>
      <c r="AR315" s="17" t="str">
        <f t="shared" ca="1" si="37"/>
        <v/>
      </c>
      <c r="AS315" s="18"/>
      <c r="AT315" s="24">
        <f t="shared" si="43"/>
        <v>0</v>
      </c>
      <c r="AU315" s="24">
        <f t="shared" si="44"/>
        <v>0</v>
      </c>
      <c r="AV315" s="24">
        <f t="shared" si="45"/>
        <v>0</v>
      </c>
      <c r="AW315" s="24">
        <f t="shared" si="46"/>
        <v>0</v>
      </c>
      <c r="AX315" s="24">
        <f t="shared" si="47"/>
        <v>0</v>
      </c>
      <c r="AY315" s="24">
        <f t="shared" si="48"/>
        <v>0</v>
      </c>
      <c r="AZ315" s="18"/>
    </row>
    <row r="316" spans="1:52" x14ac:dyDescent="0.25">
      <c r="A316" s="16"/>
      <c r="B316" s="16"/>
      <c r="C316" s="65"/>
      <c r="D316" s="15"/>
      <c r="E316" s="15"/>
      <c r="F316" s="15"/>
      <c r="G316" s="16"/>
      <c r="H316" s="16"/>
      <c r="I316" s="16"/>
      <c r="J316" s="16"/>
      <c r="K316" s="86"/>
      <c r="L316" s="16"/>
      <c r="M316" s="15"/>
      <c r="N316" s="15"/>
      <c r="O316" s="20"/>
      <c r="P316" s="15"/>
      <c r="Q316" s="20"/>
      <c r="R316" s="15"/>
      <c r="S316" s="15"/>
      <c r="T316" s="15"/>
      <c r="U316" s="15"/>
      <c r="V316" s="17"/>
      <c r="W316" s="17"/>
      <c r="X316" s="16"/>
      <c r="Y316" s="20"/>
      <c r="Z316" s="15"/>
      <c r="AA316" s="22"/>
      <c r="AB316" s="90"/>
      <c r="AC316" s="22"/>
      <c r="AD316" s="25"/>
      <c r="AE316" s="25" t="str">
        <f t="shared" si="38"/>
        <v/>
      </c>
      <c r="AF316" s="17" t="str">
        <f t="shared" ca="1" si="39"/>
        <v/>
      </c>
      <c r="AG316" s="17" t="str">
        <f t="shared" si="40"/>
        <v/>
      </c>
      <c r="AH316" s="17" t="str">
        <f t="shared" si="41"/>
        <v/>
      </c>
      <c r="AI316" s="17" t="str">
        <f t="shared" ca="1" si="42"/>
        <v/>
      </c>
      <c r="AJ316" s="17" t="str">
        <f t="shared" ca="1" si="29"/>
        <v/>
      </c>
      <c r="AK316" s="17" t="str">
        <f t="shared" si="30"/>
        <v/>
      </c>
      <c r="AL316" s="17" t="str">
        <f t="shared" si="31"/>
        <v/>
      </c>
      <c r="AM316" s="17" t="str">
        <f t="shared" si="32"/>
        <v/>
      </c>
      <c r="AN316" s="17">
        <f t="shared" si="33"/>
        <v>0</v>
      </c>
      <c r="AO316" s="17" t="str">
        <f t="shared" ca="1" si="34"/>
        <v/>
      </c>
      <c r="AP316" s="17" t="str">
        <f t="shared" ca="1" si="35"/>
        <v/>
      </c>
      <c r="AQ316" s="17" t="str">
        <f t="shared" si="36"/>
        <v/>
      </c>
      <c r="AR316" s="17" t="str">
        <f t="shared" ca="1" si="37"/>
        <v/>
      </c>
      <c r="AS316" s="18"/>
      <c r="AT316" s="24">
        <f t="shared" si="43"/>
        <v>0</v>
      </c>
      <c r="AU316" s="24">
        <f t="shared" si="44"/>
        <v>0</v>
      </c>
      <c r="AV316" s="24">
        <f t="shared" si="45"/>
        <v>0</v>
      </c>
      <c r="AW316" s="24">
        <f t="shared" si="46"/>
        <v>0</v>
      </c>
      <c r="AX316" s="24">
        <f t="shared" si="47"/>
        <v>0</v>
      </c>
      <c r="AY316" s="24">
        <f t="shared" si="48"/>
        <v>0</v>
      </c>
      <c r="AZ316" s="18"/>
    </row>
    <row r="317" spans="1:52" x14ac:dyDescent="0.25">
      <c r="A317" s="16"/>
      <c r="B317" s="16"/>
      <c r="C317" s="65"/>
      <c r="D317" s="15"/>
      <c r="E317" s="15"/>
      <c r="F317" s="15"/>
      <c r="G317" s="16"/>
      <c r="H317" s="16"/>
      <c r="I317" s="16"/>
      <c r="J317" s="16"/>
      <c r="K317" s="86"/>
      <c r="L317" s="16"/>
      <c r="M317" s="15"/>
      <c r="N317" s="15"/>
      <c r="O317" s="20"/>
      <c r="P317" s="15"/>
      <c r="Q317" s="20"/>
      <c r="R317" s="15"/>
      <c r="S317" s="15"/>
      <c r="T317" s="15"/>
      <c r="U317" s="15"/>
      <c r="V317" s="17"/>
      <c r="W317" s="17"/>
      <c r="X317" s="16"/>
      <c r="Y317" s="20"/>
      <c r="Z317" s="15"/>
      <c r="AA317" s="22"/>
      <c r="AB317" s="90"/>
      <c r="AC317" s="22"/>
      <c r="AD317" s="25"/>
      <c r="AE317" s="25" t="str">
        <f t="shared" si="38"/>
        <v/>
      </c>
      <c r="AF317" s="17" t="str">
        <f t="shared" ca="1" si="39"/>
        <v/>
      </c>
      <c r="AG317" s="17" t="str">
        <f t="shared" si="40"/>
        <v/>
      </c>
      <c r="AH317" s="17" t="str">
        <f t="shared" si="41"/>
        <v/>
      </c>
      <c r="AI317" s="17" t="str">
        <f t="shared" ca="1" si="42"/>
        <v/>
      </c>
      <c r="AJ317" s="17" t="str">
        <f t="shared" ref="AJ317:AJ380" ca="1" si="49">IF(O317="","",IF(AA317="",TODAY()-O317,AA317-O317))</f>
        <v/>
      </c>
      <c r="AK317" s="17" t="str">
        <f t="shared" ref="AK317:AK380" si="50">IF(O317="","",IF(W317="WFM",AJ317,AJ317-1))</f>
        <v/>
      </c>
      <c r="AL317" s="17" t="str">
        <f t="shared" ref="AL317:AL380" si="51">IF(AK317&lt;0,0,AK317)</f>
        <v/>
      </c>
      <c r="AM317" s="17" t="str">
        <f t="shared" ref="AM317:AM380" si="52">IF(O317="","",IF(W317="WFM","WFM SLA",IF(AK317&gt;0,"EXCEEDED SLA","WITHIN SLA")))</f>
        <v/>
      </c>
      <c r="AN317" s="17">
        <f t="shared" ref="AN317:AN380" si="53">AC317-AA317</f>
        <v>0</v>
      </c>
      <c r="AO317" s="17" t="str">
        <f t="shared" ref="AO317:AO380" ca="1" si="54">IF(AA317="","",IF(AC317="",TODAY()-AA317-V317,AC317-AA317-V317))</f>
        <v/>
      </c>
      <c r="AP317" s="17" t="str">
        <f t="shared" ref="AP317:AP380" ca="1" si="55">IF(AO317&lt;=0,0,AO317)</f>
        <v/>
      </c>
      <c r="AQ317" s="17" t="str">
        <f t="shared" ref="AQ317:AQ380" si="56">IF(AA317="","",IF(AP317&lt;1,"WITHIN SLA","EXCEEDED SLA"))</f>
        <v/>
      </c>
      <c r="AR317" s="17" t="str">
        <f t="shared" ref="AR317:AR380" ca="1" si="57">IF(B317="","",IF(L317="DONE",AC317-J317,TODAY()-J317))</f>
        <v/>
      </c>
      <c r="AS317" s="18"/>
      <c r="AT317" s="24">
        <f t="shared" si="43"/>
        <v>0</v>
      </c>
      <c r="AU317" s="24">
        <f t="shared" si="44"/>
        <v>0</v>
      </c>
      <c r="AV317" s="24">
        <f t="shared" si="45"/>
        <v>0</v>
      </c>
      <c r="AW317" s="24">
        <f t="shared" si="46"/>
        <v>0</v>
      </c>
      <c r="AX317" s="24">
        <f t="shared" si="47"/>
        <v>0</v>
      </c>
      <c r="AY317" s="24">
        <f t="shared" si="48"/>
        <v>0</v>
      </c>
      <c r="AZ317" s="18"/>
    </row>
    <row r="318" spans="1:52" x14ac:dyDescent="0.25">
      <c r="A318" s="16"/>
      <c r="B318" s="16"/>
      <c r="C318" s="65"/>
      <c r="D318" s="15"/>
      <c r="E318" s="15"/>
      <c r="F318" s="15"/>
      <c r="G318" s="16"/>
      <c r="H318" s="16"/>
      <c r="I318" s="16"/>
      <c r="J318" s="16"/>
      <c r="K318" s="86"/>
      <c r="L318" s="16"/>
      <c r="M318" s="15"/>
      <c r="N318" s="15"/>
      <c r="O318" s="20"/>
      <c r="P318" s="15"/>
      <c r="Q318" s="20"/>
      <c r="R318" s="15"/>
      <c r="S318" s="15"/>
      <c r="T318" s="15"/>
      <c r="U318" s="15"/>
      <c r="V318" s="17"/>
      <c r="W318" s="17"/>
      <c r="X318" s="16"/>
      <c r="Y318" s="20"/>
      <c r="Z318" s="15"/>
      <c r="AA318" s="22"/>
      <c r="AB318" s="90"/>
      <c r="AC318" s="22"/>
      <c r="AD318" s="25"/>
      <c r="AE318" s="25" t="str">
        <f t="shared" si="38"/>
        <v/>
      </c>
      <c r="AF318" s="17" t="str">
        <f t="shared" ca="1" si="39"/>
        <v/>
      </c>
      <c r="AG318" s="17" t="str">
        <f t="shared" si="40"/>
        <v/>
      </c>
      <c r="AH318" s="17" t="str">
        <f t="shared" si="41"/>
        <v/>
      </c>
      <c r="AI318" s="17" t="str">
        <f t="shared" ca="1" si="42"/>
        <v/>
      </c>
      <c r="AJ318" s="17" t="str">
        <f t="shared" ca="1" si="49"/>
        <v/>
      </c>
      <c r="AK318" s="17" t="str">
        <f t="shared" si="50"/>
        <v/>
      </c>
      <c r="AL318" s="17" t="str">
        <f t="shared" si="51"/>
        <v/>
      </c>
      <c r="AM318" s="17" t="str">
        <f t="shared" si="52"/>
        <v/>
      </c>
      <c r="AN318" s="17">
        <f t="shared" si="53"/>
        <v>0</v>
      </c>
      <c r="AO318" s="17" t="str">
        <f t="shared" ca="1" si="54"/>
        <v/>
      </c>
      <c r="AP318" s="17" t="str">
        <f t="shared" ca="1" si="55"/>
        <v/>
      </c>
      <c r="AQ318" s="17" t="str">
        <f t="shared" si="56"/>
        <v/>
      </c>
      <c r="AR318" s="17" t="str">
        <f t="shared" ca="1" si="57"/>
        <v/>
      </c>
      <c r="AS318" s="18"/>
      <c r="AT318" s="24">
        <f t="shared" si="43"/>
        <v>0</v>
      </c>
      <c r="AU318" s="24">
        <f t="shared" si="44"/>
        <v>0</v>
      </c>
      <c r="AV318" s="24">
        <f t="shared" si="45"/>
        <v>0</v>
      </c>
      <c r="AW318" s="24">
        <f t="shared" si="46"/>
        <v>0</v>
      </c>
      <c r="AX318" s="24">
        <f t="shared" si="47"/>
        <v>0</v>
      </c>
      <c r="AY318" s="24">
        <f t="shared" si="48"/>
        <v>0</v>
      </c>
      <c r="AZ318" s="18"/>
    </row>
    <row r="319" spans="1:52" x14ac:dyDescent="0.25">
      <c r="A319" s="16"/>
      <c r="B319" s="16"/>
      <c r="C319" s="65"/>
      <c r="D319" s="15"/>
      <c r="E319" s="15"/>
      <c r="F319" s="15"/>
      <c r="G319" s="16"/>
      <c r="H319" s="16"/>
      <c r="I319" s="16"/>
      <c r="J319" s="16"/>
      <c r="K319" s="86"/>
      <c r="L319" s="16"/>
      <c r="M319" s="15"/>
      <c r="N319" s="15"/>
      <c r="O319" s="20"/>
      <c r="P319" s="15"/>
      <c r="Q319" s="20"/>
      <c r="R319" s="15"/>
      <c r="S319" s="15"/>
      <c r="T319" s="15"/>
      <c r="U319" s="15"/>
      <c r="V319" s="17"/>
      <c r="W319" s="17"/>
      <c r="X319" s="16"/>
      <c r="Y319" s="20"/>
      <c r="Z319" s="15"/>
      <c r="AA319" s="22"/>
      <c r="AB319" s="90"/>
      <c r="AC319" s="22"/>
      <c r="AD319" s="25"/>
      <c r="AE319" s="25" t="str">
        <f t="shared" si="38"/>
        <v/>
      </c>
      <c r="AF319" s="17" t="str">
        <f t="shared" ca="1" si="39"/>
        <v/>
      </c>
      <c r="AG319" s="17" t="str">
        <f t="shared" si="40"/>
        <v/>
      </c>
      <c r="AH319" s="17" t="str">
        <f t="shared" si="41"/>
        <v/>
      </c>
      <c r="AI319" s="17" t="str">
        <f t="shared" ca="1" si="42"/>
        <v/>
      </c>
      <c r="AJ319" s="17" t="str">
        <f t="shared" ca="1" si="49"/>
        <v/>
      </c>
      <c r="AK319" s="17" t="str">
        <f t="shared" si="50"/>
        <v/>
      </c>
      <c r="AL319" s="17" t="str">
        <f t="shared" si="51"/>
        <v/>
      </c>
      <c r="AM319" s="17" t="str">
        <f t="shared" si="52"/>
        <v/>
      </c>
      <c r="AN319" s="17">
        <f t="shared" si="53"/>
        <v>0</v>
      </c>
      <c r="AO319" s="17" t="str">
        <f t="shared" ca="1" si="54"/>
        <v/>
      </c>
      <c r="AP319" s="17" t="str">
        <f t="shared" ca="1" si="55"/>
        <v/>
      </c>
      <c r="AQ319" s="17" t="str">
        <f t="shared" si="56"/>
        <v/>
      </c>
      <c r="AR319" s="17" t="str">
        <f t="shared" ca="1" si="57"/>
        <v/>
      </c>
      <c r="AS319" s="18"/>
      <c r="AT319" s="24">
        <f t="shared" si="43"/>
        <v>0</v>
      </c>
      <c r="AU319" s="24">
        <f t="shared" si="44"/>
        <v>0</v>
      </c>
      <c r="AV319" s="24">
        <f t="shared" si="45"/>
        <v>0</v>
      </c>
      <c r="AW319" s="24">
        <f t="shared" si="46"/>
        <v>0</v>
      </c>
      <c r="AX319" s="24">
        <f t="shared" si="47"/>
        <v>0</v>
      </c>
      <c r="AY319" s="24">
        <f t="shared" si="48"/>
        <v>0</v>
      </c>
      <c r="AZ319" s="18"/>
    </row>
    <row r="320" spans="1:52" x14ac:dyDescent="0.25">
      <c r="A320" s="16"/>
      <c r="B320" s="16"/>
      <c r="C320" s="65"/>
      <c r="D320" s="15"/>
      <c r="E320" s="15"/>
      <c r="F320" s="15"/>
      <c r="G320" s="16"/>
      <c r="H320" s="16"/>
      <c r="I320" s="16"/>
      <c r="J320" s="16"/>
      <c r="K320" s="86"/>
      <c r="L320" s="16"/>
      <c r="M320" s="15"/>
      <c r="N320" s="15"/>
      <c r="O320" s="20"/>
      <c r="P320" s="15"/>
      <c r="Q320" s="20"/>
      <c r="R320" s="15"/>
      <c r="S320" s="15"/>
      <c r="T320" s="15"/>
      <c r="U320" s="15"/>
      <c r="V320" s="17"/>
      <c r="W320" s="17"/>
      <c r="X320" s="16"/>
      <c r="Y320" s="20"/>
      <c r="Z320" s="15"/>
      <c r="AA320" s="22"/>
      <c r="AB320" s="90"/>
      <c r="AC320" s="22"/>
      <c r="AD320" s="25"/>
      <c r="AE320" s="25" t="str">
        <f t="shared" si="38"/>
        <v/>
      </c>
      <c r="AF320" s="17" t="str">
        <f t="shared" ca="1" si="39"/>
        <v/>
      </c>
      <c r="AG320" s="17" t="str">
        <f t="shared" si="40"/>
        <v/>
      </c>
      <c r="AH320" s="17" t="str">
        <f t="shared" si="41"/>
        <v/>
      </c>
      <c r="AI320" s="17" t="str">
        <f t="shared" ca="1" si="42"/>
        <v/>
      </c>
      <c r="AJ320" s="17" t="str">
        <f t="shared" ca="1" si="49"/>
        <v/>
      </c>
      <c r="AK320" s="17" t="str">
        <f t="shared" si="50"/>
        <v/>
      </c>
      <c r="AL320" s="17" t="str">
        <f t="shared" si="51"/>
        <v/>
      </c>
      <c r="AM320" s="17" t="str">
        <f t="shared" si="52"/>
        <v/>
      </c>
      <c r="AN320" s="17">
        <f t="shared" si="53"/>
        <v>0</v>
      </c>
      <c r="AO320" s="17" t="str">
        <f t="shared" ca="1" si="54"/>
        <v/>
      </c>
      <c r="AP320" s="17" t="str">
        <f t="shared" ca="1" si="55"/>
        <v/>
      </c>
      <c r="AQ320" s="17" t="str">
        <f t="shared" si="56"/>
        <v/>
      </c>
      <c r="AR320" s="17" t="str">
        <f t="shared" ca="1" si="57"/>
        <v/>
      </c>
      <c r="AS320" s="18"/>
      <c r="AT320" s="24">
        <f t="shared" si="43"/>
        <v>0</v>
      </c>
      <c r="AU320" s="24">
        <f t="shared" si="44"/>
        <v>0</v>
      </c>
      <c r="AV320" s="24">
        <f t="shared" si="45"/>
        <v>0</v>
      </c>
      <c r="AW320" s="24">
        <f t="shared" si="46"/>
        <v>0</v>
      </c>
      <c r="AX320" s="24">
        <f t="shared" si="47"/>
        <v>0</v>
      </c>
      <c r="AY320" s="24">
        <f t="shared" si="48"/>
        <v>0</v>
      </c>
      <c r="AZ320" s="18"/>
    </row>
    <row r="321" spans="1:52" x14ac:dyDescent="0.25">
      <c r="A321" s="16"/>
      <c r="B321" s="16"/>
      <c r="C321" s="65"/>
      <c r="D321" s="15"/>
      <c r="E321" s="15"/>
      <c r="F321" s="15"/>
      <c r="G321" s="16"/>
      <c r="H321" s="16"/>
      <c r="I321" s="16"/>
      <c r="J321" s="16"/>
      <c r="K321" s="86"/>
      <c r="L321" s="16"/>
      <c r="M321" s="15"/>
      <c r="N321" s="15"/>
      <c r="O321" s="20"/>
      <c r="P321" s="15"/>
      <c r="Q321" s="20"/>
      <c r="R321" s="15"/>
      <c r="S321" s="15"/>
      <c r="T321" s="15"/>
      <c r="U321" s="15"/>
      <c r="V321" s="17"/>
      <c r="W321" s="17"/>
      <c r="X321" s="16"/>
      <c r="Y321" s="20"/>
      <c r="Z321" s="15"/>
      <c r="AA321" s="22"/>
      <c r="AB321" s="90"/>
      <c r="AC321" s="22"/>
      <c r="AD321" s="25"/>
      <c r="AE321" s="25" t="str">
        <f t="shared" si="38"/>
        <v/>
      </c>
      <c r="AF321" s="17" t="str">
        <f t="shared" ca="1" si="39"/>
        <v/>
      </c>
      <c r="AG321" s="17" t="str">
        <f t="shared" si="40"/>
        <v/>
      </c>
      <c r="AH321" s="17" t="str">
        <f t="shared" si="41"/>
        <v/>
      </c>
      <c r="AI321" s="17" t="str">
        <f t="shared" ca="1" si="42"/>
        <v/>
      </c>
      <c r="AJ321" s="17" t="str">
        <f t="shared" ca="1" si="49"/>
        <v/>
      </c>
      <c r="AK321" s="17" t="str">
        <f t="shared" si="50"/>
        <v/>
      </c>
      <c r="AL321" s="17" t="str">
        <f t="shared" si="51"/>
        <v/>
      </c>
      <c r="AM321" s="17" t="str">
        <f t="shared" si="52"/>
        <v/>
      </c>
      <c r="AN321" s="17">
        <f t="shared" si="53"/>
        <v>0</v>
      </c>
      <c r="AO321" s="17" t="str">
        <f t="shared" ca="1" si="54"/>
        <v/>
      </c>
      <c r="AP321" s="17" t="str">
        <f t="shared" ca="1" si="55"/>
        <v/>
      </c>
      <c r="AQ321" s="17" t="str">
        <f t="shared" si="56"/>
        <v/>
      </c>
      <c r="AR321" s="17" t="str">
        <f t="shared" ca="1" si="57"/>
        <v/>
      </c>
      <c r="AS321" s="18"/>
      <c r="AT321" s="24">
        <f t="shared" si="43"/>
        <v>0</v>
      </c>
      <c r="AU321" s="24">
        <f t="shared" si="44"/>
        <v>0</v>
      </c>
      <c r="AV321" s="24">
        <f t="shared" si="45"/>
        <v>0</v>
      </c>
      <c r="AW321" s="24">
        <f t="shared" si="46"/>
        <v>0</v>
      </c>
      <c r="AX321" s="24">
        <f t="shared" si="47"/>
        <v>0</v>
      </c>
      <c r="AY321" s="24">
        <f t="shared" si="48"/>
        <v>0</v>
      </c>
      <c r="AZ321" s="18"/>
    </row>
    <row r="322" spans="1:52" x14ac:dyDescent="0.25">
      <c r="A322" s="16"/>
      <c r="B322" s="16"/>
      <c r="C322" s="65"/>
      <c r="D322" s="15"/>
      <c r="E322" s="15"/>
      <c r="F322" s="15"/>
      <c r="G322" s="16"/>
      <c r="H322" s="16"/>
      <c r="I322" s="16"/>
      <c r="J322" s="16"/>
      <c r="K322" s="86"/>
      <c r="L322" s="16"/>
      <c r="M322" s="15"/>
      <c r="N322" s="15"/>
      <c r="O322" s="20"/>
      <c r="P322" s="15"/>
      <c r="Q322" s="20"/>
      <c r="R322" s="15"/>
      <c r="S322" s="15"/>
      <c r="T322" s="15"/>
      <c r="U322" s="15"/>
      <c r="V322" s="17"/>
      <c r="W322" s="17"/>
      <c r="X322" s="16"/>
      <c r="Y322" s="20"/>
      <c r="Z322" s="15"/>
      <c r="AA322" s="22"/>
      <c r="AB322" s="90"/>
      <c r="AC322" s="22"/>
      <c r="AD322" s="25"/>
      <c r="AE322" s="25" t="str">
        <f t="shared" si="38"/>
        <v/>
      </c>
      <c r="AF322" s="17" t="str">
        <f t="shared" ca="1" si="39"/>
        <v/>
      </c>
      <c r="AG322" s="17" t="str">
        <f t="shared" si="40"/>
        <v/>
      </c>
      <c r="AH322" s="17" t="str">
        <f t="shared" si="41"/>
        <v/>
      </c>
      <c r="AI322" s="17" t="str">
        <f t="shared" ca="1" si="42"/>
        <v/>
      </c>
      <c r="AJ322" s="17" t="str">
        <f t="shared" ca="1" si="49"/>
        <v/>
      </c>
      <c r="AK322" s="17" t="str">
        <f t="shared" si="50"/>
        <v/>
      </c>
      <c r="AL322" s="17" t="str">
        <f t="shared" si="51"/>
        <v/>
      </c>
      <c r="AM322" s="17" t="str">
        <f t="shared" si="52"/>
        <v/>
      </c>
      <c r="AN322" s="17">
        <f t="shared" si="53"/>
        <v>0</v>
      </c>
      <c r="AO322" s="17" t="str">
        <f t="shared" ca="1" si="54"/>
        <v/>
      </c>
      <c r="AP322" s="17" t="str">
        <f t="shared" ca="1" si="55"/>
        <v/>
      </c>
      <c r="AQ322" s="17" t="str">
        <f t="shared" si="56"/>
        <v/>
      </c>
      <c r="AR322" s="17" t="str">
        <f t="shared" ca="1" si="57"/>
        <v/>
      </c>
      <c r="AS322" s="18"/>
      <c r="AT322" s="24">
        <f t="shared" si="43"/>
        <v>0</v>
      </c>
      <c r="AU322" s="24">
        <f t="shared" si="44"/>
        <v>0</v>
      </c>
      <c r="AV322" s="24">
        <f t="shared" si="45"/>
        <v>0</v>
      </c>
      <c r="AW322" s="24">
        <f t="shared" si="46"/>
        <v>0</v>
      </c>
      <c r="AX322" s="24">
        <f t="shared" si="47"/>
        <v>0</v>
      </c>
      <c r="AY322" s="24">
        <f t="shared" si="48"/>
        <v>0</v>
      </c>
      <c r="AZ322" s="18"/>
    </row>
    <row r="323" spans="1:52" x14ac:dyDescent="0.25">
      <c r="A323" s="16"/>
      <c r="B323" s="16"/>
      <c r="C323" s="65"/>
      <c r="D323" s="15"/>
      <c r="E323" s="15"/>
      <c r="F323" s="15"/>
      <c r="G323" s="16"/>
      <c r="H323" s="16"/>
      <c r="I323" s="16"/>
      <c r="J323" s="16"/>
      <c r="K323" s="86"/>
      <c r="L323" s="16"/>
      <c r="M323" s="15"/>
      <c r="N323" s="15"/>
      <c r="O323" s="20"/>
      <c r="P323" s="15"/>
      <c r="Q323" s="20"/>
      <c r="R323" s="15"/>
      <c r="S323" s="15"/>
      <c r="T323" s="15"/>
      <c r="U323" s="15"/>
      <c r="V323" s="17"/>
      <c r="W323" s="17"/>
      <c r="X323" s="16"/>
      <c r="Y323" s="20"/>
      <c r="Z323" s="15"/>
      <c r="AA323" s="22"/>
      <c r="AB323" s="90"/>
      <c r="AC323" s="22"/>
      <c r="AD323" s="25"/>
      <c r="AE323" s="25" t="str">
        <f t="shared" si="38"/>
        <v/>
      </c>
      <c r="AF323" s="17" t="str">
        <f t="shared" ca="1" si="39"/>
        <v/>
      </c>
      <c r="AG323" s="17" t="str">
        <f t="shared" si="40"/>
        <v/>
      </c>
      <c r="AH323" s="17" t="str">
        <f t="shared" si="41"/>
        <v/>
      </c>
      <c r="AI323" s="17" t="str">
        <f t="shared" ca="1" si="42"/>
        <v/>
      </c>
      <c r="AJ323" s="17" t="str">
        <f t="shared" ca="1" si="49"/>
        <v/>
      </c>
      <c r="AK323" s="17" t="str">
        <f t="shared" si="50"/>
        <v/>
      </c>
      <c r="AL323" s="17" t="str">
        <f t="shared" si="51"/>
        <v/>
      </c>
      <c r="AM323" s="17" t="str">
        <f t="shared" si="52"/>
        <v/>
      </c>
      <c r="AN323" s="17">
        <f t="shared" si="53"/>
        <v>0</v>
      </c>
      <c r="AO323" s="17" t="str">
        <f t="shared" ca="1" si="54"/>
        <v/>
      </c>
      <c r="AP323" s="17" t="str">
        <f t="shared" ca="1" si="55"/>
        <v/>
      </c>
      <c r="AQ323" s="17" t="str">
        <f t="shared" si="56"/>
        <v/>
      </c>
      <c r="AR323" s="17" t="str">
        <f t="shared" ca="1" si="57"/>
        <v/>
      </c>
      <c r="AS323" s="18"/>
      <c r="AT323" s="24">
        <f t="shared" si="43"/>
        <v>0</v>
      </c>
      <c r="AU323" s="24">
        <f t="shared" si="44"/>
        <v>0</v>
      </c>
      <c r="AV323" s="24">
        <f t="shared" si="45"/>
        <v>0</v>
      </c>
      <c r="AW323" s="24">
        <f t="shared" si="46"/>
        <v>0</v>
      </c>
      <c r="AX323" s="24">
        <f t="shared" si="47"/>
        <v>0</v>
      </c>
      <c r="AY323" s="24">
        <f t="shared" si="48"/>
        <v>0</v>
      </c>
      <c r="AZ323" s="18"/>
    </row>
    <row r="324" spans="1:52" x14ac:dyDescent="0.25">
      <c r="A324" s="16"/>
      <c r="B324" s="16"/>
      <c r="C324" s="65"/>
      <c r="D324" s="15"/>
      <c r="E324" s="15"/>
      <c r="F324" s="15"/>
      <c r="G324" s="16"/>
      <c r="H324" s="16"/>
      <c r="I324" s="16"/>
      <c r="J324" s="16"/>
      <c r="K324" s="86"/>
      <c r="L324" s="16"/>
      <c r="M324" s="15"/>
      <c r="N324" s="15"/>
      <c r="O324" s="20"/>
      <c r="P324" s="15"/>
      <c r="Q324" s="20"/>
      <c r="R324" s="15"/>
      <c r="S324" s="15"/>
      <c r="T324" s="15"/>
      <c r="U324" s="15"/>
      <c r="V324" s="17"/>
      <c r="W324" s="17"/>
      <c r="X324" s="16"/>
      <c r="Y324" s="20"/>
      <c r="Z324" s="15"/>
      <c r="AA324" s="22"/>
      <c r="AB324" s="90"/>
      <c r="AC324" s="22"/>
      <c r="AD324" s="25"/>
      <c r="AE324" s="25" t="str">
        <f t="shared" ref="AE324:AE387" si="58">IF(F324="","",IF(F324="PMR",3,1))</f>
        <v/>
      </c>
      <c r="AF324" s="17" t="str">
        <f t="shared" ref="AF324:AF387" ca="1" si="59">IF(J324="","",IF(O324="",TODAY()-J324,O324-J324))</f>
        <v/>
      </c>
      <c r="AG324" s="17" t="str">
        <f t="shared" ref="AG324:AG387" si="60">IF(AE324="","",IF(AF324="","",AF324-AE324))</f>
        <v/>
      </c>
      <c r="AH324" s="17" t="str">
        <f t="shared" ref="AH324:AH387" si="61">IF(AG324&lt;0,0,AG324)</f>
        <v/>
      </c>
      <c r="AI324" s="17" t="str">
        <f t="shared" ref="AI324:AI387" ca="1" si="62">IF(AF324="","",IF(F324="","",IF(AG324&lt;1,"WITHIN SLA","EXCEEDED SLA")))</f>
        <v/>
      </c>
      <c r="AJ324" s="17" t="str">
        <f t="shared" ca="1" si="49"/>
        <v/>
      </c>
      <c r="AK324" s="17" t="str">
        <f t="shared" si="50"/>
        <v/>
      </c>
      <c r="AL324" s="17" t="str">
        <f t="shared" si="51"/>
        <v/>
      </c>
      <c r="AM324" s="17" t="str">
        <f t="shared" si="52"/>
        <v/>
      </c>
      <c r="AN324" s="17">
        <f t="shared" si="53"/>
        <v>0</v>
      </c>
      <c r="AO324" s="17" t="str">
        <f t="shared" ca="1" si="54"/>
        <v/>
      </c>
      <c r="AP324" s="17" t="str">
        <f t="shared" ca="1" si="55"/>
        <v/>
      </c>
      <c r="AQ324" s="17" t="str">
        <f t="shared" si="56"/>
        <v/>
      </c>
      <c r="AR324" s="17" t="str">
        <f t="shared" ca="1" si="57"/>
        <v/>
      </c>
      <c r="AS324" s="18"/>
      <c r="AT324" s="24">
        <f t="shared" si="43"/>
        <v>0</v>
      </c>
      <c r="AU324" s="24">
        <f t="shared" si="44"/>
        <v>0</v>
      </c>
      <c r="AV324" s="24">
        <f t="shared" si="45"/>
        <v>0</v>
      </c>
      <c r="AW324" s="24">
        <f t="shared" si="46"/>
        <v>0</v>
      </c>
      <c r="AX324" s="24">
        <f t="shared" si="47"/>
        <v>0</v>
      </c>
      <c r="AY324" s="24">
        <f t="shared" si="48"/>
        <v>0</v>
      </c>
      <c r="AZ324" s="18"/>
    </row>
    <row r="325" spans="1:52" x14ac:dyDescent="0.25">
      <c r="A325" s="16"/>
      <c r="B325" s="16"/>
      <c r="C325" s="65"/>
      <c r="D325" s="15"/>
      <c r="E325" s="15"/>
      <c r="F325" s="15"/>
      <c r="G325" s="16"/>
      <c r="H325" s="16"/>
      <c r="I325" s="16"/>
      <c r="J325" s="16"/>
      <c r="K325" s="86"/>
      <c r="L325" s="16"/>
      <c r="M325" s="15"/>
      <c r="N325" s="15"/>
      <c r="O325" s="20"/>
      <c r="P325" s="15"/>
      <c r="Q325" s="20"/>
      <c r="R325" s="15"/>
      <c r="S325" s="15"/>
      <c r="T325" s="15"/>
      <c r="U325" s="15"/>
      <c r="V325" s="17"/>
      <c r="W325" s="17"/>
      <c r="X325" s="16"/>
      <c r="Y325" s="20"/>
      <c r="Z325" s="15"/>
      <c r="AA325" s="22"/>
      <c r="AB325" s="90"/>
      <c r="AC325" s="22"/>
      <c r="AD325" s="25"/>
      <c r="AE325" s="25" t="str">
        <f t="shared" si="58"/>
        <v/>
      </c>
      <c r="AF325" s="17" t="str">
        <f t="shared" ca="1" si="59"/>
        <v/>
      </c>
      <c r="AG325" s="17" t="str">
        <f t="shared" si="60"/>
        <v/>
      </c>
      <c r="AH325" s="17" t="str">
        <f t="shared" si="61"/>
        <v/>
      </c>
      <c r="AI325" s="17" t="str">
        <f t="shared" ca="1" si="62"/>
        <v/>
      </c>
      <c r="AJ325" s="17" t="str">
        <f t="shared" ca="1" si="49"/>
        <v/>
      </c>
      <c r="AK325" s="17" t="str">
        <f t="shared" si="50"/>
        <v/>
      </c>
      <c r="AL325" s="17" t="str">
        <f t="shared" si="51"/>
        <v/>
      </c>
      <c r="AM325" s="17" t="str">
        <f t="shared" si="52"/>
        <v/>
      </c>
      <c r="AN325" s="17">
        <f t="shared" si="53"/>
        <v>0</v>
      </c>
      <c r="AO325" s="17" t="str">
        <f t="shared" ca="1" si="54"/>
        <v/>
      </c>
      <c r="AP325" s="17" t="str">
        <f t="shared" ca="1" si="55"/>
        <v/>
      </c>
      <c r="AQ325" s="17" t="str">
        <f t="shared" si="56"/>
        <v/>
      </c>
      <c r="AR325" s="17" t="str">
        <f t="shared" ca="1" si="57"/>
        <v/>
      </c>
      <c r="AS325" s="18"/>
      <c r="AT325" s="24">
        <f t="shared" si="43"/>
        <v>0</v>
      </c>
      <c r="AU325" s="24">
        <f t="shared" si="44"/>
        <v>0</v>
      </c>
      <c r="AV325" s="24">
        <f t="shared" si="45"/>
        <v>0</v>
      </c>
      <c r="AW325" s="24">
        <f t="shared" si="46"/>
        <v>0</v>
      </c>
      <c r="AX325" s="24">
        <f t="shared" si="47"/>
        <v>0</v>
      </c>
      <c r="AY325" s="24">
        <f t="shared" si="48"/>
        <v>0</v>
      </c>
      <c r="AZ325" s="18"/>
    </row>
    <row r="326" spans="1:52" x14ac:dyDescent="0.25">
      <c r="A326" s="16"/>
      <c r="B326" s="16"/>
      <c r="C326" s="65"/>
      <c r="D326" s="15"/>
      <c r="E326" s="15"/>
      <c r="F326" s="15"/>
      <c r="G326" s="16"/>
      <c r="H326" s="16"/>
      <c r="I326" s="16"/>
      <c r="J326" s="16"/>
      <c r="K326" s="86"/>
      <c r="L326" s="16"/>
      <c r="M326" s="15"/>
      <c r="N326" s="15"/>
      <c r="O326" s="20"/>
      <c r="P326" s="15"/>
      <c r="Q326" s="20"/>
      <c r="R326" s="15"/>
      <c r="S326" s="15"/>
      <c r="T326" s="15"/>
      <c r="U326" s="15"/>
      <c r="V326" s="17"/>
      <c r="W326" s="17"/>
      <c r="X326" s="16"/>
      <c r="Y326" s="20"/>
      <c r="Z326" s="15"/>
      <c r="AA326" s="22"/>
      <c r="AB326" s="90"/>
      <c r="AC326" s="22"/>
      <c r="AD326" s="25"/>
      <c r="AE326" s="25" t="str">
        <f t="shared" si="58"/>
        <v/>
      </c>
      <c r="AF326" s="17" t="str">
        <f t="shared" ca="1" si="59"/>
        <v/>
      </c>
      <c r="AG326" s="17" t="str">
        <f t="shared" si="60"/>
        <v/>
      </c>
      <c r="AH326" s="17" t="str">
        <f t="shared" si="61"/>
        <v/>
      </c>
      <c r="AI326" s="17" t="str">
        <f t="shared" ca="1" si="62"/>
        <v/>
      </c>
      <c r="AJ326" s="17" t="str">
        <f t="shared" ca="1" si="49"/>
        <v/>
      </c>
      <c r="AK326" s="17" t="str">
        <f t="shared" si="50"/>
        <v/>
      </c>
      <c r="AL326" s="17" t="str">
        <f t="shared" si="51"/>
        <v/>
      </c>
      <c r="AM326" s="17" t="str">
        <f t="shared" si="52"/>
        <v/>
      </c>
      <c r="AN326" s="17">
        <f t="shared" si="53"/>
        <v>0</v>
      </c>
      <c r="AO326" s="17" t="str">
        <f t="shared" ca="1" si="54"/>
        <v/>
      </c>
      <c r="AP326" s="17" t="str">
        <f t="shared" ca="1" si="55"/>
        <v/>
      </c>
      <c r="AQ326" s="17" t="str">
        <f t="shared" si="56"/>
        <v/>
      </c>
      <c r="AR326" s="17" t="str">
        <f t="shared" ca="1" si="57"/>
        <v/>
      </c>
      <c r="AS326" s="18"/>
      <c r="AT326" s="24">
        <f t="shared" si="43"/>
        <v>0</v>
      </c>
      <c r="AU326" s="24">
        <f t="shared" si="44"/>
        <v>0</v>
      </c>
      <c r="AV326" s="24">
        <f t="shared" si="45"/>
        <v>0</v>
      </c>
      <c r="AW326" s="24">
        <f t="shared" si="46"/>
        <v>0</v>
      </c>
      <c r="AX326" s="24">
        <f t="shared" si="47"/>
        <v>0</v>
      </c>
      <c r="AY326" s="24">
        <f t="shared" si="48"/>
        <v>0</v>
      </c>
      <c r="AZ326" s="18"/>
    </row>
    <row r="327" spans="1:52" x14ac:dyDescent="0.25">
      <c r="A327" s="16"/>
      <c r="B327" s="16"/>
      <c r="C327" s="65"/>
      <c r="D327" s="15"/>
      <c r="E327" s="15"/>
      <c r="F327" s="15"/>
      <c r="G327" s="16"/>
      <c r="H327" s="16"/>
      <c r="I327" s="16"/>
      <c r="J327" s="16"/>
      <c r="K327" s="86"/>
      <c r="L327" s="16"/>
      <c r="M327" s="15"/>
      <c r="N327" s="15"/>
      <c r="O327" s="20"/>
      <c r="P327" s="15"/>
      <c r="Q327" s="20"/>
      <c r="R327" s="15"/>
      <c r="S327" s="15"/>
      <c r="T327" s="15"/>
      <c r="U327" s="15"/>
      <c r="V327" s="17"/>
      <c r="W327" s="17"/>
      <c r="X327" s="16"/>
      <c r="Y327" s="20"/>
      <c r="Z327" s="15"/>
      <c r="AA327" s="22"/>
      <c r="AB327" s="90"/>
      <c r="AC327" s="22"/>
      <c r="AD327" s="25"/>
      <c r="AE327" s="25" t="str">
        <f t="shared" si="58"/>
        <v/>
      </c>
      <c r="AF327" s="17" t="str">
        <f t="shared" ca="1" si="59"/>
        <v/>
      </c>
      <c r="AG327" s="17" t="str">
        <f t="shared" si="60"/>
        <v/>
      </c>
      <c r="AH327" s="17" t="str">
        <f t="shared" si="61"/>
        <v/>
      </c>
      <c r="AI327" s="17" t="str">
        <f t="shared" ca="1" si="62"/>
        <v/>
      </c>
      <c r="AJ327" s="17" t="str">
        <f t="shared" ca="1" si="49"/>
        <v/>
      </c>
      <c r="AK327" s="17" t="str">
        <f t="shared" si="50"/>
        <v/>
      </c>
      <c r="AL327" s="17" t="str">
        <f t="shared" si="51"/>
        <v/>
      </c>
      <c r="AM327" s="17" t="str">
        <f t="shared" si="52"/>
        <v/>
      </c>
      <c r="AN327" s="17">
        <f t="shared" si="53"/>
        <v>0</v>
      </c>
      <c r="AO327" s="17" t="str">
        <f t="shared" ca="1" si="54"/>
        <v/>
      </c>
      <c r="AP327" s="17" t="str">
        <f t="shared" ca="1" si="55"/>
        <v/>
      </c>
      <c r="AQ327" s="17" t="str">
        <f t="shared" si="56"/>
        <v/>
      </c>
      <c r="AR327" s="17" t="str">
        <f t="shared" ca="1" si="57"/>
        <v/>
      </c>
      <c r="AS327" s="18"/>
      <c r="AT327" s="24">
        <f t="shared" si="43"/>
        <v>0</v>
      </c>
      <c r="AU327" s="24">
        <f t="shared" si="44"/>
        <v>0</v>
      </c>
      <c r="AV327" s="24">
        <f t="shared" si="45"/>
        <v>0</v>
      </c>
      <c r="AW327" s="24">
        <f t="shared" si="46"/>
        <v>0</v>
      </c>
      <c r="AX327" s="24">
        <f t="shared" si="47"/>
        <v>0</v>
      </c>
      <c r="AY327" s="24">
        <f t="shared" si="48"/>
        <v>0</v>
      </c>
      <c r="AZ327" s="18"/>
    </row>
    <row r="328" spans="1:52" x14ac:dyDescent="0.25">
      <c r="A328" s="16"/>
      <c r="B328" s="16"/>
      <c r="C328" s="65"/>
      <c r="D328" s="15"/>
      <c r="E328" s="15"/>
      <c r="F328" s="15"/>
      <c r="G328" s="16"/>
      <c r="H328" s="16"/>
      <c r="I328" s="16"/>
      <c r="J328" s="16"/>
      <c r="K328" s="86"/>
      <c r="L328" s="16"/>
      <c r="M328" s="15"/>
      <c r="N328" s="15"/>
      <c r="O328" s="20"/>
      <c r="P328" s="15"/>
      <c r="Q328" s="20"/>
      <c r="R328" s="15"/>
      <c r="S328" s="15"/>
      <c r="T328" s="15"/>
      <c r="U328" s="15"/>
      <c r="V328" s="17"/>
      <c r="W328" s="17"/>
      <c r="X328" s="16"/>
      <c r="Y328" s="20"/>
      <c r="Z328" s="15"/>
      <c r="AA328" s="22"/>
      <c r="AB328" s="90"/>
      <c r="AC328" s="22"/>
      <c r="AD328" s="25"/>
      <c r="AE328" s="25" t="str">
        <f t="shared" si="58"/>
        <v/>
      </c>
      <c r="AF328" s="17" t="str">
        <f t="shared" ca="1" si="59"/>
        <v/>
      </c>
      <c r="AG328" s="17" t="str">
        <f t="shared" si="60"/>
        <v/>
      </c>
      <c r="AH328" s="17" t="str">
        <f t="shared" si="61"/>
        <v/>
      </c>
      <c r="AI328" s="17" t="str">
        <f t="shared" ca="1" si="62"/>
        <v/>
      </c>
      <c r="AJ328" s="17" t="str">
        <f t="shared" ca="1" si="49"/>
        <v/>
      </c>
      <c r="AK328" s="17" t="str">
        <f t="shared" si="50"/>
        <v/>
      </c>
      <c r="AL328" s="17" t="str">
        <f t="shared" si="51"/>
        <v/>
      </c>
      <c r="AM328" s="17" t="str">
        <f t="shared" si="52"/>
        <v/>
      </c>
      <c r="AN328" s="17">
        <f t="shared" si="53"/>
        <v>0</v>
      </c>
      <c r="AO328" s="17" t="str">
        <f t="shared" ca="1" si="54"/>
        <v/>
      </c>
      <c r="AP328" s="17" t="str">
        <f t="shared" ca="1" si="55"/>
        <v/>
      </c>
      <c r="AQ328" s="17" t="str">
        <f t="shared" si="56"/>
        <v/>
      </c>
      <c r="AR328" s="17" t="str">
        <f t="shared" ca="1" si="57"/>
        <v/>
      </c>
      <c r="AS328" s="18"/>
      <c r="AT328" s="24">
        <f t="shared" ref="AT328:AT391" si="63">IF(AND(L328="DONE",AC328&gt;0,AQ328="WITHIN SLA"),1,0)</f>
        <v>0</v>
      </c>
      <c r="AU328" s="24">
        <f t="shared" ref="AU328:AU391" si="64">IF(AND(L328="DONE",AC328&gt;0,AQ328="EXCEEDED SLA"),1,0)</f>
        <v>0</v>
      </c>
      <c r="AV328" s="24">
        <f t="shared" ref="AV328:AV391" si="65">IF(AND(L328="PENDING",M328="AWAITING FROM CSMP"),1,0)</f>
        <v>0</v>
      </c>
      <c r="AW328" s="24">
        <f t="shared" ref="AW328:AW391" si="66">IF(AND(L328="PENDING",M328="WATO ON-HAND",O328&gt;0,W328="WATO",AA328=0),1,0)</f>
        <v>0</v>
      </c>
      <c r="AX328" s="24">
        <f t="shared" ref="AX328:AX391" si="67">IF(AND(L328="PENDING",M328="SUBMITTED TO WFM",O328&gt;0,W328="WFM",AA328=0),1,0)</f>
        <v>0</v>
      </c>
      <c r="AY328" s="24">
        <f t="shared" ref="AY328:AY391" si="68">IF(AND(L328="PENDING",AA328&gt;0),1,0)</f>
        <v>0</v>
      </c>
      <c r="AZ328" s="18"/>
    </row>
    <row r="329" spans="1:52" x14ac:dyDescent="0.25">
      <c r="A329" s="16"/>
      <c r="B329" s="16"/>
      <c r="C329" s="65"/>
      <c r="D329" s="15"/>
      <c r="E329" s="15"/>
      <c r="F329" s="15"/>
      <c r="G329" s="16"/>
      <c r="H329" s="16"/>
      <c r="I329" s="16"/>
      <c r="J329" s="16"/>
      <c r="K329" s="86"/>
      <c r="L329" s="16"/>
      <c r="M329" s="15"/>
      <c r="N329" s="15"/>
      <c r="O329" s="20"/>
      <c r="P329" s="15"/>
      <c r="Q329" s="20"/>
      <c r="R329" s="15"/>
      <c r="S329" s="15"/>
      <c r="T329" s="15"/>
      <c r="U329" s="15"/>
      <c r="V329" s="17"/>
      <c r="W329" s="17"/>
      <c r="X329" s="16"/>
      <c r="Y329" s="20"/>
      <c r="Z329" s="15"/>
      <c r="AA329" s="22"/>
      <c r="AB329" s="90"/>
      <c r="AC329" s="22"/>
      <c r="AD329" s="25"/>
      <c r="AE329" s="25" t="str">
        <f t="shared" si="58"/>
        <v/>
      </c>
      <c r="AF329" s="17" t="str">
        <f t="shared" ca="1" si="59"/>
        <v/>
      </c>
      <c r="AG329" s="17" t="str">
        <f t="shared" si="60"/>
        <v/>
      </c>
      <c r="AH329" s="17" t="str">
        <f t="shared" si="61"/>
        <v/>
      </c>
      <c r="AI329" s="17" t="str">
        <f t="shared" ca="1" si="62"/>
        <v/>
      </c>
      <c r="AJ329" s="17" t="str">
        <f t="shared" ca="1" si="49"/>
        <v/>
      </c>
      <c r="AK329" s="17" t="str">
        <f t="shared" si="50"/>
        <v/>
      </c>
      <c r="AL329" s="17" t="str">
        <f t="shared" si="51"/>
        <v/>
      </c>
      <c r="AM329" s="17" t="str">
        <f t="shared" si="52"/>
        <v/>
      </c>
      <c r="AN329" s="17">
        <f t="shared" si="53"/>
        <v>0</v>
      </c>
      <c r="AO329" s="17" t="str">
        <f t="shared" ca="1" si="54"/>
        <v/>
      </c>
      <c r="AP329" s="17" t="str">
        <f t="shared" ca="1" si="55"/>
        <v/>
      </c>
      <c r="AQ329" s="17" t="str">
        <f t="shared" si="56"/>
        <v/>
      </c>
      <c r="AR329" s="17" t="str">
        <f t="shared" ca="1" si="57"/>
        <v/>
      </c>
      <c r="AS329" s="18"/>
      <c r="AT329" s="24">
        <f t="shared" si="63"/>
        <v>0</v>
      </c>
      <c r="AU329" s="24">
        <f t="shared" si="64"/>
        <v>0</v>
      </c>
      <c r="AV329" s="24">
        <f t="shared" si="65"/>
        <v>0</v>
      </c>
      <c r="AW329" s="24">
        <f t="shared" si="66"/>
        <v>0</v>
      </c>
      <c r="AX329" s="24">
        <f t="shared" si="67"/>
        <v>0</v>
      </c>
      <c r="AY329" s="24">
        <f t="shared" si="68"/>
        <v>0</v>
      </c>
      <c r="AZ329" s="18"/>
    </row>
    <row r="330" spans="1:52" x14ac:dyDescent="0.25">
      <c r="A330" s="16"/>
      <c r="B330" s="16"/>
      <c r="C330" s="65"/>
      <c r="D330" s="15"/>
      <c r="E330" s="15"/>
      <c r="F330" s="15"/>
      <c r="G330" s="16"/>
      <c r="H330" s="16"/>
      <c r="I330" s="16"/>
      <c r="J330" s="16"/>
      <c r="K330" s="86"/>
      <c r="L330" s="16"/>
      <c r="M330" s="15"/>
      <c r="N330" s="15"/>
      <c r="O330" s="20"/>
      <c r="P330" s="15"/>
      <c r="Q330" s="20"/>
      <c r="R330" s="15"/>
      <c r="S330" s="15"/>
      <c r="T330" s="15"/>
      <c r="U330" s="15"/>
      <c r="V330" s="17"/>
      <c r="W330" s="17"/>
      <c r="X330" s="16"/>
      <c r="Y330" s="20"/>
      <c r="Z330" s="15"/>
      <c r="AA330" s="22"/>
      <c r="AB330" s="90"/>
      <c r="AC330" s="22"/>
      <c r="AD330" s="25"/>
      <c r="AE330" s="25" t="str">
        <f t="shared" si="58"/>
        <v/>
      </c>
      <c r="AF330" s="17" t="str">
        <f t="shared" ca="1" si="59"/>
        <v/>
      </c>
      <c r="AG330" s="17" t="str">
        <f t="shared" si="60"/>
        <v/>
      </c>
      <c r="AH330" s="17" t="str">
        <f t="shared" si="61"/>
        <v/>
      </c>
      <c r="AI330" s="17" t="str">
        <f t="shared" ca="1" si="62"/>
        <v/>
      </c>
      <c r="AJ330" s="17" t="str">
        <f t="shared" ca="1" si="49"/>
        <v/>
      </c>
      <c r="AK330" s="17" t="str">
        <f t="shared" si="50"/>
        <v/>
      </c>
      <c r="AL330" s="17" t="str">
        <f t="shared" si="51"/>
        <v/>
      </c>
      <c r="AM330" s="17" t="str">
        <f t="shared" si="52"/>
        <v/>
      </c>
      <c r="AN330" s="17">
        <f t="shared" si="53"/>
        <v>0</v>
      </c>
      <c r="AO330" s="17" t="str">
        <f t="shared" ca="1" si="54"/>
        <v/>
      </c>
      <c r="AP330" s="17" t="str">
        <f t="shared" ca="1" si="55"/>
        <v/>
      </c>
      <c r="AQ330" s="17" t="str">
        <f t="shared" si="56"/>
        <v/>
      </c>
      <c r="AR330" s="17" t="str">
        <f t="shared" ca="1" si="57"/>
        <v/>
      </c>
      <c r="AS330" s="18"/>
      <c r="AT330" s="24">
        <f t="shared" si="63"/>
        <v>0</v>
      </c>
      <c r="AU330" s="24">
        <f t="shared" si="64"/>
        <v>0</v>
      </c>
      <c r="AV330" s="24">
        <f t="shared" si="65"/>
        <v>0</v>
      </c>
      <c r="AW330" s="24">
        <f t="shared" si="66"/>
        <v>0</v>
      </c>
      <c r="AX330" s="24">
        <f t="shared" si="67"/>
        <v>0</v>
      </c>
      <c r="AY330" s="24">
        <f t="shared" si="68"/>
        <v>0</v>
      </c>
      <c r="AZ330" s="18"/>
    </row>
    <row r="331" spans="1:52" x14ac:dyDescent="0.25">
      <c r="A331" s="16"/>
      <c r="B331" s="16"/>
      <c r="C331" s="65"/>
      <c r="D331" s="15"/>
      <c r="E331" s="15"/>
      <c r="F331" s="15"/>
      <c r="G331" s="16"/>
      <c r="H331" s="16"/>
      <c r="I331" s="16"/>
      <c r="J331" s="16"/>
      <c r="K331" s="86"/>
      <c r="L331" s="16"/>
      <c r="M331" s="15"/>
      <c r="N331" s="15"/>
      <c r="O331" s="20"/>
      <c r="P331" s="15"/>
      <c r="Q331" s="20"/>
      <c r="R331" s="15"/>
      <c r="S331" s="15"/>
      <c r="T331" s="15"/>
      <c r="U331" s="15"/>
      <c r="V331" s="17"/>
      <c r="W331" s="17"/>
      <c r="X331" s="16"/>
      <c r="Y331" s="20"/>
      <c r="Z331" s="15"/>
      <c r="AA331" s="22"/>
      <c r="AB331" s="90"/>
      <c r="AC331" s="22"/>
      <c r="AD331" s="25"/>
      <c r="AE331" s="25" t="str">
        <f t="shared" si="58"/>
        <v/>
      </c>
      <c r="AF331" s="17" t="str">
        <f t="shared" ca="1" si="59"/>
        <v/>
      </c>
      <c r="AG331" s="17" t="str">
        <f t="shared" si="60"/>
        <v/>
      </c>
      <c r="AH331" s="17" t="str">
        <f t="shared" si="61"/>
        <v/>
      </c>
      <c r="AI331" s="17" t="str">
        <f t="shared" ca="1" si="62"/>
        <v/>
      </c>
      <c r="AJ331" s="17" t="str">
        <f t="shared" ca="1" si="49"/>
        <v/>
      </c>
      <c r="AK331" s="17" t="str">
        <f t="shared" si="50"/>
        <v/>
      </c>
      <c r="AL331" s="17" t="str">
        <f t="shared" si="51"/>
        <v/>
      </c>
      <c r="AM331" s="17" t="str">
        <f t="shared" si="52"/>
        <v/>
      </c>
      <c r="AN331" s="17">
        <f t="shared" si="53"/>
        <v>0</v>
      </c>
      <c r="AO331" s="17" t="str">
        <f t="shared" ca="1" si="54"/>
        <v/>
      </c>
      <c r="AP331" s="17" t="str">
        <f t="shared" ca="1" si="55"/>
        <v/>
      </c>
      <c r="AQ331" s="17" t="str">
        <f t="shared" si="56"/>
        <v/>
      </c>
      <c r="AR331" s="17" t="str">
        <f t="shared" ca="1" si="57"/>
        <v/>
      </c>
      <c r="AS331" s="18"/>
      <c r="AT331" s="24">
        <f t="shared" si="63"/>
        <v>0</v>
      </c>
      <c r="AU331" s="24">
        <f t="shared" si="64"/>
        <v>0</v>
      </c>
      <c r="AV331" s="24">
        <f t="shared" si="65"/>
        <v>0</v>
      </c>
      <c r="AW331" s="24">
        <f t="shared" si="66"/>
        <v>0</v>
      </c>
      <c r="AX331" s="24">
        <f t="shared" si="67"/>
        <v>0</v>
      </c>
      <c r="AY331" s="24">
        <f t="shared" si="68"/>
        <v>0</v>
      </c>
      <c r="AZ331" s="18"/>
    </row>
    <row r="332" spans="1:52" x14ac:dyDescent="0.25">
      <c r="A332" s="16"/>
      <c r="B332" s="16"/>
      <c r="C332" s="65"/>
      <c r="D332" s="15"/>
      <c r="E332" s="15"/>
      <c r="F332" s="15"/>
      <c r="G332" s="16"/>
      <c r="H332" s="16"/>
      <c r="I332" s="16"/>
      <c r="J332" s="16"/>
      <c r="K332" s="86"/>
      <c r="L332" s="16"/>
      <c r="M332" s="15"/>
      <c r="N332" s="15"/>
      <c r="O332" s="20"/>
      <c r="P332" s="15"/>
      <c r="Q332" s="20"/>
      <c r="R332" s="15"/>
      <c r="S332" s="15"/>
      <c r="T332" s="15"/>
      <c r="U332" s="15"/>
      <c r="V332" s="17"/>
      <c r="W332" s="17"/>
      <c r="X332" s="16"/>
      <c r="Y332" s="20"/>
      <c r="Z332" s="15"/>
      <c r="AA332" s="22"/>
      <c r="AB332" s="90"/>
      <c r="AC332" s="22"/>
      <c r="AD332" s="25"/>
      <c r="AE332" s="25" t="str">
        <f t="shared" si="58"/>
        <v/>
      </c>
      <c r="AF332" s="17" t="str">
        <f t="shared" ca="1" si="59"/>
        <v/>
      </c>
      <c r="AG332" s="17" t="str">
        <f t="shared" si="60"/>
        <v/>
      </c>
      <c r="AH332" s="17" t="str">
        <f t="shared" si="61"/>
        <v/>
      </c>
      <c r="AI332" s="17" t="str">
        <f t="shared" ca="1" si="62"/>
        <v/>
      </c>
      <c r="AJ332" s="17" t="str">
        <f t="shared" ca="1" si="49"/>
        <v/>
      </c>
      <c r="AK332" s="17" t="str">
        <f t="shared" si="50"/>
        <v/>
      </c>
      <c r="AL332" s="17" t="str">
        <f t="shared" si="51"/>
        <v/>
      </c>
      <c r="AM332" s="17" t="str">
        <f t="shared" si="52"/>
        <v/>
      </c>
      <c r="AN332" s="17">
        <f t="shared" si="53"/>
        <v>0</v>
      </c>
      <c r="AO332" s="17" t="str">
        <f t="shared" ca="1" si="54"/>
        <v/>
      </c>
      <c r="AP332" s="17" t="str">
        <f t="shared" ca="1" si="55"/>
        <v/>
      </c>
      <c r="AQ332" s="17" t="str">
        <f t="shared" si="56"/>
        <v/>
      </c>
      <c r="AR332" s="17" t="str">
        <f t="shared" ca="1" si="57"/>
        <v/>
      </c>
      <c r="AS332" s="18"/>
      <c r="AT332" s="24">
        <f t="shared" si="63"/>
        <v>0</v>
      </c>
      <c r="AU332" s="24">
        <f t="shared" si="64"/>
        <v>0</v>
      </c>
      <c r="AV332" s="24">
        <f t="shared" si="65"/>
        <v>0</v>
      </c>
      <c r="AW332" s="24">
        <f t="shared" si="66"/>
        <v>0</v>
      </c>
      <c r="AX332" s="24">
        <f t="shared" si="67"/>
        <v>0</v>
      </c>
      <c r="AY332" s="24">
        <f t="shared" si="68"/>
        <v>0</v>
      </c>
      <c r="AZ332" s="18"/>
    </row>
    <row r="333" spans="1:52" x14ac:dyDescent="0.25">
      <c r="A333" s="16"/>
      <c r="B333" s="16"/>
      <c r="C333" s="65"/>
      <c r="D333" s="15"/>
      <c r="E333" s="15"/>
      <c r="F333" s="15"/>
      <c r="G333" s="16"/>
      <c r="H333" s="16"/>
      <c r="I333" s="16"/>
      <c r="J333" s="16"/>
      <c r="K333" s="86"/>
      <c r="L333" s="16"/>
      <c r="M333" s="15"/>
      <c r="N333" s="15"/>
      <c r="O333" s="20"/>
      <c r="P333" s="15"/>
      <c r="Q333" s="20"/>
      <c r="R333" s="15"/>
      <c r="S333" s="15"/>
      <c r="T333" s="15"/>
      <c r="U333" s="15"/>
      <c r="V333" s="17"/>
      <c r="W333" s="17"/>
      <c r="X333" s="16"/>
      <c r="Y333" s="20"/>
      <c r="Z333" s="15"/>
      <c r="AA333" s="22"/>
      <c r="AB333" s="90"/>
      <c r="AC333" s="22"/>
      <c r="AD333" s="25"/>
      <c r="AE333" s="25" t="str">
        <f t="shared" si="58"/>
        <v/>
      </c>
      <c r="AF333" s="17" t="str">
        <f t="shared" ca="1" si="59"/>
        <v/>
      </c>
      <c r="AG333" s="17" t="str">
        <f t="shared" si="60"/>
        <v/>
      </c>
      <c r="AH333" s="17" t="str">
        <f t="shared" si="61"/>
        <v/>
      </c>
      <c r="AI333" s="17" t="str">
        <f t="shared" ca="1" si="62"/>
        <v/>
      </c>
      <c r="AJ333" s="17" t="str">
        <f t="shared" ca="1" si="49"/>
        <v/>
      </c>
      <c r="AK333" s="17" t="str">
        <f t="shared" si="50"/>
        <v/>
      </c>
      <c r="AL333" s="17" t="str">
        <f t="shared" si="51"/>
        <v/>
      </c>
      <c r="AM333" s="17" t="str">
        <f t="shared" si="52"/>
        <v/>
      </c>
      <c r="AN333" s="17">
        <f t="shared" si="53"/>
        <v>0</v>
      </c>
      <c r="AO333" s="17" t="str">
        <f t="shared" ca="1" si="54"/>
        <v/>
      </c>
      <c r="AP333" s="17" t="str">
        <f t="shared" ca="1" si="55"/>
        <v/>
      </c>
      <c r="AQ333" s="17" t="str">
        <f t="shared" si="56"/>
        <v/>
      </c>
      <c r="AR333" s="17" t="str">
        <f t="shared" ca="1" si="57"/>
        <v/>
      </c>
      <c r="AS333" s="18"/>
      <c r="AT333" s="24">
        <f t="shared" si="63"/>
        <v>0</v>
      </c>
      <c r="AU333" s="24">
        <f t="shared" si="64"/>
        <v>0</v>
      </c>
      <c r="AV333" s="24">
        <f t="shared" si="65"/>
        <v>0</v>
      </c>
      <c r="AW333" s="24">
        <f t="shared" si="66"/>
        <v>0</v>
      </c>
      <c r="AX333" s="24">
        <f t="shared" si="67"/>
        <v>0</v>
      </c>
      <c r="AY333" s="24">
        <f t="shared" si="68"/>
        <v>0</v>
      </c>
      <c r="AZ333" s="18"/>
    </row>
    <row r="334" spans="1:52" x14ac:dyDescent="0.25">
      <c r="A334" s="16"/>
      <c r="B334" s="16"/>
      <c r="C334" s="65"/>
      <c r="D334" s="15"/>
      <c r="E334" s="15"/>
      <c r="F334" s="15"/>
      <c r="G334" s="16"/>
      <c r="H334" s="16"/>
      <c r="I334" s="16"/>
      <c r="J334" s="16"/>
      <c r="K334" s="86"/>
      <c r="L334" s="16"/>
      <c r="M334" s="15"/>
      <c r="N334" s="15"/>
      <c r="O334" s="20"/>
      <c r="P334" s="15"/>
      <c r="Q334" s="20"/>
      <c r="R334" s="15"/>
      <c r="S334" s="15"/>
      <c r="T334" s="15"/>
      <c r="U334" s="15"/>
      <c r="V334" s="17"/>
      <c r="W334" s="17"/>
      <c r="X334" s="16"/>
      <c r="Y334" s="20"/>
      <c r="Z334" s="15"/>
      <c r="AA334" s="22"/>
      <c r="AB334" s="90"/>
      <c r="AC334" s="22"/>
      <c r="AD334" s="25"/>
      <c r="AE334" s="25" t="str">
        <f t="shared" si="58"/>
        <v/>
      </c>
      <c r="AF334" s="17" t="str">
        <f t="shared" ca="1" si="59"/>
        <v/>
      </c>
      <c r="AG334" s="17" t="str">
        <f t="shared" si="60"/>
        <v/>
      </c>
      <c r="AH334" s="17" t="str">
        <f t="shared" si="61"/>
        <v/>
      </c>
      <c r="AI334" s="17" t="str">
        <f t="shared" ca="1" si="62"/>
        <v/>
      </c>
      <c r="AJ334" s="17" t="str">
        <f t="shared" ca="1" si="49"/>
        <v/>
      </c>
      <c r="AK334" s="17" t="str">
        <f t="shared" si="50"/>
        <v/>
      </c>
      <c r="AL334" s="17" t="str">
        <f t="shared" si="51"/>
        <v/>
      </c>
      <c r="AM334" s="17" t="str">
        <f t="shared" si="52"/>
        <v/>
      </c>
      <c r="AN334" s="17">
        <f t="shared" si="53"/>
        <v>0</v>
      </c>
      <c r="AO334" s="17" t="str">
        <f t="shared" ca="1" si="54"/>
        <v/>
      </c>
      <c r="AP334" s="17" t="str">
        <f t="shared" ca="1" si="55"/>
        <v/>
      </c>
      <c r="AQ334" s="17" t="str">
        <f t="shared" si="56"/>
        <v/>
      </c>
      <c r="AR334" s="17" t="str">
        <f t="shared" ca="1" si="57"/>
        <v/>
      </c>
      <c r="AS334" s="18"/>
      <c r="AT334" s="24">
        <f t="shared" si="63"/>
        <v>0</v>
      </c>
      <c r="AU334" s="24">
        <f t="shared" si="64"/>
        <v>0</v>
      </c>
      <c r="AV334" s="24">
        <f t="shared" si="65"/>
        <v>0</v>
      </c>
      <c r="AW334" s="24">
        <f t="shared" si="66"/>
        <v>0</v>
      </c>
      <c r="AX334" s="24">
        <f t="shared" si="67"/>
        <v>0</v>
      </c>
      <c r="AY334" s="24">
        <f t="shared" si="68"/>
        <v>0</v>
      </c>
      <c r="AZ334" s="18"/>
    </row>
    <row r="335" spans="1:52" x14ac:dyDescent="0.25">
      <c r="A335" s="16"/>
      <c r="B335" s="16"/>
      <c r="C335" s="65"/>
      <c r="D335" s="15"/>
      <c r="E335" s="15"/>
      <c r="F335" s="15"/>
      <c r="G335" s="16"/>
      <c r="H335" s="16"/>
      <c r="I335" s="16"/>
      <c r="J335" s="16"/>
      <c r="K335" s="86"/>
      <c r="L335" s="16"/>
      <c r="M335" s="15"/>
      <c r="N335" s="15"/>
      <c r="O335" s="20"/>
      <c r="P335" s="15"/>
      <c r="Q335" s="20"/>
      <c r="R335" s="15"/>
      <c r="S335" s="15"/>
      <c r="T335" s="15"/>
      <c r="U335" s="15"/>
      <c r="V335" s="17"/>
      <c r="W335" s="17"/>
      <c r="X335" s="16"/>
      <c r="Y335" s="20"/>
      <c r="Z335" s="15"/>
      <c r="AA335" s="22"/>
      <c r="AB335" s="90"/>
      <c r="AC335" s="22"/>
      <c r="AD335" s="25"/>
      <c r="AE335" s="25" t="str">
        <f t="shared" si="58"/>
        <v/>
      </c>
      <c r="AF335" s="17" t="str">
        <f t="shared" ca="1" si="59"/>
        <v/>
      </c>
      <c r="AG335" s="17" t="str">
        <f t="shared" si="60"/>
        <v/>
      </c>
      <c r="AH335" s="17" t="str">
        <f t="shared" si="61"/>
        <v/>
      </c>
      <c r="AI335" s="17" t="str">
        <f t="shared" ca="1" si="62"/>
        <v/>
      </c>
      <c r="AJ335" s="17" t="str">
        <f t="shared" ca="1" si="49"/>
        <v/>
      </c>
      <c r="AK335" s="17" t="str">
        <f t="shared" si="50"/>
        <v/>
      </c>
      <c r="AL335" s="17" t="str">
        <f t="shared" si="51"/>
        <v/>
      </c>
      <c r="AM335" s="17" t="str">
        <f t="shared" si="52"/>
        <v/>
      </c>
      <c r="AN335" s="17">
        <f t="shared" si="53"/>
        <v>0</v>
      </c>
      <c r="AO335" s="17" t="str">
        <f t="shared" ca="1" si="54"/>
        <v/>
      </c>
      <c r="AP335" s="17" t="str">
        <f t="shared" ca="1" si="55"/>
        <v/>
      </c>
      <c r="AQ335" s="17" t="str">
        <f t="shared" si="56"/>
        <v/>
      </c>
      <c r="AR335" s="17" t="str">
        <f t="shared" ca="1" si="57"/>
        <v/>
      </c>
      <c r="AS335" s="18"/>
      <c r="AT335" s="24">
        <f t="shared" si="63"/>
        <v>0</v>
      </c>
      <c r="AU335" s="24">
        <f t="shared" si="64"/>
        <v>0</v>
      </c>
      <c r="AV335" s="24">
        <f t="shared" si="65"/>
        <v>0</v>
      </c>
      <c r="AW335" s="24">
        <f t="shared" si="66"/>
        <v>0</v>
      </c>
      <c r="AX335" s="24">
        <f t="shared" si="67"/>
        <v>0</v>
      </c>
      <c r="AY335" s="24">
        <f t="shared" si="68"/>
        <v>0</v>
      </c>
      <c r="AZ335" s="18"/>
    </row>
    <row r="336" spans="1:52" x14ac:dyDescent="0.25">
      <c r="A336" s="16"/>
      <c r="B336" s="16"/>
      <c r="C336" s="65"/>
      <c r="D336" s="15"/>
      <c r="E336" s="15"/>
      <c r="F336" s="15"/>
      <c r="G336" s="16"/>
      <c r="H336" s="16"/>
      <c r="I336" s="16"/>
      <c r="J336" s="16"/>
      <c r="K336" s="86"/>
      <c r="L336" s="16"/>
      <c r="M336" s="15"/>
      <c r="N336" s="15"/>
      <c r="O336" s="20"/>
      <c r="P336" s="15"/>
      <c r="Q336" s="20"/>
      <c r="R336" s="15"/>
      <c r="S336" s="15"/>
      <c r="T336" s="15"/>
      <c r="U336" s="15"/>
      <c r="V336" s="17"/>
      <c r="W336" s="17"/>
      <c r="X336" s="16"/>
      <c r="Y336" s="20"/>
      <c r="Z336" s="15"/>
      <c r="AA336" s="22"/>
      <c r="AB336" s="90"/>
      <c r="AC336" s="22"/>
      <c r="AD336" s="25"/>
      <c r="AE336" s="25" t="str">
        <f t="shared" si="58"/>
        <v/>
      </c>
      <c r="AF336" s="17" t="str">
        <f t="shared" ca="1" si="59"/>
        <v/>
      </c>
      <c r="AG336" s="17" t="str">
        <f t="shared" si="60"/>
        <v/>
      </c>
      <c r="AH336" s="17" t="str">
        <f t="shared" si="61"/>
        <v/>
      </c>
      <c r="AI336" s="17" t="str">
        <f t="shared" ca="1" si="62"/>
        <v/>
      </c>
      <c r="AJ336" s="17" t="str">
        <f t="shared" ca="1" si="49"/>
        <v/>
      </c>
      <c r="AK336" s="17" t="str">
        <f t="shared" si="50"/>
        <v/>
      </c>
      <c r="AL336" s="17" t="str">
        <f t="shared" si="51"/>
        <v/>
      </c>
      <c r="AM336" s="17" t="str">
        <f t="shared" si="52"/>
        <v/>
      </c>
      <c r="AN336" s="17">
        <f t="shared" si="53"/>
        <v>0</v>
      </c>
      <c r="AO336" s="17" t="str">
        <f t="shared" ca="1" si="54"/>
        <v/>
      </c>
      <c r="AP336" s="17" t="str">
        <f t="shared" ca="1" si="55"/>
        <v/>
      </c>
      <c r="AQ336" s="17" t="str">
        <f t="shared" si="56"/>
        <v/>
      </c>
      <c r="AR336" s="17" t="str">
        <f t="shared" ca="1" si="57"/>
        <v/>
      </c>
      <c r="AS336" s="18"/>
      <c r="AT336" s="24">
        <f t="shared" si="63"/>
        <v>0</v>
      </c>
      <c r="AU336" s="24">
        <f t="shared" si="64"/>
        <v>0</v>
      </c>
      <c r="AV336" s="24">
        <f t="shared" si="65"/>
        <v>0</v>
      </c>
      <c r="AW336" s="24">
        <f t="shared" si="66"/>
        <v>0</v>
      </c>
      <c r="AX336" s="24">
        <f t="shared" si="67"/>
        <v>0</v>
      </c>
      <c r="AY336" s="24">
        <f t="shared" si="68"/>
        <v>0</v>
      </c>
      <c r="AZ336" s="18"/>
    </row>
    <row r="337" spans="1:52" x14ac:dyDescent="0.25">
      <c r="A337" s="16"/>
      <c r="B337" s="16"/>
      <c r="C337" s="65"/>
      <c r="D337" s="15"/>
      <c r="E337" s="15"/>
      <c r="F337" s="15"/>
      <c r="G337" s="16"/>
      <c r="H337" s="16"/>
      <c r="I337" s="16"/>
      <c r="J337" s="16"/>
      <c r="K337" s="86"/>
      <c r="L337" s="16"/>
      <c r="M337" s="15"/>
      <c r="N337" s="15"/>
      <c r="O337" s="20"/>
      <c r="P337" s="15"/>
      <c r="Q337" s="20"/>
      <c r="R337" s="15"/>
      <c r="S337" s="15"/>
      <c r="T337" s="15"/>
      <c r="U337" s="15"/>
      <c r="V337" s="17"/>
      <c r="W337" s="17"/>
      <c r="X337" s="16"/>
      <c r="Y337" s="20"/>
      <c r="Z337" s="15"/>
      <c r="AA337" s="22"/>
      <c r="AB337" s="90"/>
      <c r="AC337" s="22"/>
      <c r="AD337" s="25"/>
      <c r="AE337" s="25" t="str">
        <f t="shared" si="58"/>
        <v/>
      </c>
      <c r="AF337" s="17" t="str">
        <f t="shared" ca="1" si="59"/>
        <v/>
      </c>
      <c r="AG337" s="17" t="str">
        <f t="shared" si="60"/>
        <v/>
      </c>
      <c r="AH337" s="17" t="str">
        <f t="shared" si="61"/>
        <v/>
      </c>
      <c r="AI337" s="17" t="str">
        <f t="shared" ca="1" si="62"/>
        <v/>
      </c>
      <c r="AJ337" s="17" t="str">
        <f t="shared" ca="1" si="49"/>
        <v/>
      </c>
      <c r="AK337" s="17" t="str">
        <f t="shared" si="50"/>
        <v/>
      </c>
      <c r="AL337" s="17" t="str">
        <f t="shared" si="51"/>
        <v/>
      </c>
      <c r="AM337" s="17" t="str">
        <f t="shared" si="52"/>
        <v/>
      </c>
      <c r="AN337" s="17">
        <f t="shared" si="53"/>
        <v>0</v>
      </c>
      <c r="AO337" s="17" t="str">
        <f t="shared" ca="1" si="54"/>
        <v/>
      </c>
      <c r="AP337" s="17" t="str">
        <f t="shared" ca="1" si="55"/>
        <v/>
      </c>
      <c r="AQ337" s="17" t="str">
        <f t="shared" si="56"/>
        <v/>
      </c>
      <c r="AR337" s="17" t="str">
        <f t="shared" ca="1" si="57"/>
        <v/>
      </c>
      <c r="AS337" s="18"/>
      <c r="AT337" s="24">
        <f t="shared" si="63"/>
        <v>0</v>
      </c>
      <c r="AU337" s="24">
        <f t="shared" si="64"/>
        <v>0</v>
      </c>
      <c r="AV337" s="24">
        <f t="shared" si="65"/>
        <v>0</v>
      </c>
      <c r="AW337" s="24">
        <f t="shared" si="66"/>
        <v>0</v>
      </c>
      <c r="AX337" s="24">
        <f t="shared" si="67"/>
        <v>0</v>
      </c>
      <c r="AY337" s="24">
        <f t="shared" si="68"/>
        <v>0</v>
      </c>
      <c r="AZ337" s="18"/>
    </row>
    <row r="338" spans="1:52" x14ac:dyDescent="0.25">
      <c r="A338" s="16"/>
      <c r="B338" s="16"/>
      <c r="C338" s="65"/>
      <c r="D338" s="15"/>
      <c r="E338" s="15"/>
      <c r="F338" s="15"/>
      <c r="G338" s="16"/>
      <c r="H338" s="16"/>
      <c r="I338" s="16"/>
      <c r="J338" s="16"/>
      <c r="K338" s="86"/>
      <c r="L338" s="16"/>
      <c r="M338" s="15"/>
      <c r="N338" s="15"/>
      <c r="O338" s="20"/>
      <c r="P338" s="15"/>
      <c r="Q338" s="20"/>
      <c r="R338" s="15"/>
      <c r="S338" s="15"/>
      <c r="T338" s="15"/>
      <c r="U338" s="15"/>
      <c r="V338" s="17"/>
      <c r="W338" s="17"/>
      <c r="X338" s="16"/>
      <c r="Y338" s="20"/>
      <c r="Z338" s="15"/>
      <c r="AA338" s="22"/>
      <c r="AB338" s="90"/>
      <c r="AC338" s="22"/>
      <c r="AD338" s="25"/>
      <c r="AE338" s="25" t="str">
        <f t="shared" si="58"/>
        <v/>
      </c>
      <c r="AF338" s="17" t="str">
        <f t="shared" ca="1" si="59"/>
        <v/>
      </c>
      <c r="AG338" s="17" t="str">
        <f t="shared" si="60"/>
        <v/>
      </c>
      <c r="AH338" s="17" t="str">
        <f t="shared" si="61"/>
        <v/>
      </c>
      <c r="AI338" s="17" t="str">
        <f t="shared" ca="1" si="62"/>
        <v/>
      </c>
      <c r="AJ338" s="17" t="str">
        <f t="shared" ca="1" si="49"/>
        <v/>
      </c>
      <c r="AK338" s="17" t="str">
        <f t="shared" si="50"/>
        <v/>
      </c>
      <c r="AL338" s="17" t="str">
        <f t="shared" si="51"/>
        <v/>
      </c>
      <c r="AM338" s="17" t="str">
        <f t="shared" si="52"/>
        <v/>
      </c>
      <c r="AN338" s="17">
        <f t="shared" si="53"/>
        <v>0</v>
      </c>
      <c r="AO338" s="17" t="str">
        <f t="shared" ca="1" si="54"/>
        <v/>
      </c>
      <c r="AP338" s="17" t="str">
        <f t="shared" ca="1" si="55"/>
        <v/>
      </c>
      <c r="AQ338" s="17" t="str">
        <f t="shared" si="56"/>
        <v/>
      </c>
      <c r="AR338" s="17" t="str">
        <f t="shared" ca="1" si="57"/>
        <v/>
      </c>
      <c r="AS338" s="18"/>
      <c r="AT338" s="24">
        <f t="shared" si="63"/>
        <v>0</v>
      </c>
      <c r="AU338" s="24">
        <f t="shared" si="64"/>
        <v>0</v>
      </c>
      <c r="AV338" s="24">
        <f t="shared" si="65"/>
        <v>0</v>
      </c>
      <c r="AW338" s="24">
        <f t="shared" si="66"/>
        <v>0</v>
      </c>
      <c r="AX338" s="24">
        <f t="shared" si="67"/>
        <v>0</v>
      </c>
      <c r="AY338" s="24">
        <f t="shared" si="68"/>
        <v>0</v>
      </c>
      <c r="AZ338" s="18"/>
    </row>
    <row r="339" spans="1:52" x14ac:dyDescent="0.25">
      <c r="A339" s="16"/>
      <c r="B339" s="16"/>
      <c r="C339" s="65"/>
      <c r="D339" s="15"/>
      <c r="E339" s="15"/>
      <c r="F339" s="15"/>
      <c r="G339" s="16"/>
      <c r="H339" s="16"/>
      <c r="I339" s="16"/>
      <c r="J339" s="16"/>
      <c r="K339" s="86"/>
      <c r="L339" s="16"/>
      <c r="M339" s="15"/>
      <c r="N339" s="15"/>
      <c r="O339" s="20"/>
      <c r="P339" s="15"/>
      <c r="Q339" s="20"/>
      <c r="R339" s="15"/>
      <c r="S339" s="15"/>
      <c r="T339" s="15"/>
      <c r="U339" s="15"/>
      <c r="V339" s="17"/>
      <c r="W339" s="17"/>
      <c r="X339" s="16"/>
      <c r="Y339" s="20"/>
      <c r="Z339" s="15"/>
      <c r="AA339" s="22"/>
      <c r="AB339" s="90"/>
      <c r="AC339" s="22"/>
      <c r="AD339" s="25"/>
      <c r="AE339" s="25" t="str">
        <f t="shared" si="58"/>
        <v/>
      </c>
      <c r="AF339" s="17" t="str">
        <f t="shared" ca="1" si="59"/>
        <v/>
      </c>
      <c r="AG339" s="17" t="str">
        <f t="shared" si="60"/>
        <v/>
      </c>
      <c r="AH339" s="17" t="str">
        <f t="shared" si="61"/>
        <v/>
      </c>
      <c r="AI339" s="17" t="str">
        <f t="shared" ca="1" si="62"/>
        <v/>
      </c>
      <c r="AJ339" s="17" t="str">
        <f t="shared" ca="1" si="49"/>
        <v/>
      </c>
      <c r="AK339" s="17" t="str">
        <f t="shared" si="50"/>
        <v/>
      </c>
      <c r="AL339" s="17" t="str">
        <f t="shared" si="51"/>
        <v/>
      </c>
      <c r="AM339" s="17" t="str">
        <f t="shared" si="52"/>
        <v/>
      </c>
      <c r="AN339" s="17">
        <f t="shared" si="53"/>
        <v>0</v>
      </c>
      <c r="AO339" s="17" t="str">
        <f t="shared" ca="1" si="54"/>
        <v/>
      </c>
      <c r="AP339" s="17" t="str">
        <f t="shared" ca="1" si="55"/>
        <v/>
      </c>
      <c r="AQ339" s="17" t="str">
        <f t="shared" si="56"/>
        <v/>
      </c>
      <c r="AR339" s="17" t="str">
        <f t="shared" ca="1" si="57"/>
        <v/>
      </c>
      <c r="AS339" s="18"/>
      <c r="AT339" s="24">
        <f t="shared" si="63"/>
        <v>0</v>
      </c>
      <c r="AU339" s="24">
        <f t="shared" si="64"/>
        <v>0</v>
      </c>
      <c r="AV339" s="24">
        <f t="shared" si="65"/>
        <v>0</v>
      </c>
      <c r="AW339" s="24">
        <f t="shared" si="66"/>
        <v>0</v>
      </c>
      <c r="AX339" s="24">
        <f t="shared" si="67"/>
        <v>0</v>
      </c>
      <c r="AY339" s="24">
        <f t="shared" si="68"/>
        <v>0</v>
      </c>
      <c r="AZ339" s="18"/>
    </row>
    <row r="340" spans="1:52" x14ac:dyDescent="0.25">
      <c r="A340" s="16"/>
      <c r="B340" s="16"/>
      <c r="C340" s="65"/>
      <c r="D340" s="15"/>
      <c r="E340" s="15"/>
      <c r="F340" s="15"/>
      <c r="G340" s="16"/>
      <c r="H340" s="16"/>
      <c r="I340" s="16"/>
      <c r="J340" s="16"/>
      <c r="K340" s="86"/>
      <c r="L340" s="16"/>
      <c r="M340" s="15"/>
      <c r="N340" s="15"/>
      <c r="O340" s="20"/>
      <c r="P340" s="15"/>
      <c r="Q340" s="20"/>
      <c r="R340" s="15"/>
      <c r="S340" s="15"/>
      <c r="T340" s="15"/>
      <c r="U340" s="15"/>
      <c r="V340" s="17"/>
      <c r="W340" s="17"/>
      <c r="X340" s="16"/>
      <c r="Y340" s="20"/>
      <c r="Z340" s="15"/>
      <c r="AA340" s="22"/>
      <c r="AB340" s="90"/>
      <c r="AC340" s="22"/>
      <c r="AD340" s="25"/>
      <c r="AE340" s="25" t="str">
        <f t="shared" si="58"/>
        <v/>
      </c>
      <c r="AF340" s="17" t="str">
        <f t="shared" ca="1" si="59"/>
        <v/>
      </c>
      <c r="AG340" s="17" t="str">
        <f t="shared" si="60"/>
        <v/>
      </c>
      <c r="AH340" s="17" t="str">
        <f t="shared" si="61"/>
        <v/>
      </c>
      <c r="AI340" s="17" t="str">
        <f t="shared" ca="1" si="62"/>
        <v/>
      </c>
      <c r="AJ340" s="17" t="str">
        <f t="shared" ca="1" si="49"/>
        <v/>
      </c>
      <c r="AK340" s="17" t="str">
        <f t="shared" si="50"/>
        <v/>
      </c>
      <c r="AL340" s="17" t="str">
        <f t="shared" si="51"/>
        <v/>
      </c>
      <c r="AM340" s="17" t="str">
        <f t="shared" si="52"/>
        <v/>
      </c>
      <c r="AN340" s="17">
        <f t="shared" si="53"/>
        <v>0</v>
      </c>
      <c r="AO340" s="17" t="str">
        <f t="shared" ca="1" si="54"/>
        <v/>
      </c>
      <c r="AP340" s="17" t="str">
        <f t="shared" ca="1" si="55"/>
        <v/>
      </c>
      <c r="AQ340" s="17" t="str">
        <f t="shared" si="56"/>
        <v/>
      </c>
      <c r="AR340" s="17" t="str">
        <f t="shared" ca="1" si="57"/>
        <v/>
      </c>
      <c r="AS340" s="18"/>
      <c r="AT340" s="24">
        <f t="shared" si="63"/>
        <v>0</v>
      </c>
      <c r="AU340" s="24">
        <f t="shared" si="64"/>
        <v>0</v>
      </c>
      <c r="AV340" s="24">
        <f t="shared" si="65"/>
        <v>0</v>
      </c>
      <c r="AW340" s="24">
        <f t="shared" si="66"/>
        <v>0</v>
      </c>
      <c r="AX340" s="24">
        <f t="shared" si="67"/>
        <v>0</v>
      </c>
      <c r="AY340" s="24">
        <f t="shared" si="68"/>
        <v>0</v>
      </c>
      <c r="AZ340" s="18"/>
    </row>
    <row r="341" spans="1:52" x14ac:dyDescent="0.25">
      <c r="A341" s="16"/>
      <c r="B341" s="16"/>
      <c r="C341" s="65"/>
      <c r="D341" s="15"/>
      <c r="E341" s="15"/>
      <c r="F341" s="15"/>
      <c r="G341" s="16"/>
      <c r="H341" s="16"/>
      <c r="I341" s="16"/>
      <c r="J341" s="16"/>
      <c r="K341" s="86"/>
      <c r="L341" s="16"/>
      <c r="M341" s="15"/>
      <c r="N341" s="15"/>
      <c r="O341" s="20"/>
      <c r="P341" s="15"/>
      <c r="Q341" s="20"/>
      <c r="R341" s="15"/>
      <c r="S341" s="15"/>
      <c r="T341" s="15"/>
      <c r="U341" s="15"/>
      <c r="V341" s="17"/>
      <c r="W341" s="17"/>
      <c r="X341" s="16"/>
      <c r="Y341" s="20"/>
      <c r="Z341" s="15"/>
      <c r="AA341" s="22"/>
      <c r="AB341" s="90"/>
      <c r="AC341" s="22"/>
      <c r="AD341" s="25"/>
      <c r="AE341" s="25" t="str">
        <f t="shared" si="58"/>
        <v/>
      </c>
      <c r="AF341" s="17" t="str">
        <f t="shared" ca="1" si="59"/>
        <v/>
      </c>
      <c r="AG341" s="17" t="str">
        <f t="shared" si="60"/>
        <v/>
      </c>
      <c r="AH341" s="17" t="str">
        <f t="shared" si="61"/>
        <v/>
      </c>
      <c r="AI341" s="17" t="str">
        <f t="shared" ca="1" si="62"/>
        <v/>
      </c>
      <c r="AJ341" s="17" t="str">
        <f t="shared" ca="1" si="49"/>
        <v/>
      </c>
      <c r="AK341" s="17" t="str">
        <f t="shared" si="50"/>
        <v/>
      </c>
      <c r="AL341" s="17" t="str">
        <f t="shared" si="51"/>
        <v/>
      </c>
      <c r="AM341" s="17" t="str">
        <f t="shared" si="52"/>
        <v/>
      </c>
      <c r="AN341" s="17">
        <f t="shared" si="53"/>
        <v>0</v>
      </c>
      <c r="AO341" s="17" t="str">
        <f t="shared" ca="1" si="54"/>
        <v/>
      </c>
      <c r="AP341" s="17" t="str">
        <f t="shared" ca="1" si="55"/>
        <v/>
      </c>
      <c r="AQ341" s="17" t="str">
        <f t="shared" si="56"/>
        <v/>
      </c>
      <c r="AR341" s="17" t="str">
        <f t="shared" ca="1" si="57"/>
        <v/>
      </c>
      <c r="AS341" s="18"/>
      <c r="AT341" s="24">
        <f t="shared" si="63"/>
        <v>0</v>
      </c>
      <c r="AU341" s="24">
        <f t="shared" si="64"/>
        <v>0</v>
      </c>
      <c r="AV341" s="24">
        <f t="shared" si="65"/>
        <v>0</v>
      </c>
      <c r="AW341" s="24">
        <f t="shared" si="66"/>
        <v>0</v>
      </c>
      <c r="AX341" s="24">
        <f t="shared" si="67"/>
        <v>0</v>
      </c>
      <c r="AY341" s="24">
        <f t="shared" si="68"/>
        <v>0</v>
      </c>
      <c r="AZ341" s="18"/>
    </row>
    <row r="342" spans="1:52" x14ac:dyDescent="0.25">
      <c r="A342" s="16"/>
      <c r="B342" s="16"/>
      <c r="C342" s="65"/>
      <c r="D342" s="15"/>
      <c r="E342" s="15"/>
      <c r="F342" s="15"/>
      <c r="G342" s="16"/>
      <c r="H342" s="16"/>
      <c r="I342" s="16"/>
      <c r="J342" s="16"/>
      <c r="K342" s="86"/>
      <c r="L342" s="16"/>
      <c r="M342" s="15"/>
      <c r="N342" s="15"/>
      <c r="O342" s="20"/>
      <c r="P342" s="15"/>
      <c r="Q342" s="20"/>
      <c r="R342" s="15"/>
      <c r="S342" s="15"/>
      <c r="T342" s="15"/>
      <c r="U342" s="15"/>
      <c r="V342" s="17"/>
      <c r="W342" s="17"/>
      <c r="X342" s="16"/>
      <c r="Y342" s="20"/>
      <c r="Z342" s="15"/>
      <c r="AA342" s="22"/>
      <c r="AB342" s="90"/>
      <c r="AC342" s="22"/>
      <c r="AD342" s="25"/>
      <c r="AE342" s="25" t="str">
        <f t="shared" si="58"/>
        <v/>
      </c>
      <c r="AF342" s="17" t="str">
        <f t="shared" ca="1" si="59"/>
        <v/>
      </c>
      <c r="AG342" s="17" t="str">
        <f t="shared" si="60"/>
        <v/>
      </c>
      <c r="AH342" s="17" t="str">
        <f t="shared" si="61"/>
        <v/>
      </c>
      <c r="AI342" s="17" t="str">
        <f t="shared" ca="1" si="62"/>
        <v/>
      </c>
      <c r="AJ342" s="17" t="str">
        <f t="shared" ca="1" si="49"/>
        <v/>
      </c>
      <c r="AK342" s="17" t="str">
        <f t="shared" si="50"/>
        <v/>
      </c>
      <c r="AL342" s="17" t="str">
        <f t="shared" si="51"/>
        <v/>
      </c>
      <c r="AM342" s="17" t="str">
        <f t="shared" si="52"/>
        <v/>
      </c>
      <c r="AN342" s="17">
        <f t="shared" si="53"/>
        <v>0</v>
      </c>
      <c r="AO342" s="17" t="str">
        <f t="shared" ca="1" si="54"/>
        <v/>
      </c>
      <c r="AP342" s="17" t="str">
        <f t="shared" ca="1" si="55"/>
        <v/>
      </c>
      <c r="AQ342" s="17" t="str">
        <f t="shared" si="56"/>
        <v/>
      </c>
      <c r="AR342" s="17" t="str">
        <f t="shared" ca="1" si="57"/>
        <v/>
      </c>
      <c r="AS342" s="18"/>
      <c r="AT342" s="24">
        <f t="shared" si="63"/>
        <v>0</v>
      </c>
      <c r="AU342" s="24">
        <f t="shared" si="64"/>
        <v>0</v>
      </c>
      <c r="AV342" s="24">
        <f t="shared" si="65"/>
        <v>0</v>
      </c>
      <c r="AW342" s="24">
        <f t="shared" si="66"/>
        <v>0</v>
      </c>
      <c r="AX342" s="24">
        <f t="shared" si="67"/>
        <v>0</v>
      </c>
      <c r="AY342" s="24">
        <f t="shared" si="68"/>
        <v>0</v>
      </c>
      <c r="AZ342" s="18"/>
    </row>
    <row r="343" spans="1:52" x14ac:dyDescent="0.25">
      <c r="A343" s="16"/>
      <c r="B343" s="16"/>
      <c r="C343" s="65"/>
      <c r="D343" s="15"/>
      <c r="E343" s="15"/>
      <c r="F343" s="15"/>
      <c r="G343" s="16"/>
      <c r="H343" s="16"/>
      <c r="I343" s="16"/>
      <c r="J343" s="16"/>
      <c r="K343" s="86"/>
      <c r="L343" s="16"/>
      <c r="M343" s="15"/>
      <c r="N343" s="15"/>
      <c r="O343" s="20"/>
      <c r="P343" s="15"/>
      <c r="Q343" s="20"/>
      <c r="R343" s="15"/>
      <c r="S343" s="15"/>
      <c r="T343" s="15"/>
      <c r="U343" s="15"/>
      <c r="V343" s="17"/>
      <c r="W343" s="17"/>
      <c r="X343" s="16"/>
      <c r="Y343" s="20"/>
      <c r="Z343" s="15"/>
      <c r="AA343" s="22"/>
      <c r="AB343" s="90"/>
      <c r="AC343" s="22"/>
      <c r="AD343" s="25"/>
      <c r="AE343" s="25" t="str">
        <f t="shared" si="58"/>
        <v/>
      </c>
      <c r="AF343" s="17" t="str">
        <f t="shared" ca="1" si="59"/>
        <v/>
      </c>
      <c r="AG343" s="17" t="str">
        <f t="shared" si="60"/>
        <v/>
      </c>
      <c r="AH343" s="17" t="str">
        <f t="shared" si="61"/>
        <v/>
      </c>
      <c r="AI343" s="17" t="str">
        <f t="shared" ca="1" si="62"/>
        <v/>
      </c>
      <c r="AJ343" s="17" t="str">
        <f t="shared" ca="1" si="49"/>
        <v/>
      </c>
      <c r="AK343" s="17" t="str">
        <f t="shared" si="50"/>
        <v/>
      </c>
      <c r="AL343" s="17" t="str">
        <f t="shared" si="51"/>
        <v/>
      </c>
      <c r="AM343" s="17" t="str">
        <f t="shared" si="52"/>
        <v/>
      </c>
      <c r="AN343" s="17">
        <f t="shared" si="53"/>
        <v>0</v>
      </c>
      <c r="AO343" s="17" t="str">
        <f t="shared" ca="1" si="54"/>
        <v/>
      </c>
      <c r="AP343" s="17" t="str">
        <f t="shared" ca="1" si="55"/>
        <v/>
      </c>
      <c r="AQ343" s="17" t="str">
        <f t="shared" si="56"/>
        <v/>
      </c>
      <c r="AR343" s="17" t="str">
        <f t="shared" ca="1" si="57"/>
        <v/>
      </c>
      <c r="AS343" s="18"/>
      <c r="AT343" s="24">
        <f t="shared" si="63"/>
        <v>0</v>
      </c>
      <c r="AU343" s="24">
        <f t="shared" si="64"/>
        <v>0</v>
      </c>
      <c r="AV343" s="24">
        <f t="shared" si="65"/>
        <v>0</v>
      </c>
      <c r="AW343" s="24">
        <f t="shared" si="66"/>
        <v>0</v>
      </c>
      <c r="AX343" s="24">
        <f t="shared" si="67"/>
        <v>0</v>
      </c>
      <c r="AY343" s="24">
        <f t="shared" si="68"/>
        <v>0</v>
      </c>
      <c r="AZ343" s="18"/>
    </row>
    <row r="344" spans="1:52" x14ac:dyDescent="0.25">
      <c r="A344" s="16"/>
      <c r="B344" s="16"/>
      <c r="C344" s="65"/>
      <c r="D344" s="15"/>
      <c r="E344" s="15"/>
      <c r="F344" s="15"/>
      <c r="G344" s="16"/>
      <c r="H344" s="16"/>
      <c r="I344" s="16"/>
      <c r="J344" s="16"/>
      <c r="K344" s="86"/>
      <c r="L344" s="16"/>
      <c r="M344" s="15"/>
      <c r="N344" s="15"/>
      <c r="O344" s="20"/>
      <c r="P344" s="15"/>
      <c r="Q344" s="20"/>
      <c r="R344" s="15"/>
      <c r="S344" s="15"/>
      <c r="T344" s="15"/>
      <c r="U344" s="15"/>
      <c r="V344" s="17"/>
      <c r="W344" s="17"/>
      <c r="X344" s="16"/>
      <c r="Y344" s="20"/>
      <c r="Z344" s="15"/>
      <c r="AA344" s="22"/>
      <c r="AB344" s="90"/>
      <c r="AC344" s="22"/>
      <c r="AD344" s="25"/>
      <c r="AE344" s="25" t="str">
        <f t="shared" si="58"/>
        <v/>
      </c>
      <c r="AF344" s="17" t="str">
        <f t="shared" ca="1" si="59"/>
        <v/>
      </c>
      <c r="AG344" s="17" t="str">
        <f t="shared" si="60"/>
        <v/>
      </c>
      <c r="AH344" s="17" t="str">
        <f t="shared" si="61"/>
        <v/>
      </c>
      <c r="AI344" s="17" t="str">
        <f t="shared" ca="1" si="62"/>
        <v/>
      </c>
      <c r="AJ344" s="17" t="str">
        <f t="shared" ca="1" si="49"/>
        <v/>
      </c>
      <c r="AK344" s="17" t="str">
        <f t="shared" si="50"/>
        <v/>
      </c>
      <c r="AL344" s="17" t="str">
        <f t="shared" si="51"/>
        <v/>
      </c>
      <c r="AM344" s="17" t="str">
        <f t="shared" si="52"/>
        <v/>
      </c>
      <c r="AN344" s="17">
        <f t="shared" si="53"/>
        <v>0</v>
      </c>
      <c r="AO344" s="17" t="str">
        <f t="shared" ca="1" si="54"/>
        <v/>
      </c>
      <c r="AP344" s="17" t="str">
        <f t="shared" ca="1" si="55"/>
        <v/>
      </c>
      <c r="AQ344" s="17" t="str">
        <f t="shared" si="56"/>
        <v/>
      </c>
      <c r="AR344" s="17" t="str">
        <f t="shared" ca="1" si="57"/>
        <v/>
      </c>
      <c r="AS344" s="18"/>
      <c r="AT344" s="24">
        <f t="shared" si="63"/>
        <v>0</v>
      </c>
      <c r="AU344" s="24">
        <f t="shared" si="64"/>
        <v>0</v>
      </c>
      <c r="AV344" s="24">
        <f t="shared" si="65"/>
        <v>0</v>
      </c>
      <c r="AW344" s="24">
        <f t="shared" si="66"/>
        <v>0</v>
      </c>
      <c r="AX344" s="24">
        <f t="shared" si="67"/>
        <v>0</v>
      </c>
      <c r="AY344" s="24">
        <f t="shared" si="68"/>
        <v>0</v>
      </c>
      <c r="AZ344" s="18"/>
    </row>
    <row r="345" spans="1:52" x14ac:dyDescent="0.25">
      <c r="A345" s="16"/>
      <c r="B345" s="16"/>
      <c r="C345" s="65"/>
      <c r="D345" s="15"/>
      <c r="E345" s="15"/>
      <c r="F345" s="15"/>
      <c r="G345" s="16"/>
      <c r="H345" s="16"/>
      <c r="I345" s="16"/>
      <c r="J345" s="16"/>
      <c r="K345" s="86"/>
      <c r="L345" s="16"/>
      <c r="M345" s="15"/>
      <c r="N345" s="15"/>
      <c r="O345" s="20"/>
      <c r="P345" s="15"/>
      <c r="Q345" s="20"/>
      <c r="R345" s="15"/>
      <c r="S345" s="15"/>
      <c r="T345" s="15"/>
      <c r="U345" s="15"/>
      <c r="V345" s="17"/>
      <c r="W345" s="17"/>
      <c r="X345" s="16"/>
      <c r="Y345" s="20"/>
      <c r="Z345" s="15"/>
      <c r="AA345" s="22"/>
      <c r="AB345" s="90"/>
      <c r="AC345" s="22"/>
      <c r="AD345" s="25"/>
      <c r="AE345" s="25" t="str">
        <f t="shared" si="58"/>
        <v/>
      </c>
      <c r="AF345" s="17" t="str">
        <f t="shared" ca="1" si="59"/>
        <v/>
      </c>
      <c r="AG345" s="17" t="str">
        <f t="shared" si="60"/>
        <v/>
      </c>
      <c r="AH345" s="17" t="str">
        <f t="shared" si="61"/>
        <v/>
      </c>
      <c r="AI345" s="17" t="str">
        <f t="shared" ca="1" si="62"/>
        <v/>
      </c>
      <c r="AJ345" s="17" t="str">
        <f t="shared" ca="1" si="49"/>
        <v/>
      </c>
      <c r="AK345" s="17" t="str">
        <f t="shared" si="50"/>
        <v/>
      </c>
      <c r="AL345" s="17" t="str">
        <f t="shared" si="51"/>
        <v/>
      </c>
      <c r="AM345" s="17" t="str">
        <f t="shared" si="52"/>
        <v/>
      </c>
      <c r="AN345" s="17">
        <f t="shared" si="53"/>
        <v>0</v>
      </c>
      <c r="AO345" s="17" t="str">
        <f t="shared" ca="1" si="54"/>
        <v/>
      </c>
      <c r="AP345" s="17" t="str">
        <f t="shared" ca="1" si="55"/>
        <v/>
      </c>
      <c r="AQ345" s="17" t="str">
        <f t="shared" si="56"/>
        <v/>
      </c>
      <c r="AR345" s="17" t="str">
        <f t="shared" ca="1" si="57"/>
        <v/>
      </c>
      <c r="AS345" s="18"/>
      <c r="AT345" s="24">
        <f t="shared" si="63"/>
        <v>0</v>
      </c>
      <c r="AU345" s="24">
        <f t="shared" si="64"/>
        <v>0</v>
      </c>
      <c r="AV345" s="24">
        <f t="shared" si="65"/>
        <v>0</v>
      </c>
      <c r="AW345" s="24">
        <f t="shared" si="66"/>
        <v>0</v>
      </c>
      <c r="AX345" s="24">
        <f t="shared" si="67"/>
        <v>0</v>
      </c>
      <c r="AY345" s="24">
        <f t="shared" si="68"/>
        <v>0</v>
      </c>
      <c r="AZ345" s="18"/>
    </row>
    <row r="346" spans="1:52" x14ac:dyDescent="0.25">
      <c r="A346" s="16"/>
      <c r="B346" s="16"/>
      <c r="C346" s="65"/>
      <c r="D346" s="15"/>
      <c r="E346" s="15"/>
      <c r="F346" s="15"/>
      <c r="G346" s="16"/>
      <c r="H346" s="16"/>
      <c r="I346" s="16"/>
      <c r="J346" s="16"/>
      <c r="K346" s="86"/>
      <c r="L346" s="16"/>
      <c r="M346" s="15"/>
      <c r="N346" s="15"/>
      <c r="O346" s="20"/>
      <c r="P346" s="15"/>
      <c r="Q346" s="20"/>
      <c r="R346" s="15"/>
      <c r="S346" s="15"/>
      <c r="T346" s="15"/>
      <c r="U346" s="15"/>
      <c r="V346" s="17"/>
      <c r="W346" s="17"/>
      <c r="X346" s="16"/>
      <c r="Y346" s="20"/>
      <c r="Z346" s="15"/>
      <c r="AA346" s="22"/>
      <c r="AB346" s="90"/>
      <c r="AC346" s="22"/>
      <c r="AD346" s="25"/>
      <c r="AE346" s="25" t="str">
        <f t="shared" si="58"/>
        <v/>
      </c>
      <c r="AF346" s="17" t="str">
        <f t="shared" ca="1" si="59"/>
        <v/>
      </c>
      <c r="AG346" s="17" t="str">
        <f t="shared" si="60"/>
        <v/>
      </c>
      <c r="AH346" s="17" t="str">
        <f t="shared" si="61"/>
        <v/>
      </c>
      <c r="AI346" s="17" t="str">
        <f t="shared" ca="1" si="62"/>
        <v/>
      </c>
      <c r="AJ346" s="17" t="str">
        <f t="shared" ca="1" si="49"/>
        <v/>
      </c>
      <c r="AK346" s="17" t="str">
        <f t="shared" si="50"/>
        <v/>
      </c>
      <c r="AL346" s="17" t="str">
        <f t="shared" si="51"/>
        <v/>
      </c>
      <c r="AM346" s="17" t="str">
        <f t="shared" si="52"/>
        <v/>
      </c>
      <c r="AN346" s="17">
        <f t="shared" si="53"/>
        <v>0</v>
      </c>
      <c r="AO346" s="17" t="str">
        <f t="shared" ca="1" si="54"/>
        <v/>
      </c>
      <c r="AP346" s="17" t="str">
        <f t="shared" ca="1" si="55"/>
        <v/>
      </c>
      <c r="AQ346" s="17" t="str">
        <f t="shared" si="56"/>
        <v/>
      </c>
      <c r="AR346" s="17" t="str">
        <f t="shared" ca="1" si="57"/>
        <v/>
      </c>
      <c r="AS346" s="18"/>
      <c r="AT346" s="24">
        <f t="shared" si="63"/>
        <v>0</v>
      </c>
      <c r="AU346" s="24">
        <f t="shared" si="64"/>
        <v>0</v>
      </c>
      <c r="AV346" s="24">
        <f t="shared" si="65"/>
        <v>0</v>
      </c>
      <c r="AW346" s="24">
        <f t="shared" si="66"/>
        <v>0</v>
      </c>
      <c r="AX346" s="24">
        <f t="shared" si="67"/>
        <v>0</v>
      </c>
      <c r="AY346" s="24">
        <f t="shared" si="68"/>
        <v>0</v>
      </c>
      <c r="AZ346" s="18"/>
    </row>
    <row r="347" spans="1:52" x14ac:dyDescent="0.25">
      <c r="A347" s="16"/>
      <c r="B347" s="16"/>
      <c r="C347" s="65"/>
      <c r="D347" s="15"/>
      <c r="E347" s="15"/>
      <c r="F347" s="15"/>
      <c r="G347" s="16"/>
      <c r="H347" s="16"/>
      <c r="I347" s="16"/>
      <c r="J347" s="16"/>
      <c r="K347" s="86"/>
      <c r="L347" s="16"/>
      <c r="M347" s="15"/>
      <c r="N347" s="15"/>
      <c r="O347" s="20"/>
      <c r="P347" s="15"/>
      <c r="Q347" s="20"/>
      <c r="R347" s="15"/>
      <c r="S347" s="15"/>
      <c r="T347" s="15"/>
      <c r="U347" s="15"/>
      <c r="V347" s="17"/>
      <c r="W347" s="17"/>
      <c r="X347" s="16"/>
      <c r="Y347" s="20"/>
      <c r="Z347" s="15"/>
      <c r="AA347" s="22"/>
      <c r="AB347" s="90"/>
      <c r="AC347" s="22"/>
      <c r="AD347" s="25"/>
      <c r="AE347" s="25" t="str">
        <f t="shared" si="58"/>
        <v/>
      </c>
      <c r="AF347" s="17" t="str">
        <f t="shared" ca="1" si="59"/>
        <v/>
      </c>
      <c r="AG347" s="17" t="str">
        <f t="shared" si="60"/>
        <v/>
      </c>
      <c r="AH347" s="17" t="str">
        <f t="shared" si="61"/>
        <v/>
      </c>
      <c r="AI347" s="17" t="str">
        <f t="shared" ca="1" si="62"/>
        <v/>
      </c>
      <c r="AJ347" s="17" t="str">
        <f t="shared" ca="1" si="49"/>
        <v/>
      </c>
      <c r="AK347" s="17" t="str">
        <f t="shared" si="50"/>
        <v/>
      </c>
      <c r="AL347" s="17" t="str">
        <f t="shared" si="51"/>
        <v/>
      </c>
      <c r="AM347" s="17" t="str">
        <f t="shared" si="52"/>
        <v/>
      </c>
      <c r="AN347" s="17">
        <f t="shared" si="53"/>
        <v>0</v>
      </c>
      <c r="AO347" s="17" t="str">
        <f t="shared" ca="1" si="54"/>
        <v/>
      </c>
      <c r="AP347" s="17" t="str">
        <f t="shared" ca="1" si="55"/>
        <v/>
      </c>
      <c r="AQ347" s="17" t="str">
        <f t="shared" si="56"/>
        <v/>
      </c>
      <c r="AR347" s="17" t="str">
        <f t="shared" ca="1" si="57"/>
        <v/>
      </c>
      <c r="AS347" s="18"/>
      <c r="AT347" s="24">
        <f t="shared" si="63"/>
        <v>0</v>
      </c>
      <c r="AU347" s="24">
        <f t="shared" si="64"/>
        <v>0</v>
      </c>
      <c r="AV347" s="24">
        <f t="shared" si="65"/>
        <v>0</v>
      </c>
      <c r="AW347" s="24">
        <f t="shared" si="66"/>
        <v>0</v>
      </c>
      <c r="AX347" s="24">
        <f t="shared" si="67"/>
        <v>0</v>
      </c>
      <c r="AY347" s="24">
        <f t="shared" si="68"/>
        <v>0</v>
      </c>
      <c r="AZ347" s="18"/>
    </row>
    <row r="348" spans="1:52" x14ac:dyDescent="0.25">
      <c r="A348" s="16"/>
      <c r="B348" s="16"/>
      <c r="C348" s="65"/>
      <c r="D348" s="15"/>
      <c r="E348" s="15"/>
      <c r="F348" s="15"/>
      <c r="G348" s="16"/>
      <c r="H348" s="16"/>
      <c r="I348" s="16"/>
      <c r="J348" s="16"/>
      <c r="K348" s="86"/>
      <c r="L348" s="16"/>
      <c r="M348" s="15"/>
      <c r="N348" s="15"/>
      <c r="O348" s="20"/>
      <c r="P348" s="15"/>
      <c r="Q348" s="20"/>
      <c r="R348" s="15"/>
      <c r="S348" s="15"/>
      <c r="T348" s="15"/>
      <c r="U348" s="15"/>
      <c r="V348" s="17"/>
      <c r="W348" s="17"/>
      <c r="X348" s="16"/>
      <c r="Y348" s="20"/>
      <c r="Z348" s="15"/>
      <c r="AA348" s="22"/>
      <c r="AB348" s="90"/>
      <c r="AC348" s="22"/>
      <c r="AD348" s="25"/>
      <c r="AE348" s="25" t="str">
        <f t="shared" si="58"/>
        <v/>
      </c>
      <c r="AF348" s="17" t="str">
        <f t="shared" ca="1" si="59"/>
        <v/>
      </c>
      <c r="AG348" s="17" t="str">
        <f t="shared" si="60"/>
        <v/>
      </c>
      <c r="AH348" s="17" t="str">
        <f t="shared" si="61"/>
        <v/>
      </c>
      <c r="AI348" s="17" t="str">
        <f t="shared" ca="1" si="62"/>
        <v/>
      </c>
      <c r="AJ348" s="17" t="str">
        <f t="shared" ca="1" si="49"/>
        <v/>
      </c>
      <c r="AK348" s="17" t="str">
        <f t="shared" si="50"/>
        <v/>
      </c>
      <c r="AL348" s="17" t="str">
        <f t="shared" si="51"/>
        <v/>
      </c>
      <c r="AM348" s="17" t="str">
        <f t="shared" si="52"/>
        <v/>
      </c>
      <c r="AN348" s="17">
        <f t="shared" si="53"/>
        <v>0</v>
      </c>
      <c r="AO348" s="17" t="str">
        <f t="shared" ca="1" si="54"/>
        <v/>
      </c>
      <c r="AP348" s="17" t="str">
        <f t="shared" ca="1" si="55"/>
        <v/>
      </c>
      <c r="AQ348" s="17" t="str">
        <f t="shared" si="56"/>
        <v/>
      </c>
      <c r="AR348" s="17" t="str">
        <f t="shared" ca="1" si="57"/>
        <v/>
      </c>
      <c r="AS348" s="18"/>
      <c r="AT348" s="24">
        <f t="shared" si="63"/>
        <v>0</v>
      </c>
      <c r="AU348" s="24">
        <f t="shared" si="64"/>
        <v>0</v>
      </c>
      <c r="AV348" s="24">
        <f t="shared" si="65"/>
        <v>0</v>
      </c>
      <c r="AW348" s="24">
        <f t="shared" si="66"/>
        <v>0</v>
      </c>
      <c r="AX348" s="24">
        <f t="shared" si="67"/>
        <v>0</v>
      </c>
      <c r="AY348" s="24">
        <f t="shared" si="68"/>
        <v>0</v>
      </c>
      <c r="AZ348" s="18"/>
    </row>
    <row r="349" spans="1:52" x14ac:dyDescent="0.25">
      <c r="A349" s="16"/>
      <c r="B349" s="16"/>
      <c r="C349" s="65"/>
      <c r="D349" s="15"/>
      <c r="E349" s="15"/>
      <c r="F349" s="15"/>
      <c r="G349" s="16"/>
      <c r="H349" s="16"/>
      <c r="I349" s="16"/>
      <c r="J349" s="16"/>
      <c r="K349" s="86"/>
      <c r="L349" s="16"/>
      <c r="M349" s="15"/>
      <c r="N349" s="15"/>
      <c r="O349" s="20"/>
      <c r="P349" s="15"/>
      <c r="Q349" s="20"/>
      <c r="R349" s="15"/>
      <c r="S349" s="15"/>
      <c r="T349" s="15"/>
      <c r="U349" s="15"/>
      <c r="V349" s="17"/>
      <c r="W349" s="17"/>
      <c r="X349" s="16"/>
      <c r="Y349" s="20"/>
      <c r="Z349" s="15"/>
      <c r="AA349" s="22"/>
      <c r="AB349" s="90"/>
      <c r="AC349" s="22"/>
      <c r="AD349" s="25"/>
      <c r="AE349" s="25" t="str">
        <f t="shared" si="58"/>
        <v/>
      </c>
      <c r="AF349" s="17" t="str">
        <f t="shared" ca="1" si="59"/>
        <v/>
      </c>
      <c r="AG349" s="17" t="str">
        <f t="shared" si="60"/>
        <v/>
      </c>
      <c r="AH349" s="17" t="str">
        <f t="shared" si="61"/>
        <v/>
      </c>
      <c r="AI349" s="17" t="str">
        <f t="shared" ca="1" si="62"/>
        <v/>
      </c>
      <c r="AJ349" s="17" t="str">
        <f t="shared" ca="1" si="49"/>
        <v/>
      </c>
      <c r="AK349" s="17" t="str">
        <f t="shared" si="50"/>
        <v/>
      </c>
      <c r="AL349" s="17" t="str">
        <f t="shared" si="51"/>
        <v/>
      </c>
      <c r="AM349" s="17" t="str">
        <f t="shared" si="52"/>
        <v/>
      </c>
      <c r="AN349" s="17">
        <f t="shared" si="53"/>
        <v>0</v>
      </c>
      <c r="AO349" s="17" t="str">
        <f t="shared" ca="1" si="54"/>
        <v/>
      </c>
      <c r="AP349" s="17" t="str">
        <f t="shared" ca="1" si="55"/>
        <v/>
      </c>
      <c r="AQ349" s="17" t="str">
        <f t="shared" si="56"/>
        <v/>
      </c>
      <c r="AR349" s="17" t="str">
        <f t="shared" ca="1" si="57"/>
        <v/>
      </c>
      <c r="AS349" s="18"/>
      <c r="AT349" s="24">
        <f t="shared" si="63"/>
        <v>0</v>
      </c>
      <c r="AU349" s="24">
        <f t="shared" si="64"/>
        <v>0</v>
      </c>
      <c r="AV349" s="24">
        <f t="shared" si="65"/>
        <v>0</v>
      </c>
      <c r="AW349" s="24">
        <f t="shared" si="66"/>
        <v>0</v>
      </c>
      <c r="AX349" s="24">
        <f t="shared" si="67"/>
        <v>0</v>
      </c>
      <c r="AY349" s="24">
        <f t="shared" si="68"/>
        <v>0</v>
      </c>
      <c r="AZ349" s="18"/>
    </row>
    <row r="350" spans="1:52" x14ac:dyDescent="0.25">
      <c r="A350" s="16"/>
      <c r="B350" s="16"/>
      <c r="C350" s="65"/>
      <c r="D350" s="15"/>
      <c r="E350" s="15"/>
      <c r="F350" s="15"/>
      <c r="G350" s="16"/>
      <c r="H350" s="16"/>
      <c r="I350" s="16"/>
      <c r="J350" s="16"/>
      <c r="K350" s="86"/>
      <c r="L350" s="16"/>
      <c r="M350" s="15"/>
      <c r="N350" s="15"/>
      <c r="O350" s="20"/>
      <c r="P350" s="15"/>
      <c r="Q350" s="20"/>
      <c r="R350" s="15"/>
      <c r="S350" s="15"/>
      <c r="T350" s="15"/>
      <c r="U350" s="15"/>
      <c r="V350" s="17"/>
      <c r="W350" s="17"/>
      <c r="X350" s="16"/>
      <c r="Y350" s="20"/>
      <c r="Z350" s="15"/>
      <c r="AA350" s="22"/>
      <c r="AB350" s="90"/>
      <c r="AC350" s="22"/>
      <c r="AD350" s="25"/>
      <c r="AE350" s="25" t="str">
        <f t="shared" si="58"/>
        <v/>
      </c>
      <c r="AF350" s="17" t="str">
        <f t="shared" ca="1" si="59"/>
        <v/>
      </c>
      <c r="AG350" s="17" t="str">
        <f t="shared" si="60"/>
        <v/>
      </c>
      <c r="AH350" s="17" t="str">
        <f t="shared" si="61"/>
        <v/>
      </c>
      <c r="AI350" s="17" t="str">
        <f t="shared" ca="1" si="62"/>
        <v/>
      </c>
      <c r="AJ350" s="17" t="str">
        <f t="shared" ca="1" si="49"/>
        <v/>
      </c>
      <c r="AK350" s="17" t="str">
        <f t="shared" si="50"/>
        <v/>
      </c>
      <c r="AL350" s="17" t="str">
        <f t="shared" si="51"/>
        <v/>
      </c>
      <c r="AM350" s="17" t="str">
        <f t="shared" si="52"/>
        <v/>
      </c>
      <c r="AN350" s="17">
        <f t="shared" si="53"/>
        <v>0</v>
      </c>
      <c r="AO350" s="17" t="str">
        <f t="shared" ca="1" si="54"/>
        <v/>
      </c>
      <c r="AP350" s="17" t="str">
        <f t="shared" ca="1" si="55"/>
        <v/>
      </c>
      <c r="AQ350" s="17" t="str">
        <f t="shared" si="56"/>
        <v/>
      </c>
      <c r="AR350" s="17" t="str">
        <f t="shared" ca="1" si="57"/>
        <v/>
      </c>
      <c r="AS350" s="18"/>
      <c r="AT350" s="24">
        <f t="shared" si="63"/>
        <v>0</v>
      </c>
      <c r="AU350" s="24">
        <f t="shared" si="64"/>
        <v>0</v>
      </c>
      <c r="AV350" s="24">
        <f t="shared" si="65"/>
        <v>0</v>
      </c>
      <c r="AW350" s="24">
        <f t="shared" si="66"/>
        <v>0</v>
      </c>
      <c r="AX350" s="24">
        <f t="shared" si="67"/>
        <v>0</v>
      </c>
      <c r="AY350" s="24">
        <f t="shared" si="68"/>
        <v>0</v>
      </c>
      <c r="AZ350" s="18"/>
    </row>
    <row r="351" spans="1:52" x14ac:dyDescent="0.25">
      <c r="A351" s="16"/>
      <c r="B351" s="16"/>
      <c r="C351" s="65"/>
      <c r="D351" s="15"/>
      <c r="E351" s="15"/>
      <c r="F351" s="15"/>
      <c r="G351" s="16"/>
      <c r="H351" s="16"/>
      <c r="I351" s="16"/>
      <c r="J351" s="16"/>
      <c r="K351" s="86"/>
      <c r="L351" s="16"/>
      <c r="M351" s="15"/>
      <c r="N351" s="15"/>
      <c r="O351" s="20"/>
      <c r="P351" s="15"/>
      <c r="Q351" s="20"/>
      <c r="R351" s="15"/>
      <c r="S351" s="15"/>
      <c r="T351" s="15"/>
      <c r="U351" s="15"/>
      <c r="V351" s="17"/>
      <c r="W351" s="17"/>
      <c r="X351" s="16"/>
      <c r="Y351" s="20"/>
      <c r="Z351" s="15"/>
      <c r="AA351" s="22"/>
      <c r="AB351" s="90"/>
      <c r="AC351" s="22"/>
      <c r="AD351" s="25"/>
      <c r="AE351" s="25" t="str">
        <f t="shared" si="58"/>
        <v/>
      </c>
      <c r="AF351" s="17" t="str">
        <f t="shared" ca="1" si="59"/>
        <v/>
      </c>
      <c r="AG351" s="17" t="str">
        <f t="shared" si="60"/>
        <v/>
      </c>
      <c r="AH351" s="17" t="str">
        <f t="shared" si="61"/>
        <v/>
      </c>
      <c r="AI351" s="17" t="str">
        <f t="shared" ca="1" si="62"/>
        <v/>
      </c>
      <c r="AJ351" s="17" t="str">
        <f t="shared" ca="1" si="49"/>
        <v/>
      </c>
      <c r="AK351" s="17" t="str">
        <f t="shared" si="50"/>
        <v/>
      </c>
      <c r="AL351" s="17" t="str">
        <f t="shared" si="51"/>
        <v/>
      </c>
      <c r="AM351" s="17" t="str">
        <f t="shared" si="52"/>
        <v/>
      </c>
      <c r="AN351" s="17">
        <f t="shared" si="53"/>
        <v>0</v>
      </c>
      <c r="AO351" s="17" t="str">
        <f t="shared" ca="1" si="54"/>
        <v/>
      </c>
      <c r="AP351" s="17" t="str">
        <f t="shared" ca="1" si="55"/>
        <v/>
      </c>
      <c r="AQ351" s="17" t="str">
        <f t="shared" si="56"/>
        <v/>
      </c>
      <c r="AR351" s="17" t="str">
        <f t="shared" ca="1" si="57"/>
        <v/>
      </c>
      <c r="AS351" s="18"/>
      <c r="AT351" s="24">
        <f t="shared" si="63"/>
        <v>0</v>
      </c>
      <c r="AU351" s="24">
        <f t="shared" si="64"/>
        <v>0</v>
      </c>
      <c r="AV351" s="24">
        <f t="shared" si="65"/>
        <v>0</v>
      </c>
      <c r="AW351" s="24">
        <f t="shared" si="66"/>
        <v>0</v>
      </c>
      <c r="AX351" s="24">
        <f t="shared" si="67"/>
        <v>0</v>
      </c>
      <c r="AY351" s="24">
        <f t="shared" si="68"/>
        <v>0</v>
      </c>
      <c r="AZ351" s="18"/>
    </row>
    <row r="352" spans="1:52" x14ac:dyDescent="0.25">
      <c r="A352" s="16"/>
      <c r="B352" s="16"/>
      <c r="C352" s="65"/>
      <c r="D352" s="15"/>
      <c r="E352" s="15"/>
      <c r="F352" s="15"/>
      <c r="G352" s="16"/>
      <c r="H352" s="16"/>
      <c r="I352" s="16"/>
      <c r="J352" s="16"/>
      <c r="K352" s="86"/>
      <c r="L352" s="16"/>
      <c r="M352" s="15"/>
      <c r="N352" s="15"/>
      <c r="O352" s="20"/>
      <c r="P352" s="15"/>
      <c r="Q352" s="20"/>
      <c r="R352" s="15"/>
      <c r="S352" s="15"/>
      <c r="T352" s="15"/>
      <c r="U352" s="15"/>
      <c r="V352" s="17"/>
      <c r="W352" s="17"/>
      <c r="X352" s="16"/>
      <c r="Y352" s="20"/>
      <c r="Z352" s="15"/>
      <c r="AA352" s="22"/>
      <c r="AB352" s="90"/>
      <c r="AC352" s="22"/>
      <c r="AD352" s="25"/>
      <c r="AE352" s="25" t="str">
        <f t="shared" si="58"/>
        <v/>
      </c>
      <c r="AF352" s="17" t="str">
        <f t="shared" ca="1" si="59"/>
        <v/>
      </c>
      <c r="AG352" s="17" t="str">
        <f t="shared" si="60"/>
        <v/>
      </c>
      <c r="AH352" s="17" t="str">
        <f t="shared" si="61"/>
        <v/>
      </c>
      <c r="AI352" s="17" t="str">
        <f t="shared" ca="1" si="62"/>
        <v/>
      </c>
      <c r="AJ352" s="17" t="str">
        <f t="shared" ca="1" si="49"/>
        <v/>
      </c>
      <c r="AK352" s="17" t="str">
        <f t="shared" si="50"/>
        <v/>
      </c>
      <c r="AL352" s="17" t="str">
        <f t="shared" si="51"/>
        <v/>
      </c>
      <c r="AM352" s="17" t="str">
        <f t="shared" si="52"/>
        <v/>
      </c>
      <c r="AN352" s="17">
        <f t="shared" si="53"/>
        <v>0</v>
      </c>
      <c r="AO352" s="17" t="str">
        <f t="shared" ca="1" si="54"/>
        <v/>
      </c>
      <c r="AP352" s="17" t="str">
        <f t="shared" ca="1" si="55"/>
        <v/>
      </c>
      <c r="AQ352" s="17" t="str">
        <f t="shared" si="56"/>
        <v/>
      </c>
      <c r="AR352" s="17" t="str">
        <f t="shared" ca="1" si="57"/>
        <v/>
      </c>
      <c r="AS352" s="18"/>
      <c r="AT352" s="24">
        <f t="shared" si="63"/>
        <v>0</v>
      </c>
      <c r="AU352" s="24">
        <f t="shared" si="64"/>
        <v>0</v>
      </c>
      <c r="AV352" s="24">
        <f t="shared" si="65"/>
        <v>0</v>
      </c>
      <c r="AW352" s="24">
        <f t="shared" si="66"/>
        <v>0</v>
      </c>
      <c r="AX352" s="24">
        <f t="shared" si="67"/>
        <v>0</v>
      </c>
      <c r="AY352" s="24">
        <f t="shared" si="68"/>
        <v>0</v>
      </c>
      <c r="AZ352" s="18"/>
    </row>
    <row r="353" spans="1:52" x14ac:dyDescent="0.25">
      <c r="A353" s="16"/>
      <c r="B353" s="16"/>
      <c r="C353" s="65"/>
      <c r="D353" s="15"/>
      <c r="E353" s="15"/>
      <c r="F353" s="15"/>
      <c r="G353" s="16"/>
      <c r="H353" s="16"/>
      <c r="I353" s="16"/>
      <c r="J353" s="16"/>
      <c r="K353" s="86"/>
      <c r="L353" s="16"/>
      <c r="M353" s="15"/>
      <c r="N353" s="15"/>
      <c r="O353" s="20"/>
      <c r="P353" s="15"/>
      <c r="Q353" s="20"/>
      <c r="R353" s="15"/>
      <c r="S353" s="15"/>
      <c r="T353" s="15"/>
      <c r="U353" s="15"/>
      <c r="V353" s="17"/>
      <c r="W353" s="17"/>
      <c r="X353" s="16"/>
      <c r="Y353" s="20"/>
      <c r="Z353" s="15"/>
      <c r="AA353" s="22"/>
      <c r="AB353" s="90"/>
      <c r="AC353" s="22"/>
      <c r="AD353" s="25"/>
      <c r="AE353" s="25" t="str">
        <f t="shared" si="58"/>
        <v/>
      </c>
      <c r="AF353" s="17" t="str">
        <f t="shared" ca="1" si="59"/>
        <v/>
      </c>
      <c r="AG353" s="17" t="str">
        <f t="shared" si="60"/>
        <v/>
      </c>
      <c r="AH353" s="17" t="str">
        <f t="shared" si="61"/>
        <v/>
      </c>
      <c r="AI353" s="17" t="str">
        <f t="shared" ca="1" si="62"/>
        <v/>
      </c>
      <c r="AJ353" s="17" t="str">
        <f t="shared" ca="1" si="49"/>
        <v/>
      </c>
      <c r="AK353" s="17" t="str">
        <f t="shared" si="50"/>
        <v/>
      </c>
      <c r="AL353" s="17" t="str">
        <f t="shared" si="51"/>
        <v/>
      </c>
      <c r="AM353" s="17" t="str">
        <f t="shared" si="52"/>
        <v/>
      </c>
      <c r="AN353" s="17">
        <f t="shared" si="53"/>
        <v>0</v>
      </c>
      <c r="AO353" s="17" t="str">
        <f t="shared" ca="1" si="54"/>
        <v/>
      </c>
      <c r="AP353" s="17" t="str">
        <f t="shared" ca="1" si="55"/>
        <v/>
      </c>
      <c r="AQ353" s="17" t="str">
        <f t="shared" si="56"/>
        <v/>
      </c>
      <c r="AR353" s="17" t="str">
        <f t="shared" ca="1" si="57"/>
        <v/>
      </c>
      <c r="AS353" s="18"/>
      <c r="AT353" s="24">
        <f t="shared" si="63"/>
        <v>0</v>
      </c>
      <c r="AU353" s="24">
        <f t="shared" si="64"/>
        <v>0</v>
      </c>
      <c r="AV353" s="24">
        <f t="shared" si="65"/>
        <v>0</v>
      </c>
      <c r="AW353" s="24">
        <f t="shared" si="66"/>
        <v>0</v>
      </c>
      <c r="AX353" s="24">
        <f t="shared" si="67"/>
        <v>0</v>
      </c>
      <c r="AY353" s="24">
        <f t="shared" si="68"/>
        <v>0</v>
      </c>
      <c r="AZ353" s="18"/>
    </row>
    <row r="354" spans="1:52" x14ac:dyDescent="0.25">
      <c r="A354" s="16"/>
      <c r="B354" s="16"/>
      <c r="C354" s="65"/>
      <c r="D354" s="15"/>
      <c r="E354" s="15"/>
      <c r="F354" s="15"/>
      <c r="G354" s="16"/>
      <c r="H354" s="16"/>
      <c r="I354" s="16"/>
      <c r="J354" s="16"/>
      <c r="K354" s="86"/>
      <c r="L354" s="16"/>
      <c r="M354" s="15"/>
      <c r="N354" s="15"/>
      <c r="O354" s="20"/>
      <c r="P354" s="15"/>
      <c r="Q354" s="20"/>
      <c r="R354" s="15"/>
      <c r="S354" s="15"/>
      <c r="T354" s="15"/>
      <c r="U354" s="15"/>
      <c r="V354" s="17"/>
      <c r="W354" s="17"/>
      <c r="X354" s="16"/>
      <c r="Y354" s="20"/>
      <c r="Z354" s="15"/>
      <c r="AA354" s="22"/>
      <c r="AB354" s="90"/>
      <c r="AC354" s="22"/>
      <c r="AD354" s="25"/>
      <c r="AE354" s="25" t="str">
        <f t="shared" si="58"/>
        <v/>
      </c>
      <c r="AF354" s="17" t="str">
        <f t="shared" ca="1" si="59"/>
        <v/>
      </c>
      <c r="AG354" s="17" t="str">
        <f t="shared" si="60"/>
        <v/>
      </c>
      <c r="AH354" s="17" t="str">
        <f t="shared" si="61"/>
        <v/>
      </c>
      <c r="AI354" s="17" t="str">
        <f t="shared" ca="1" si="62"/>
        <v/>
      </c>
      <c r="AJ354" s="17" t="str">
        <f t="shared" ca="1" si="49"/>
        <v/>
      </c>
      <c r="AK354" s="17" t="str">
        <f t="shared" si="50"/>
        <v/>
      </c>
      <c r="AL354" s="17" t="str">
        <f t="shared" si="51"/>
        <v/>
      </c>
      <c r="AM354" s="17" t="str">
        <f t="shared" si="52"/>
        <v/>
      </c>
      <c r="AN354" s="17">
        <f t="shared" si="53"/>
        <v>0</v>
      </c>
      <c r="AO354" s="17" t="str">
        <f t="shared" ca="1" si="54"/>
        <v/>
      </c>
      <c r="AP354" s="17" t="str">
        <f t="shared" ca="1" si="55"/>
        <v/>
      </c>
      <c r="AQ354" s="17" t="str">
        <f t="shared" si="56"/>
        <v/>
      </c>
      <c r="AR354" s="17" t="str">
        <f t="shared" ca="1" si="57"/>
        <v/>
      </c>
      <c r="AS354" s="18"/>
      <c r="AT354" s="24">
        <f t="shared" si="63"/>
        <v>0</v>
      </c>
      <c r="AU354" s="24">
        <f t="shared" si="64"/>
        <v>0</v>
      </c>
      <c r="AV354" s="24">
        <f t="shared" si="65"/>
        <v>0</v>
      </c>
      <c r="AW354" s="24">
        <f t="shared" si="66"/>
        <v>0</v>
      </c>
      <c r="AX354" s="24">
        <f t="shared" si="67"/>
        <v>0</v>
      </c>
      <c r="AY354" s="24">
        <f t="shared" si="68"/>
        <v>0</v>
      </c>
      <c r="AZ354" s="18"/>
    </row>
    <row r="355" spans="1:52" x14ac:dyDescent="0.25">
      <c r="A355" s="16"/>
      <c r="B355" s="16"/>
      <c r="C355" s="65"/>
      <c r="D355" s="15"/>
      <c r="E355" s="15"/>
      <c r="F355" s="15"/>
      <c r="G355" s="16"/>
      <c r="H355" s="16"/>
      <c r="I355" s="16"/>
      <c r="J355" s="16"/>
      <c r="K355" s="86"/>
      <c r="L355" s="16"/>
      <c r="M355" s="15"/>
      <c r="N355" s="15"/>
      <c r="O355" s="20"/>
      <c r="P355" s="15"/>
      <c r="Q355" s="20"/>
      <c r="R355" s="15"/>
      <c r="S355" s="15"/>
      <c r="T355" s="15"/>
      <c r="U355" s="15"/>
      <c r="V355" s="17"/>
      <c r="W355" s="17"/>
      <c r="X355" s="16"/>
      <c r="Y355" s="20"/>
      <c r="Z355" s="15"/>
      <c r="AA355" s="22"/>
      <c r="AB355" s="90"/>
      <c r="AC355" s="22"/>
      <c r="AD355" s="25"/>
      <c r="AE355" s="25" t="str">
        <f t="shared" si="58"/>
        <v/>
      </c>
      <c r="AF355" s="17" t="str">
        <f t="shared" ca="1" si="59"/>
        <v/>
      </c>
      <c r="AG355" s="17" t="str">
        <f t="shared" si="60"/>
        <v/>
      </c>
      <c r="AH355" s="17" t="str">
        <f t="shared" si="61"/>
        <v/>
      </c>
      <c r="AI355" s="17" t="str">
        <f t="shared" ca="1" si="62"/>
        <v/>
      </c>
      <c r="AJ355" s="17" t="str">
        <f t="shared" ca="1" si="49"/>
        <v/>
      </c>
      <c r="AK355" s="17" t="str">
        <f t="shared" si="50"/>
        <v/>
      </c>
      <c r="AL355" s="17" t="str">
        <f t="shared" si="51"/>
        <v/>
      </c>
      <c r="AM355" s="17" t="str">
        <f t="shared" si="52"/>
        <v/>
      </c>
      <c r="AN355" s="17">
        <f t="shared" si="53"/>
        <v>0</v>
      </c>
      <c r="AO355" s="17" t="str">
        <f t="shared" ca="1" si="54"/>
        <v/>
      </c>
      <c r="AP355" s="17" t="str">
        <f t="shared" ca="1" si="55"/>
        <v/>
      </c>
      <c r="AQ355" s="17" t="str">
        <f t="shared" si="56"/>
        <v/>
      </c>
      <c r="AR355" s="17" t="str">
        <f t="shared" ca="1" si="57"/>
        <v/>
      </c>
      <c r="AS355" s="18"/>
      <c r="AT355" s="24">
        <f t="shared" si="63"/>
        <v>0</v>
      </c>
      <c r="AU355" s="24">
        <f t="shared" si="64"/>
        <v>0</v>
      </c>
      <c r="AV355" s="24">
        <f t="shared" si="65"/>
        <v>0</v>
      </c>
      <c r="AW355" s="24">
        <f t="shared" si="66"/>
        <v>0</v>
      </c>
      <c r="AX355" s="24">
        <f t="shared" si="67"/>
        <v>0</v>
      </c>
      <c r="AY355" s="24">
        <f t="shared" si="68"/>
        <v>0</v>
      </c>
      <c r="AZ355" s="18"/>
    </row>
    <row r="356" spans="1:52" x14ac:dyDescent="0.25">
      <c r="A356" s="16"/>
      <c r="B356" s="16"/>
      <c r="C356" s="65"/>
      <c r="D356" s="15"/>
      <c r="E356" s="15"/>
      <c r="F356" s="15"/>
      <c r="G356" s="16"/>
      <c r="H356" s="16"/>
      <c r="I356" s="16"/>
      <c r="J356" s="16"/>
      <c r="K356" s="86"/>
      <c r="L356" s="16"/>
      <c r="M356" s="15"/>
      <c r="N356" s="15"/>
      <c r="O356" s="20"/>
      <c r="P356" s="15"/>
      <c r="Q356" s="20"/>
      <c r="R356" s="15"/>
      <c r="S356" s="15"/>
      <c r="T356" s="15"/>
      <c r="U356" s="15"/>
      <c r="V356" s="17"/>
      <c r="W356" s="17"/>
      <c r="X356" s="16"/>
      <c r="Y356" s="20"/>
      <c r="Z356" s="15"/>
      <c r="AA356" s="22"/>
      <c r="AB356" s="90"/>
      <c r="AC356" s="22"/>
      <c r="AD356" s="25"/>
      <c r="AE356" s="25" t="str">
        <f t="shared" si="58"/>
        <v/>
      </c>
      <c r="AF356" s="17" t="str">
        <f t="shared" ca="1" si="59"/>
        <v/>
      </c>
      <c r="AG356" s="17" t="str">
        <f t="shared" si="60"/>
        <v/>
      </c>
      <c r="AH356" s="17" t="str">
        <f t="shared" si="61"/>
        <v/>
      </c>
      <c r="AI356" s="17" t="str">
        <f t="shared" ca="1" si="62"/>
        <v/>
      </c>
      <c r="AJ356" s="17" t="str">
        <f t="shared" ca="1" si="49"/>
        <v/>
      </c>
      <c r="AK356" s="17" t="str">
        <f t="shared" si="50"/>
        <v/>
      </c>
      <c r="AL356" s="17" t="str">
        <f t="shared" si="51"/>
        <v/>
      </c>
      <c r="AM356" s="17" t="str">
        <f t="shared" si="52"/>
        <v/>
      </c>
      <c r="AN356" s="17">
        <f t="shared" si="53"/>
        <v>0</v>
      </c>
      <c r="AO356" s="17" t="str">
        <f t="shared" ca="1" si="54"/>
        <v/>
      </c>
      <c r="AP356" s="17" t="str">
        <f t="shared" ca="1" si="55"/>
        <v/>
      </c>
      <c r="AQ356" s="17" t="str">
        <f t="shared" si="56"/>
        <v/>
      </c>
      <c r="AR356" s="17" t="str">
        <f t="shared" ca="1" si="57"/>
        <v/>
      </c>
      <c r="AS356" s="18"/>
      <c r="AT356" s="24">
        <f t="shared" si="63"/>
        <v>0</v>
      </c>
      <c r="AU356" s="24">
        <f t="shared" si="64"/>
        <v>0</v>
      </c>
      <c r="AV356" s="24">
        <f t="shared" si="65"/>
        <v>0</v>
      </c>
      <c r="AW356" s="24">
        <f t="shared" si="66"/>
        <v>0</v>
      </c>
      <c r="AX356" s="24">
        <f t="shared" si="67"/>
        <v>0</v>
      </c>
      <c r="AY356" s="24">
        <f t="shared" si="68"/>
        <v>0</v>
      </c>
      <c r="AZ356" s="18"/>
    </row>
    <row r="357" spans="1:52" x14ac:dyDescent="0.25">
      <c r="A357" s="16"/>
      <c r="B357" s="16"/>
      <c r="C357" s="65"/>
      <c r="D357" s="15"/>
      <c r="E357" s="15"/>
      <c r="F357" s="15"/>
      <c r="G357" s="16"/>
      <c r="H357" s="16"/>
      <c r="I357" s="16"/>
      <c r="J357" s="16"/>
      <c r="K357" s="86"/>
      <c r="L357" s="16"/>
      <c r="M357" s="15"/>
      <c r="N357" s="15"/>
      <c r="O357" s="20"/>
      <c r="P357" s="15"/>
      <c r="Q357" s="20"/>
      <c r="R357" s="15"/>
      <c r="S357" s="15"/>
      <c r="T357" s="15"/>
      <c r="U357" s="15"/>
      <c r="V357" s="17"/>
      <c r="W357" s="17"/>
      <c r="X357" s="16"/>
      <c r="Y357" s="20"/>
      <c r="Z357" s="15"/>
      <c r="AA357" s="22"/>
      <c r="AB357" s="90"/>
      <c r="AC357" s="22"/>
      <c r="AD357" s="25"/>
      <c r="AE357" s="25" t="str">
        <f t="shared" si="58"/>
        <v/>
      </c>
      <c r="AF357" s="17" t="str">
        <f t="shared" ca="1" si="59"/>
        <v/>
      </c>
      <c r="AG357" s="17" t="str">
        <f t="shared" si="60"/>
        <v/>
      </c>
      <c r="AH357" s="17" t="str">
        <f t="shared" si="61"/>
        <v/>
      </c>
      <c r="AI357" s="17" t="str">
        <f t="shared" ca="1" si="62"/>
        <v/>
      </c>
      <c r="AJ357" s="17" t="str">
        <f t="shared" ca="1" si="49"/>
        <v/>
      </c>
      <c r="AK357" s="17" t="str">
        <f t="shared" si="50"/>
        <v/>
      </c>
      <c r="AL357" s="17" t="str">
        <f t="shared" si="51"/>
        <v/>
      </c>
      <c r="AM357" s="17" t="str">
        <f t="shared" si="52"/>
        <v/>
      </c>
      <c r="AN357" s="17">
        <f t="shared" si="53"/>
        <v>0</v>
      </c>
      <c r="AO357" s="17" t="str">
        <f t="shared" ca="1" si="54"/>
        <v/>
      </c>
      <c r="AP357" s="17" t="str">
        <f t="shared" ca="1" si="55"/>
        <v/>
      </c>
      <c r="AQ357" s="17" t="str">
        <f t="shared" si="56"/>
        <v/>
      </c>
      <c r="AR357" s="17" t="str">
        <f t="shared" ca="1" si="57"/>
        <v/>
      </c>
      <c r="AS357" s="18"/>
      <c r="AT357" s="24">
        <f t="shared" si="63"/>
        <v>0</v>
      </c>
      <c r="AU357" s="24">
        <f t="shared" si="64"/>
        <v>0</v>
      </c>
      <c r="AV357" s="24">
        <f t="shared" si="65"/>
        <v>0</v>
      </c>
      <c r="AW357" s="24">
        <f t="shared" si="66"/>
        <v>0</v>
      </c>
      <c r="AX357" s="24">
        <f t="shared" si="67"/>
        <v>0</v>
      </c>
      <c r="AY357" s="24">
        <f t="shared" si="68"/>
        <v>0</v>
      </c>
      <c r="AZ357" s="18"/>
    </row>
    <row r="358" spans="1:52" x14ac:dyDescent="0.25">
      <c r="A358" s="16"/>
      <c r="B358" s="16"/>
      <c r="C358" s="65"/>
      <c r="D358" s="15"/>
      <c r="E358" s="15"/>
      <c r="F358" s="15"/>
      <c r="G358" s="16"/>
      <c r="H358" s="16"/>
      <c r="I358" s="16"/>
      <c r="J358" s="16"/>
      <c r="K358" s="86"/>
      <c r="L358" s="16"/>
      <c r="M358" s="15"/>
      <c r="N358" s="15"/>
      <c r="O358" s="20"/>
      <c r="P358" s="15"/>
      <c r="Q358" s="20"/>
      <c r="R358" s="15"/>
      <c r="S358" s="15"/>
      <c r="T358" s="15"/>
      <c r="U358" s="15"/>
      <c r="V358" s="17"/>
      <c r="W358" s="17"/>
      <c r="X358" s="16"/>
      <c r="Y358" s="20"/>
      <c r="Z358" s="15"/>
      <c r="AA358" s="22"/>
      <c r="AB358" s="90"/>
      <c r="AC358" s="22"/>
      <c r="AD358" s="25"/>
      <c r="AE358" s="25" t="str">
        <f t="shared" si="58"/>
        <v/>
      </c>
      <c r="AF358" s="17" t="str">
        <f t="shared" ca="1" si="59"/>
        <v/>
      </c>
      <c r="AG358" s="17" t="str">
        <f t="shared" si="60"/>
        <v/>
      </c>
      <c r="AH358" s="17" t="str">
        <f t="shared" si="61"/>
        <v/>
      </c>
      <c r="AI358" s="17" t="str">
        <f t="shared" ca="1" si="62"/>
        <v/>
      </c>
      <c r="AJ358" s="17" t="str">
        <f t="shared" ca="1" si="49"/>
        <v/>
      </c>
      <c r="AK358" s="17" t="str">
        <f t="shared" si="50"/>
        <v/>
      </c>
      <c r="AL358" s="17" t="str">
        <f t="shared" si="51"/>
        <v/>
      </c>
      <c r="AM358" s="17" t="str">
        <f t="shared" si="52"/>
        <v/>
      </c>
      <c r="AN358" s="17">
        <f t="shared" si="53"/>
        <v>0</v>
      </c>
      <c r="AO358" s="17" t="str">
        <f t="shared" ca="1" si="54"/>
        <v/>
      </c>
      <c r="AP358" s="17" t="str">
        <f t="shared" ca="1" si="55"/>
        <v/>
      </c>
      <c r="AQ358" s="17" t="str">
        <f t="shared" si="56"/>
        <v/>
      </c>
      <c r="AR358" s="17" t="str">
        <f t="shared" ca="1" si="57"/>
        <v/>
      </c>
      <c r="AS358" s="18"/>
      <c r="AT358" s="24">
        <f t="shared" si="63"/>
        <v>0</v>
      </c>
      <c r="AU358" s="24">
        <f t="shared" si="64"/>
        <v>0</v>
      </c>
      <c r="AV358" s="24">
        <f t="shared" si="65"/>
        <v>0</v>
      </c>
      <c r="AW358" s="24">
        <f t="shared" si="66"/>
        <v>0</v>
      </c>
      <c r="AX358" s="24">
        <f t="shared" si="67"/>
        <v>0</v>
      </c>
      <c r="AY358" s="24">
        <f t="shared" si="68"/>
        <v>0</v>
      </c>
      <c r="AZ358" s="18"/>
    </row>
    <row r="359" spans="1:52" x14ac:dyDescent="0.25">
      <c r="A359" s="16"/>
      <c r="B359" s="16"/>
      <c r="C359" s="65"/>
      <c r="D359" s="15"/>
      <c r="E359" s="15"/>
      <c r="F359" s="15"/>
      <c r="G359" s="16"/>
      <c r="H359" s="16"/>
      <c r="I359" s="16"/>
      <c r="J359" s="16"/>
      <c r="K359" s="86"/>
      <c r="L359" s="16"/>
      <c r="M359" s="15"/>
      <c r="N359" s="15"/>
      <c r="O359" s="20"/>
      <c r="P359" s="15"/>
      <c r="Q359" s="20"/>
      <c r="R359" s="15"/>
      <c r="S359" s="15"/>
      <c r="T359" s="15"/>
      <c r="U359" s="15"/>
      <c r="V359" s="17"/>
      <c r="W359" s="17"/>
      <c r="X359" s="16"/>
      <c r="Y359" s="20"/>
      <c r="Z359" s="15"/>
      <c r="AA359" s="22"/>
      <c r="AB359" s="90"/>
      <c r="AC359" s="22"/>
      <c r="AD359" s="25"/>
      <c r="AE359" s="25" t="str">
        <f t="shared" si="58"/>
        <v/>
      </c>
      <c r="AF359" s="17" t="str">
        <f t="shared" ca="1" si="59"/>
        <v/>
      </c>
      <c r="AG359" s="17" t="str">
        <f t="shared" si="60"/>
        <v/>
      </c>
      <c r="AH359" s="17" t="str">
        <f t="shared" si="61"/>
        <v/>
      </c>
      <c r="AI359" s="17" t="str">
        <f t="shared" ca="1" si="62"/>
        <v/>
      </c>
      <c r="AJ359" s="17" t="str">
        <f t="shared" ca="1" si="49"/>
        <v/>
      </c>
      <c r="AK359" s="17" t="str">
        <f t="shared" si="50"/>
        <v/>
      </c>
      <c r="AL359" s="17" t="str">
        <f t="shared" si="51"/>
        <v/>
      </c>
      <c r="AM359" s="17" t="str">
        <f t="shared" si="52"/>
        <v/>
      </c>
      <c r="AN359" s="17">
        <f t="shared" si="53"/>
        <v>0</v>
      </c>
      <c r="AO359" s="17" t="str">
        <f t="shared" ca="1" si="54"/>
        <v/>
      </c>
      <c r="AP359" s="17" t="str">
        <f t="shared" ca="1" si="55"/>
        <v/>
      </c>
      <c r="AQ359" s="17" t="str">
        <f t="shared" si="56"/>
        <v/>
      </c>
      <c r="AR359" s="17" t="str">
        <f t="shared" ca="1" si="57"/>
        <v/>
      </c>
      <c r="AS359" s="18"/>
      <c r="AT359" s="24">
        <f t="shared" si="63"/>
        <v>0</v>
      </c>
      <c r="AU359" s="24">
        <f t="shared" si="64"/>
        <v>0</v>
      </c>
      <c r="AV359" s="24">
        <f t="shared" si="65"/>
        <v>0</v>
      </c>
      <c r="AW359" s="24">
        <f t="shared" si="66"/>
        <v>0</v>
      </c>
      <c r="AX359" s="24">
        <f t="shared" si="67"/>
        <v>0</v>
      </c>
      <c r="AY359" s="24">
        <f t="shared" si="68"/>
        <v>0</v>
      </c>
      <c r="AZ359" s="18"/>
    </row>
    <row r="360" spans="1:52" x14ac:dyDescent="0.25">
      <c r="A360" s="16"/>
      <c r="B360" s="16"/>
      <c r="C360" s="65"/>
      <c r="D360" s="15"/>
      <c r="E360" s="15"/>
      <c r="F360" s="15"/>
      <c r="G360" s="16"/>
      <c r="H360" s="16"/>
      <c r="I360" s="16"/>
      <c r="J360" s="16"/>
      <c r="K360" s="86"/>
      <c r="L360" s="16"/>
      <c r="M360" s="15"/>
      <c r="N360" s="15"/>
      <c r="O360" s="20"/>
      <c r="P360" s="15"/>
      <c r="Q360" s="20"/>
      <c r="R360" s="15"/>
      <c r="S360" s="15"/>
      <c r="T360" s="15"/>
      <c r="U360" s="15"/>
      <c r="V360" s="17"/>
      <c r="W360" s="17"/>
      <c r="X360" s="16"/>
      <c r="Y360" s="20"/>
      <c r="Z360" s="15"/>
      <c r="AA360" s="22"/>
      <c r="AB360" s="90"/>
      <c r="AC360" s="22"/>
      <c r="AD360" s="25"/>
      <c r="AE360" s="25" t="str">
        <f t="shared" si="58"/>
        <v/>
      </c>
      <c r="AF360" s="17" t="str">
        <f t="shared" ca="1" si="59"/>
        <v/>
      </c>
      <c r="AG360" s="17" t="str">
        <f t="shared" si="60"/>
        <v/>
      </c>
      <c r="AH360" s="17" t="str">
        <f t="shared" si="61"/>
        <v/>
      </c>
      <c r="AI360" s="17" t="str">
        <f t="shared" ca="1" si="62"/>
        <v/>
      </c>
      <c r="AJ360" s="17" t="str">
        <f t="shared" ca="1" si="49"/>
        <v/>
      </c>
      <c r="AK360" s="17" t="str">
        <f t="shared" si="50"/>
        <v/>
      </c>
      <c r="AL360" s="17" t="str">
        <f t="shared" si="51"/>
        <v/>
      </c>
      <c r="AM360" s="17" t="str">
        <f t="shared" si="52"/>
        <v/>
      </c>
      <c r="AN360" s="17">
        <f t="shared" si="53"/>
        <v>0</v>
      </c>
      <c r="AO360" s="17" t="str">
        <f t="shared" ca="1" si="54"/>
        <v/>
      </c>
      <c r="AP360" s="17" t="str">
        <f t="shared" ca="1" si="55"/>
        <v/>
      </c>
      <c r="AQ360" s="17" t="str">
        <f t="shared" si="56"/>
        <v/>
      </c>
      <c r="AR360" s="17" t="str">
        <f t="shared" ca="1" si="57"/>
        <v/>
      </c>
      <c r="AS360" s="18"/>
      <c r="AT360" s="24">
        <f t="shared" si="63"/>
        <v>0</v>
      </c>
      <c r="AU360" s="24">
        <f t="shared" si="64"/>
        <v>0</v>
      </c>
      <c r="AV360" s="24">
        <f t="shared" si="65"/>
        <v>0</v>
      </c>
      <c r="AW360" s="24">
        <f t="shared" si="66"/>
        <v>0</v>
      </c>
      <c r="AX360" s="24">
        <f t="shared" si="67"/>
        <v>0</v>
      </c>
      <c r="AY360" s="24">
        <f t="shared" si="68"/>
        <v>0</v>
      </c>
      <c r="AZ360" s="18"/>
    </row>
    <row r="361" spans="1:52" x14ac:dyDescent="0.25">
      <c r="A361" s="16"/>
      <c r="B361" s="16"/>
      <c r="C361" s="65"/>
      <c r="D361" s="15"/>
      <c r="E361" s="15"/>
      <c r="F361" s="15"/>
      <c r="G361" s="16"/>
      <c r="H361" s="16"/>
      <c r="I361" s="16"/>
      <c r="J361" s="16"/>
      <c r="K361" s="86"/>
      <c r="L361" s="16"/>
      <c r="M361" s="15"/>
      <c r="N361" s="15"/>
      <c r="O361" s="20"/>
      <c r="P361" s="15"/>
      <c r="Q361" s="20"/>
      <c r="R361" s="15"/>
      <c r="S361" s="15"/>
      <c r="T361" s="15"/>
      <c r="U361" s="15"/>
      <c r="V361" s="17"/>
      <c r="W361" s="17"/>
      <c r="X361" s="16"/>
      <c r="Y361" s="20"/>
      <c r="Z361" s="15"/>
      <c r="AA361" s="22"/>
      <c r="AB361" s="90"/>
      <c r="AC361" s="22"/>
      <c r="AD361" s="25"/>
      <c r="AE361" s="25" t="str">
        <f t="shared" si="58"/>
        <v/>
      </c>
      <c r="AF361" s="17" t="str">
        <f t="shared" ca="1" si="59"/>
        <v/>
      </c>
      <c r="AG361" s="17" t="str">
        <f t="shared" si="60"/>
        <v/>
      </c>
      <c r="AH361" s="17" t="str">
        <f t="shared" si="61"/>
        <v/>
      </c>
      <c r="AI361" s="17" t="str">
        <f t="shared" ca="1" si="62"/>
        <v/>
      </c>
      <c r="AJ361" s="17" t="str">
        <f t="shared" ca="1" si="49"/>
        <v/>
      </c>
      <c r="AK361" s="17" t="str">
        <f t="shared" si="50"/>
        <v/>
      </c>
      <c r="AL361" s="17" t="str">
        <f t="shared" si="51"/>
        <v/>
      </c>
      <c r="AM361" s="17" t="str">
        <f t="shared" si="52"/>
        <v/>
      </c>
      <c r="AN361" s="17">
        <f t="shared" si="53"/>
        <v>0</v>
      </c>
      <c r="AO361" s="17" t="str">
        <f t="shared" ca="1" si="54"/>
        <v/>
      </c>
      <c r="AP361" s="17" t="str">
        <f t="shared" ca="1" si="55"/>
        <v/>
      </c>
      <c r="AQ361" s="17" t="str">
        <f t="shared" si="56"/>
        <v/>
      </c>
      <c r="AR361" s="17" t="str">
        <f t="shared" ca="1" si="57"/>
        <v/>
      </c>
      <c r="AS361" s="18"/>
      <c r="AT361" s="24">
        <f t="shared" si="63"/>
        <v>0</v>
      </c>
      <c r="AU361" s="24">
        <f t="shared" si="64"/>
        <v>0</v>
      </c>
      <c r="AV361" s="24">
        <f t="shared" si="65"/>
        <v>0</v>
      </c>
      <c r="AW361" s="24">
        <f t="shared" si="66"/>
        <v>0</v>
      </c>
      <c r="AX361" s="24">
        <f t="shared" si="67"/>
        <v>0</v>
      </c>
      <c r="AY361" s="24">
        <f t="shared" si="68"/>
        <v>0</v>
      </c>
      <c r="AZ361" s="18"/>
    </row>
    <row r="362" spans="1:52" x14ac:dyDescent="0.25">
      <c r="A362" s="16"/>
      <c r="B362" s="16"/>
      <c r="C362" s="65"/>
      <c r="D362" s="15"/>
      <c r="E362" s="15"/>
      <c r="F362" s="15"/>
      <c r="G362" s="16"/>
      <c r="H362" s="16"/>
      <c r="I362" s="16"/>
      <c r="J362" s="16"/>
      <c r="K362" s="86"/>
      <c r="L362" s="16"/>
      <c r="M362" s="15"/>
      <c r="N362" s="15"/>
      <c r="O362" s="20"/>
      <c r="P362" s="15"/>
      <c r="Q362" s="20"/>
      <c r="R362" s="15"/>
      <c r="S362" s="15"/>
      <c r="T362" s="15"/>
      <c r="U362" s="15"/>
      <c r="V362" s="17"/>
      <c r="W362" s="17"/>
      <c r="X362" s="16"/>
      <c r="Y362" s="20"/>
      <c r="Z362" s="15"/>
      <c r="AA362" s="22"/>
      <c r="AB362" s="90"/>
      <c r="AC362" s="22"/>
      <c r="AD362" s="25"/>
      <c r="AE362" s="25" t="str">
        <f t="shared" si="58"/>
        <v/>
      </c>
      <c r="AF362" s="17" t="str">
        <f t="shared" ca="1" si="59"/>
        <v/>
      </c>
      <c r="AG362" s="17" t="str">
        <f t="shared" si="60"/>
        <v/>
      </c>
      <c r="AH362" s="17" t="str">
        <f t="shared" si="61"/>
        <v/>
      </c>
      <c r="AI362" s="17" t="str">
        <f t="shared" ca="1" si="62"/>
        <v/>
      </c>
      <c r="AJ362" s="17" t="str">
        <f t="shared" ca="1" si="49"/>
        <v/>
      </c>
      <c r="AK362" s="17" t="str">
        <f t="shared" si="50"/>
        <v/>
      </c>
      <c r="AL362" s="17" t="str">
        <f t="shared" si="51"/>
        <v/>
      </c>
      <c r="AM362" s="17" t="str">
        <f t="shared" si="52"/>
        <v/>
      </c>
      <c r="AN362" s="17">
        <f t="shared" si="53"/>
        <v>0</v>
      </c>
      <c r="AO362" s="17" t="str">
        <f t="shared" ca="1" si="54"/>
        <v/>
      </c>
      <c r="AP362" s="17" t="str">
        <f t="shared" ca="1" si="55"/>
        <v/>
      </c>
      <c r="AQ362" s="17" t="str">
        <f t="shared" si="56"/>
        <v/>
      </c>
      <c r="AR362" s="17" t="str">
        <f t="shared" ca="1" si="57"/>
        <v/>
      </c>
      <c r="AS362" s="18"/>
      <c r="AT362" s="24">
        <f t="shared" si="63"/>
        <v>0</v>
      </c>
      <c r="AU362" s="24">
        <f t="shared" si="64"/>
        <v>0</v>
      </c>
      <c r="AV362" s="24">
        <f t="shared" si="65"/>
        <v>0</v>
      </c>
      <c r="AW362" s="24">
        <f t="shared" si="66"/>
        <v>0</v>
      </c>
      <c r="AX362" s="24">
        <f t="shared" si="67"/>
        <v>0</v>
      </c>
      <c r="AY362" s="24">
        <f t="shared" si="68"/>
        <v>0</v>
      </c>
      <c r="AZ362" s="18"/>
    </row>
    <row r="363" spans="1:52" x14ac:dyDescent="0.25">
      <c r="A363" s="16"/>
      <c r="B363" s="16"/>
      <c r="C363" s="65"/>
      <c r="D363" s="15"/>
      <c r="E363" s="15"/>
      <c r="F363" s="15"/>
      <c r="G363" s="16"/>
      <c r="H363" s="16"/>
      <c r="I363" s="16"/>
      <c r="J363" s="16"/>
      <c r="K363" s="86"/>
      <c r="L363" s="16"/>
      <c r="M363" s="15"/>
      <c r="N363" s="15"/>
      <c r="O363" s="20"/>
      <c r="P363" s="15"/>
      <c r="Q363" s="20"/>
      <c r="R363" s="15"/>
      <c r="S363" s="15"/>
      <c r="T363" s="15"/>
      <c r="U363" s="15"/>
      <c r="V363" s="17"/>
      <c r="W363" s="17"/>
      <c r="X363" s="16"/>
      <c r="Y363" s="20"/>
      <c r="Z363" s="15"/>
      <c r="AA363" s="22"/>
      <c r="AB363" s="90"/>
      <c r="AC363" s="22"/>
      <c r="AD363" s="25"/>
      <c r="AE363" s="25" t="str">
        <f t="shared" si="58"/>
        <v/>
      </c>
      <c r="AF363" s="17" t="str">
        <f t="shared" ca="1" si="59"/>
        <v/>
      </c>
      <c r="AG363" s="17" t="str">
        <f t="shared" si="60"/>
        <v/>
      </c>
      <c r="AH363" s="17" t="str">
        <f t="shared" si="61"/>
        <v/>
      </c>
      <c r="AI363" s="17" t="str">
        <f t="shared" ca="1" si="62"/>
        <v/>
      </c>
      <c r="AJ363" s="17" t="str">
        <f t="shared" ca="1" si="49"/>
        <v/>
      </c>
      <c r="AK363" s="17" t="str">
        <f t="shared" si="50"/>
        <v/>
      </c>
      <c r="AL363" s="17" t="str">
        <f t="shared" si="51"/>
        <v/>
      </c>
      <c r="AM363" s="17" t="str">
        <f t="shared" si="52"/>
        <v/>
      </c>
      <c r="AN363" s="17">
        <f t="shared" si="53"/>
        <v>0</v>
      </c>
      <c r="AO363" s="17" t="str">
        <f t="shared" ca="1" si="54"/>
        <v/>
      </c>
      <c r="AP363" s="17" t="str">
        <f t="shared" ca="1" si="55"/>
        <v/>
      </c>
      <c r="AQ363" s="17" t="str">
        <f t="shared" si="56"/>
        <v/>
      </c>
      <c r="AR363" s="17" t="str">
        <f t="shared" ca="1" si="57"/>
        <v/>
      </c>
      <c r="AS363" s="18"/>
      <c r="AT363" s="24">
        <f t="shared" si="63"/>
        <v>0</v>
      </c>
      <c r="AU363" s="24">
        <f t="shared" si="64"/>
        <v>0</v>
      </c>
      <c r="AV363" s="24">
        <f t="shared" si="65"/>
        <v>0</v>
      </c>
      <c r="AW363" s="24">
        <f t="shared" si="66"/>
        <v>0</v>
      </c>
      <c r="AX363" s="24">
        <f t="shared" si="67"/>
        <v>0</v>
      </c>
      <c r="AY363" s="24">
        <f t="shared" si="68"/>
        <v>0</v>
      </c>
      <c r="AZ363" s="18"/>
    </row>
    <row r="364" spans="1:52" x14ac:dyDescent="0.25">
      <c r="A364" s="16"/>
      <c r="B364" s="16"/>
      <c r="C364" s="65"/>
      <c r="D364" s="15"/>
      <c r="E364" s="15"/>
      <c r="F364" s="15"/>
      <c r="G364" s="16"/>
      <c r="H364" s="16"/>
      <c r="I364" s="16"/>
      <c r="J364" s="16"/>
      <c r="K364" s="86"/>
      <c r="L364" s="16"/>
      <c r="M364" s="15"/>
      <c r="N364" s="15"/>
      <c r="O364" s="20"/>
      <c r="P364" s="15"/>
      <c r="Q364" s="20"/>
      <c r="R364" s="15"/>
      <c r="S364" s="15"/>
      <c r="T364" s="15"/>
      <c r="U364" s="15"/>
      <c r="V364" s="17"/>
      <c r="W364" s="17"/>
      <c r="X364" s="16"/>
      <c r="Y364" s="20"/>
      <c r="Z364" s="15"/>
      <c r="AA364" s="22"/>
      <c r="AB364" s="90"/>
      <c r="AC364" s="22"/>
      <c r="AD364" s="25"/>
      <c r="AE364" s="25" t="str">
        <f t="shared" si="58"/>
        <v/>
      </c>
      <c r="AF364" s="17" t="str">
        <f t="shared" ca="1" si="59"/>
        <v/>
      </c>
      <c r="AG364" s="17" t="str">
        <f t="shared" si="60"/>
        <v/>
      </c>
      <c r="AH364" s="17" t="str">
        <f t="shared" si="61"/>
        <v/>
      </c>
      <c r="AI364" s="17" t="str">
        <f t="shared" ca="1" si="62"/>
        <v/>
      </c>
      <c r="AJ364" s="17" t="str">
        <f t="shared" ca="1" si="49"/>
        <v/>
      </c>
      <c r="AK364" s="17" t="str">
        <f t="shared" si="50"/>
        <v/>
      </c>
      <c r="AL364" s="17" t="str">
        <f t="shared" si="51"/>
        <v/>
      </c>
      <c r="AM364" s="17" t="str">
        <f t="shared" si="52"/>
        <v/>
      </c>
      <c r="AN364" s="17">
        <f t="shared" si="53"/>
        <v>0</v>
      </c>
      <c r="AO364" s="17" t="str">
        <f t="shared" ca="1" si="54"/>
        <v/>
      </c>
      <c r="AP364" s="17" t="str">
        <f t="shared" ca="1" si="55"/>
        <v/>
      </c>
      <c r="AQ364" s="17" t="str">
        <f t="shared" si="56"/>
        <v/>
      </c>
      <c r="AR364" s="17" t="str">
        <f t="shared" ca="1" si="57"/>
        <v/>
      </c>
      <c r="AS364" s="18"/>
      <c r="AT364" s="24">
        <f t="shared" si="63"/>
        <v>0</v>
      </c>
      <c r="AU364" s="24">
        <f t="shared" si="64"/>
        <v>0</v>
      </c>
      <c r="AV364" s="24">
        <f t="shared" si="65"/>
        <v>0</v>
      </c>
      <c r="AW364" s="24">
        <f t="shared" si="66"/>
        <v>0</v>
      </c>
      <c r="AX364" s="24">
        <f t="shared" si="67"/>
        <v>0</v>
      </c>
      <c r="AY364" s="24">
        <f t="shared" si="68"/>
        <v>0</v>
      </c>
      <c r="AZ364" s="18"/>
    </row>
    <row r="365" spans="1:52" x14ac:dyDescent="0.25">
      <c r="A365" s="16"/>
      <c r="B365" s="16"/>
      <c r="C365" s="65"/>
      <c r="D365" s="15"/>
      <c r="E365" s="15"/>
      <c r="F365" s="15"/>
      <c r="G365" s="16"/>
      <c r="H365" s="16"/>
      <c r="I365" s="16"/>
      <c r="J365" s="16"/>
      <c r="K365" s="86"/>
      <c r="L365" s="16"/>
      <c r="M365" s="15"/>
      <c r="N365" s="15"/>
      <c r="O365" s="20"/>
      <c r="P365" s="15"/>
      <c r="Q365" s="20"/>
      <c r="R365" s="15"/>
      <c r="S365" s="15"/>
      <c r="T365" s="15"/>
      <c r="U365" s="15"/>
      <c r="V365" s="17"/>
      <c r="W365" s="17"/>
      <c r="X365" s="16"/>
      <c r="Y365" s="20"/>
      <c r="Z365" s="15"/>
      <c r="AA365" s="22"/>
      <c r="AB365" s="90"/>
      <c r="AC365" s="22"/>
      <c r="AD365" s="25"/>
      <c r="AE365" s="25" t="str">
        <f t="shared" si="58"/>
        <v/>
      </c>
      <c r="AF365" s="17" t="str">
        <f t="shared" ca="1" si="59"/>
        <v/>
      </c>
      <c r="AG365" s="17" t="str">
        <f t="shared" si="60"/>
        <v/>
      </c>
      <c r="AH365" s="17" t="str">
        <f t="shared" si="61"/>
        <v/>
      </c>
      <c r="AI365" s="17" t="str">
        <f t="shared" ca="1" si="62"/>
        <v/>
      </c>
      <c r="AJ365" s="17" t="str">
        <f t="shared" ca="1" si="49"/>
        <v/>
      </c>
      <c r="AK365" s="17" t="str">
        <f t="shared" si="50"/>
        <v/>
      </c>
      <c r="AL365" s="17" t="str">
        <f t="shared" si="51"/>
        <v/>
      </c>
      <c r="AM365" s="17" t="str">
        <f t="shared" si="52"/>
        <v/>
      </c>
      <c r="AN365" s="17">
        <f t="shared" si="53"/>
        <v>0</v>
      </c>
      <c r="AO365" s="17" t="str">
        <f t="shared" ca="1" si="54"/>
        <v/>
      </c>
      <c r="AP365" s="17" t="str">
        <f t="shared" ca="1" si="55"/>
        <v/>
      </c>
      <c r="AQ365" s="17" t="str">
        <f t="shared" si="56"/>
        <v/>
      </c>
      <c r="AR365" s="17" t="str">
        <f t="shared" ca="1" si="57"/>
        <v/>
      </c>
      <c r="AS365" s="18"/>
      <c r="AT365" s="24">
        <f t="shared" si="63"/>
        <v>0</v>
      </c>
      <c r="AU365" s="24">
        <f t="shared" si="64"/>
        <v>0</v>
      </c>
      <c r="AV365" s="24">
        <f t="shared" si="65"/>
        <v>0</v>
      </c>
      <c r="AW365" s="24">
        <f t="shared" si="66"/>
        <v>0</v>
      </c>
      <c r="AX365" s="24">
        <f t="shared" si="67"/>
        <v>0</v>
      </c>
      <c r="AY365" s="24">
        <f t="shared" si="68"/>
        <v>0</v>
      </c>
      <c r="AZ365" s="18"/>
    </row>
    <row r="366" spans="1:52" x14ac:dyDescent="0.25">
      <c r="A366" s="16"/>
      <c r="B366" s="16"/>
      <c r="C366" s="65"/>
      <c r="D366" s="15"/>
      <c r="E366" s="15"/>
      <c r="F366" s="15"/>
      <c r="G366" s="16"/>
      <c r="H366" s="16"/>
      <c r="I366" s="16"/>
      <c r="J366" s="16"/>
      <c r="K366" s="86"/>
      <c r="L366" s="16"/>
      <c r="M366" s="15"/>
      <c r="N366" s="15"/>
      <c r="O366" s="20"/>
      <c r="P366" s="15"/>
      <c r="Q366" s="20"/>
      <c r="R366" s="15"/>
      <c r="S366" s="15"/>
      <c r="T366" s="15"/>
      <c r="U366" s="15"/>
      <c r="V366" s="17"/>
      <c r="W366" s="17"/>
      <c r="X366" s="16"/>
      <c r="Y366" s="20"/>
      <c r="Z366" s="15"/>
      <c r="AA366" s="22"/>
      <c r="AB366" s="90"/>
      <c r="AC366" s="22"/>
      <c r="AD366" s="25"/>
      <c r="AE366" s="25" t="str">
        <f t="shared" si="58"/>
        <v/>
      </c>
      <c r="AF366" s="17" t="str">
        <f t="shared" ca="1" si="59"/>
        <v/>
      </c>
      <c r="AG366" s="17" t="str">
        <f t="shared" si="60"/>
        <v/>
      </c>
      <c r="AH366" s="17" t="str">
        <f t="shared" si="61"/>
        <v/>
      </c>
      <c r="AI366" s="17" t="str">
        <f t="shared" ca="1" si="62"/>
        <v/>
      </c>
      <c r="AJ366" s="17" t="str">
        <f t="shared" ca="1" si="49"/>
        <v/>
      </c>
      <c r="AK366" s="17" t="str">
        <f t="shared" si="50"/>
        <v/>
      </c>
      <c r="AL366" s="17" t="str">
        <f t="shared" si="51"/>
        <v/>
      </c>
      <c r="AM366" s="17" t="str">
        <f t="shared" si="52"/>
        <v/>
      </c>
      <c r="AN366" s="17">
        <f t="shared" si="53"/>
        <v>0</v>
      </c>
      <c r="AO366" s="17" t="str">
        <f t="shared" ca="1" si="54"/>
        <v/>
      </c>
      <c r="AP366" s="17" t="str">
        <f t="shared" ca="1" si="55"/>
        <v/>
      </c>
      <c r="AQ366" s="17" t="str">
        <f t="shared" si="56"/>
        <v/>
      </c>
      <c r="AR366" s="17" t="str">
        <f t="shared" ca="1" si="57"/>
        <v/>
      </c>
      <c r="AS366" s="18"/>
      <c r="AT366" s="24">
        <f t="shared" si="63"/>
        <v>0</v>
      </c>
      <c r="AU366" s="24">
        <f t="shared" si="64"/>
        <v>0</v>
      </c>
      <c r="AV366" s="24">
        <f t="shared" si="65"/>
        <v>0</v>
      </c>
      <c r="AW366" s="24">
        <f t="shared" si="66"/>
        <v>0</v>
      </c>
      <c r="AX366" s="24">
        <f t="shared" si="67"/>
        <v>0</v>
      </c>
      <c r="AY366" s="24">
        <f t="shared" si="68"/>
        <v>0</v>
      </c>
      <c r="AZ366" s="18"/>
    </row>
    <row r="367" spans="1:52" x14ac:dyDescent="0.25">
      <c r="A367" s="16"/>
      <c r="B367" s="16"/>
      <c r="C367" s="65"/>
      <c r="D367" s="15"/>
      <c r="E367" s="15"/>
      <c r="F367" s="15"/>
      <c r="G367" s="16"/>
      <c r="H367" s="16"/>
      <c r="I367" s="16"/>
      <c r="J367" s="16"/>
      <c r="K367" s="86"/>
      <c r="L367" s="16"/>
      <c r="M367" s="15"/>
      <c r="N367" s="15"/>
      <c r="O367" s="20"/>
      <c r="P367" s="15"/>
      <c r="Q367" s="20"/>
      <c r="R367" s="15"/>
      <c r="S367" s="15"/>
      <c r="T367" s="15"/>
      <c r="U367" s="15"/>
      <c r="V367" s="17"/>
      <c r="W367" s="17"/>
      <c r="X367" s="16"/>
      <c r="Y367" s="20"/>
      <c r="Z367" s="15"/>
      <c r="AA367" s="22"/>
      <c r="AB367" s="90"/>
      <c r="AC367" s="22"/>
      <c r="AD367" s="25"/>
      <c r="AE367" s="25" t="str">
        <f t="shared" si="58"/>
        <v/>
      </c>
      <c r="AF367" s="17" t="str">
        <f t="shared" ca="1" si="59"/>
        <v/>
      </c>
      <c r="AG367" s="17" t="str">
        <f t="shared" si="60"/>
        <v/>
      </c>
      <c r="AH367" s="17" t="str">
        <f t="shared" si="61"/>
        <v/>
      </c>
      <c r="AI367" s="17" t="str">
        <f t="shared" ca="1" si="62"/>
        <v/>
      </c>
      <c r="AJ367" s="17" t="str">
        <f t="shared" ca="1" si="49"/>
        <v/>
      </c>
      <c r="AK367" s="17" t="str">
        <f t="shared" si="50"/>
        <v/>
      </c>
      <c r="AL367" s="17" t="str">
        <f t="shared" si="51"/>
        <v/>
      </c>
      <c r="AM367" s="17" t="str">
        <f t="shared" si="52"/>
        <v/>
      </c>
      <c r="AN367" s="17">
        <f t="shared" si="53"/>
        <v>0</v>
      </c>
      <c r="AO367" s="17" t="str">
        <f t="shared" ca="1" si="54"/>
        <v/>
      </c>
      <c r="AP367" s="17" t="str">
        <f t="shared" ca="1" si="55"/>
        <v/>
      </c>
      <c r="AQ367" s="17" t="str">
        <f t="shared" si="56"/>
        <v/>
      </c>
      <c r="AR367" s="17" t="str">
        <f t="shared" ca="1" si="57"/>
        <v/>
      </c>
      <c r="AS367" s="18"/>
      <c r="AT367" s="24">
        <f t="shared" si="63"/>
        <v>0</v>
      </c>
      <c r="AU367" s="24">
        <f t="shared" si="64"/>
        <v>0</v>
      </c>
      <c r="AV367" s="24">
        <f t="shared" si="65"/>
        <v>0</v>
      </c>
      <c r="AW367" s="24">
        <f t="shared" si="66"/>
        <v>0</v>
      </c>
      <c r="AX367" s="24">
        <f t="shared" si="67"/>
        <v>0</v>
      </c>
      <c r="AY367" s="24">
        <f t="shared" si="68"/>
        <v>0</v>
      </c>
      <c r="AZ367" s="18"/>
    </row>
    <row r="368" spans="1:52" x14ac:dyDescent="0.25">
      <c r="A368" s="16"/>
      <c r="B368" s="16"/>
      <c r="C368" s="65"/>
      <c r="D368" s="15"/>
      <c r="E368" s="15"/>
      <c r="F368" s="15"/>
      <c r="G368" s="16"/>
      <c r="H368" s="16"/>
      <c r="I368" s="16"/>
      <c r="J368" s="16"/>
      <c r="K368" s="86"/>
      <c r="L368" s="16"/>
      <c r="M368" s="15"/>
      <c r="N368" s="15"/>
      <c r="O368" s="20"/>
      <c r="P368" s="15"/>
      <c r="Q368" s="20"/>
      <c r="R368" s="15"/>
      <c r="S368" s="15"/>
      <c r="T368" s="15"/>
      <c r="U368" s="15"/>
      <c r="V368" s="17"/>
      <c r="W368" s="17"/>
      <c r="X368" s="16"/>
      <c r="Y368" s="20"/>
      <c r="Z368" s="15"/>
      <c r="AA368" s="22"/>
      <c r="AB368" s="90"/>
      <c r="AC368" s="22"/>
      <c r="AD368" s="25"/>
      <c r="AE368" s="25" t="str">
        <f t="shared" si="58"/>
        <v/>
      </c>
      <c r="AF368" s="17" t="str">
        <f t="shared" ca="1" si="59"/>
        <v/>
      </c>
      <c r="AG368" s="17" t="str">
        <f t="shared" si="60"/>
        <v/>
      </c>
      <c r="AH368" s="17" t="str">
        <f t="shared" si="61"/>
        <v/>
      </c>
      <c r="AI368" s="17" t="str">
        <f t="shared" ca="1" si="62"/>
        <v/>
      </c>
      <c r="AJ368" s="17" t="str">
        <f t="shared" ca="1" si="49"/>
        <v/>
      </c>
      <c r="AK368" s="17" t="str">
        <f t="shared" si="50"/>
        <v/>
      </c>
      <c r="AL368" s="17" t="str">
        <f t="shared" si="51"/>
        <v/>
      </c>
      <c r="AM368" s="17" t="str">
        <f t="shared" si="52"/>
        <v/>
      </c>
      <c r="AN368" s="17">
        <f t="shared" si="53"/>
        <v>0</v>
      </c>
      <c r="AO368" s="17" t="str">
        <f t="shared" ca="1" si="54"/>
        <v/>
      </c>
      <c r="AP368" s="17" t="str">
        <f t="shared" ca="1" si="55"/>
        <v/>
      </c>
      <c r="AQ368" s="17" t="str">
        <f t="shared" si="56"/>
        <v/>
      </c>
      <c r="AR368" s="17" t="str">
        <f t="shared" ca="1" si="57"/>
        <v/>
      </c>
      <c r="AS368" s="18"/>
      <c r="AT368" s="24">
        <f t="shared" si="63"/>
        <v>0</v>
      </c>
      <c r="AU368" s="24">
        <f t="shared" si="64"/>
        <v>0</v>
      </c>
      <c r="AV368" s="24">
        <f t="shared" si="65"/>
        <v>0</v>
      </c>
      <c r="AW368" s="24">
        <f t="shared" si="66"/>
        <v>0</v>
      </c>
      <c r="AX368" s="24">
        <f t="shared" si="67"/>
        <v>0</v>
      </c>
      <c r="AY368" s="24">
        <f t="shared" si="68"/>
        <v>0</v>
      </c>
      <c r="AZ368" s="18"/>
    </row>
    <row r="369" spans="1:52" x14ac:dyDescent="0.25">
      <c r="A369" s="16"/>
      <c r="B369" s="16"/>
      <c r="C369" s="65"/>
      <c r="D369" s="15"/>
      <c r="E369" s="15"/>
      <c r="F369" s="15"/>
      <c r="G369" s="16"/>
      <c r="H369" s="16"/>
      <c r="I369" s="16"/>
      <c r="J369" s="16"/>
      <c r="K369" s="86"/>
      <c r="L369" s="16"/>
      <c r="M369" s="15"/>
      <c r="N369" s="15"/>
      <c r="O369" s="20"/>
      <c r="P369" s="15"/>
      <c r="Q369" s="20"/>
      <c r="R369" s="15"/>
      <c r="S369" s="15"/>
      <c r="T369" s="15"/>
      <c r="U369" s="15"/>
      <c r="V369" s="17"/>
      <c r="W369" s="17"/>
      <c r="X369" s="16"/>
      <c r="Y369" s="20"/>
      <c r="Z369" s="15"/>
      <c r="AA369" s="22"/>
      <c r="AB369" s="90"/>
      <c r="AC369" s="22"/>
      <c r="AD369" s="25"/>
      <c r="AE369" s="25" t="str">
        <f t="shared" si="58"/>
        <v/>
      </c>
      <c r="AF369" s="17" t="str">
        <f t="shared" ca="1" si="59"/>
        <v/>
      </c>
      <c r="AG369" s="17" t="str">
        <f t="shared" si="60"/>
        <v/>
      </c>
      <c r="AH369" s="17" t="str">
        <f t="shared" si="61"/>
        <v/>
      </c>
      <c r="AI369" s="17" t="str">
        <f t="shared" ca="1" si="62"/>
        <v/>
      </c>
      <c r="AJ369" s="17" t="str">
        <f t="shared" ca="1" si="49"/>
        <v/>
      </c>
      <c r="AK369" s="17" t="str">
        <f t="shared" si="50"/>
        <v/>
      </c>
      <c r="AL369" s="17" t="str">
        <f t="shared" si="51"/>
        <v/>
      </c>
      <c r="AM369" s="17" t="str">
        <f t="shared" si="52"/>
        <v/>
      </c>
      <c r="AN369" s="17">
        <f t="shared" si="53"/>
        <v>0</v>
      </c>
      <c r="AO369" s="17" t="str">
        <f t="shared" ca="1" si="54"/>
        <v/>
      </c>
      <c r="AP369" s="17" t="str">
        <f t="shared" ca="1" si="55"/>
        <v/>
      </c>
      <c r="AQ369" s="17" t="str">
        <f t="shared" si="56"/>
        <v/>
      </c>
      <c r="AR369" s="17" t="str">
        <f t="shared" ca="1" si="57"/>
        <v/>
      </c>
      <c r="AS369" s="18"/>
      <c r="AT369" s="24">
        <f t="shared" si="63"/>
        <v>0</v>
      </c>
      <c r="AU369" s="24">
        <f t="shared" si="64"/>
        <v>0</v>
      </c>
      <c r="AV369" s="24">
        <f t="shared" si="65"/>
        <v>0</v>
      </c>
      <c r="AW369" s="24">
        <f t="shared" si="66"/>
        <v>0</v>
      </c>
      <c r="AX369" s="24">
        <f t="shared" si="67"/>
        <v>0</v>
      </c>
      <c r="AY369" s="24">
        <f t="shared" si="68"/>
        <v>0</v>
      </c>
      <c r="AZ369" s="18"/>
    </row>
    <row r="370" spans="1:52" x14ac:dyDescent="0.25">
      <c r="A370" s="16"/>
      <c r="B370" s="16"/>
      <c r="C370" s="65"/>
      <c r="D370" s="15"/>
      <c r="E370" s="15"/>
      <c r="F370" s="15"/>
      <c r="G370" s="16"/>
      <c r="H370" s="16"/>
      <c r="I370" s="16"/>
      <c r="J370" s="16"/>
      <c r="K370" s="86"/>
      <c r="L370" s="16"/>
      <c r="M370" s="15"/>
      <c r="N370" s="15"/>
      <c r="O370" s="20"/>
      <c r="P370" s="15"/>
      <c r="Q370" s="20"/>
      <c r="R370" s="15"/>
      <c r="S370" s="15"/>
      <c r="T370" s="15"/>
      <c r="U370" s="15"/>
      <c r="V370" s="17"/>
      <c r="W370" s="17"/>
      <c r="X370" s="16"/>
      <c r="Y370" s="20"/>
      <c r="Z370" s="15"/>
      <c r="AA370" s="22"/>
      <c r="AB370" s="90"/>
      <c r="AC370" s="22"/>
      <c r="AD370" s="25"/>
      <c r="AE370" s="25" t="str">
        <f t="shared" si="58"/>
        <v/>
      </c>
      <c r="AF370" s="17" t="str">
        <f t="shared" ca="1" si="59"/>
        <v/>
      </c>
      <c r="AG370" s="17" t="str">
        <f t="shared" si="60"/>
        <v/>
      </c>
      <c r="AH370" s="17" t="str">
        <f t="shared" si="61"/>
        <v/>
      </c>
      <c r="AI370" s="17" t="str">
        <f t="shared" ca="1" si="62"/>
        <v/>
      </c>
      <c r="AJ370" s="17" t="str">
        <f t="shared" ca="1" si="49"/>
        <v/>
      </c>
      <c r="AK370" s="17" t="str">
        <f t="shared" si="50"/>
        <v/>
      </c>
      <c r="AL370" s="17" t="str">
        <f t="shared" si="51"/>
        <v/>
      </c>
      <c r="AM370" s="17" t="str">
        <f t="shared" si="52"/>
        <v/>
      </c>
      <c r="AN370" s="17">
        <f t="shared" si="53"/>
        <v>0</v>
      </c>
      <c r="AO370" s="17" t="str">
        <f t="shared" ca="1" si="54"/>
        <v/>
      </c>
      <c r="AP370" s="17" t="str">
        <f t="shared" ca="1" si="55"/>
        <v/>
      </c>
      <c r="AQ370" s="17" t="str">
        <f t="shared" si="56"/>
        <v/>
      </c>
      <c r="AR370" s="17" t="str">
        <f t="shared" ca="1" si="57"/>
        <v/>
      </c>
      <c r="AS370" s="18"/>
      <c r="AT370" s="24">
        <f t="shared" si="63"/>
        <v>0</v>
      </c>
      <c r="AU370" s="24">
        <f t="shared" si="64"/>
        <v>0</v>
      </c>
      <c r="AV370" s="24">
        <f t="shared" si="65"/>
        <v>0</v>
      </c>
      <c r="AW370" s="24">
        <f t="shared" si="66"/>
        <v>0</v>
      </c>
      <c r="AX370" s="24">
        <f t="shared" si="67"/>
        <v>0</v>
      </c>
      <c r="AY370" s="24">
        <f t="shared" si="68"/>
        <v>0</v>
      </c>
      <c r="AZ370" s="18"/>
    </row>
    <row r="371" spans="1:52" x14ac:dyDescent="0.25">
      <c r="A371" s="16"/>
      <c r="B371" s="16"/>
      <c r="C371" s="65"/>
      <c r="D371" s="15"/>
      <c r="E371" s="15"/>
      <c r="F371" s="15"/>
      <c r="G371" s="16"/>
      <c r="H371" s="16"/>
      <c r="I371" s="16"/>
      <c r="J371" s="16"/>
      <c r="K371" s="86"/>
      <c r="L371" s="16"/>
      <c r="M371" s="15"/>
      <c r="N371" s="15"/>
      <c r="O371" s="20"/>
      <c r="P371" s="15"/>
      <c r="Q371" s="20"/>
      <c r="R371" s="15"/>
      <c r="S371" s="15"/>
      <c r="T371" s="15"/>
      <c r="U371" s="15"/>
      <c r="V371" s="17"/>
      <c r="W371" s="17"/>
      <c r="X371" s="16"/>
      <c r="Y371" s="20"/>
      <c r="Z371" s="15"/>
      <c r="AA371" s="22"/>
      <c r="AB371" s="90"/>
      <c r="AC371" s="22"/>
      <c r="AD371" s="25"/>
      <c r="AE371" s="25" t="str">
        <f t="shared" si="58"/>
        <v/>
      </c>
      <c r="AF371" s="17" t="str">
        <f t="shared" ca="1" si="59"/>
        <v/>
      </c>
      <c r="AG371" s="17" t="str">
        <f t="shared" si="60"/>
        <v/>
      </c>
      <c r="AH371" s="17" t="str">
        <f t="shared" si="61"/>
        <v/>
      </c>
      <c r="AI371" s="17" t="str">
        <f t="shared" ca="1" si="62"/>
        <v/>
      </c>
      <c r="AJ371" s="17" t="str">
        <f t="shared" ca="1" si="49"/>
        <v/>
      </c>
      <c r="AK371" s="17" t="str">
        <f t="shared" si="50"/>
        <v/>
      </c>
      <c r="AL371" s="17" t="str">
        <f t="shared" si="51"/>
        <v/>
      </c>
      <c r="AM371" s="17" t="str">
        <f t="shared" si="52"/>
        <v/>
      </c>
      <c r="AN371" s="17">
        <f t="shared" si="53"/>
        <v>0</v>
      </c>
      <c r="AO371" s="17" t="str">
        <f t="shared" ca="1" si="54"/>
        <v/>
      </c>
      <c r="AP371" s="17" t="str">
        <f t="shared" ca="1" si="55"/>
        <v/>
      </c>
      <c r="AQ371" s="17" t="str">
        <f t="shared" si="56"/>
        <v/>
      </c>
      <c r="AR371" s="17" t="str">
        <f t="shared" ca="1" si="57"/>
        <v/>
      </c>
      <c r="AS371" s="18"/>
      <c r="AT371" s="24">
        <f t="shared" si="63"/>
        <v>0</v>
      </c>
      <c r="AU371" s="24">
        <f t="shared" si="64"/>
        <v>0</v>
      </c>
      <c r="AV371" s="24">
        <f t="shared" si="65"/>
        <v>0</v>
      </c>
      <c r="AW371" s="24">
        <f t="shared" si="66"/>
        <v>0</v>
      </c>
      <c r="AX371" s="24">
        <f t="shared" si="67"/>
        <v>0</v>
      </c>
      <c r="AY371" s="24">
        <f t="shared" si="68"/>
        <v>0</v>
      </c>
      <c r="AZ371" s="18"/>
    </row>
    <row r="372" spans="1:52" x14ac:dyDescent="0.25">
      <c r="A372" s="16"/>
      <c r="B372" s="16"/>
      <c r="C372" s="65"/>
      <c r="D372" s="15"/>
      <c r="E372" s="15"/>
      <c r="F372" s="15"/>
      <c r="G372" s="16"/>
      <c r="H372" s="16"/>
      <c r="I372" s="16"/>
      <c r="J372" s="16"/>
      <c r="K372" s="86"/>
      <c r="L372" s="16"/>
      <c r="M372" s="15"/>
      <c r="N372" s="15"/>
      <c r="O372" s="20"/>
      <c r="P372" s="15"/>
      <c r="Q372" s="20"/>
      <c r="R372" s="15"/>
      <c r="S372" s="15"/>
      <c r="T372" s="15"/>
      <c r="U372" s="15"/>
      <c r="V372" s="17"/>
      <c r="W372" s="17"/>
      <c r="X372" s="16"/>
      <c r="Y372" s="20"/>
      <c r="Z372" s="15"/>
      <c r="AA372" s="22"/>
      <c r="AB372" s="90"/>
      <c r="AC372" s="22"/>
      <c r="AD372" s="25"/>
      <c r="AE372" s="25" t="str">
        <f t="shared" si="58"/>
        <v/>
      </c>
      <c r="AF372" s="17" t="str">
        <f t="shared" ca="1" si="59"/>
        <v/>
      </c>
      <c r="AG372" s="17" t="str">
        <f t="shared" si="60"/>
        <v/>
      </c>
      <c r="AH372" s="17" t="str">
        <f t="shared" si="61"/>
        <v/>
      </c>
      <c r="AI372" s="17" t="str">
        <f t="shared" ca="1" si="62"/>
        <v/>
      </c>
      <c r="AJ372" s="17" t="str">
        <f t="shared" ca="1" si="49"/>
        <v/>
      </c>
      <c r="AK372" s="17" t="str">
        <f t="shared" si="50"/>
        <v/>
      </c>
      <c r="AL372" s="17" t="str">
        <f t="shared" si="51"/>
        <v/>
      </c>
      <c r="AM372" s="17" t="str">
        <f t="shared" si="52"/>
        <v/>
      </c>
      <c r="AN372" s="17">
        <f t="shared" si="53"/>
        <v>0</v>
      </c>
      <c r="AO372" s="17" t="str">
        <f t="shared" ca="1" si="54"/>
        <v/>
      </c>
      <c r="AP372" s="17" t="str">
        <f t="shared" ca="1" si="55"/>
        <v/>
      </c>
      <c r="AQ372" s="17" t="str">
        <f t="shared" si="56"/>
        <v/>
      </c>
      <c r="AR372" s="17" t="str">
        <f t="shared" ca="1" si="57"/>
        <v/>
      </c>
      <c r="AS372" s="18"/>
      <c r="AT372" s="24">
        <f t="shared" si="63"/>
        <v>0</v>
      </c>
      <c r="AU372" s="24">
        <f t="shared" si="64"/>
        <v>0</v>
      </c>
      <c r="AV372" s="24">
        <f t="shared" si="65"/>
        <v>0</v>
      </c>
      <c r="AW372" s="24">
        <f t="shared" si="66"/>
        <v>0</v>
      </c>
      <c r="AX372" s="24">
        <f t="shared" si="67"/>
        <v>0</v>
      </c>
      <c r="AY372" s="24">
        <f t="shared" si="68"/>
        <v>0</v>
      </c>
      <c r="AZ372" s="18"/>
    </row>
    <row r="373" spans="1:52" x14ac:dyDescent="0.25">
      <c r="A373" s="16"/>
      <c r="B373" s="16"/>
      <c r="C373" s="65"/>
      <c r="D373" s="15"/>
      <c r="E373" s="15"/>
      <c r="F373" s="15"/>
      <c r="G373" s="16"/>
      <c r="H373" s="16"/>
      <c r="I373" s="16"/>
      <c r="J373" s="16"/>
      <c r="K373" s="86"/>
      <c r="L373" s="16"/>
      <c r="M373" s="15"/>
      <c r="N373" s="15"/>
      <c r="O373" s="20"/>
      <c r="P373" s="15"/>
      <c r="Q373" s="20"/>
      <c r="R373" s="15"/>
      <c r="S373" s="15"/>
      <c r="T373" s="15"/>
      <c r="U373" s="15"/>
      <c r="V373" s="17"/>
      <c r="W373" s="17"/>
      <c r="X373" s="16"/>
      <c r="Y373" s="20"/>
      <c r="Z373" s="15"/>
      <c r="AA373" s="22"/>
      <c r="AB373" s="90"/>
      <c r="AC373" s="22"/>
      <c r="AD373" s="25"/>
      <c r="AE373" s="25" t="str">
        <f t="shared" si="58"/>
        <v/>
      </c>
      <c r="AF373" s="17" t="str">
        <f t="shared" ca="1" si="59"/>
        <v/>
      </c>
      <c r="AG373" s="17" t="str">
        <f t="shared" si="60"/>
        <v/>
      </c>
      <c r="AH373" s="17" t="str">
        <f t="shared" si="61"/>
        <v/>
      </c>
      <c r="AI373" s="17" t="str">
        <f t="shared" ca="1" si="62"/>
        <v/>
      </c>
      <c r="AJ373" s="17" t="str">
        <f t="shared" ca="1" si="49"/>
        <v/>
      </c>
      <c r="AK373" s="17" t="str">
        <f t="shared" si="50"/>
        <v/>
      </c>
      <c r="AL373" s="17" t="str">
        <f t="shared" si="51"/>
        <v/>
      </c>
      <c r="AM373" s="17" t="str">
        <f t="shared" si="52"/>
        <v/>
      </c>
      <c r="AN373" s="17">
        <f t="shared" si="53"/>
        <v>0</v>
      </c>
      <c r="AO373" s="17" t="str">
        <f t="shared" ca="1" si="54"/>
        <v/>
      </c>
      <c r="AP373" s="17" t="str">
        <f t="shared" ca="1" si="55"/>
        <v/>
      </c>
      <c r="AQ373" s="17" t="str">
        <f t="shared" si="56"/>
        <v/>
      </c>
      <c r="AR373" s="17" t="str">
        <f t="shared" ca="1" si="57"/>
        <v/>
      </c>
      <c r="AS373" s="18"/>
      <c r="AT373" s="24">
        <f t="shared" si="63"/>
        <v>0</v>
      </c>
      <c r="AU373" s="24">
        <f t="shared" si="64"/>
        <v>0</v>
      </c>
      <c r="AV373" s="24">
        <f t="shared" si="65"/>
        <v>0</v>
      </c>
      <c r="AW373" s="24">
        <f t="shared" si="66"/>
        <v>0</v>
      </c>
      <c r="AX373" s="24">
        <f t="shared" si="67"/>
        <v>0</v>
      </c>
      <c r="AY373" s="24">
        <f t="shared" si="68"/>
        <v>0</v>
      </c>
      <c r="AZ373" s="18"/>
    </row>
    <row r="374" spans="1:52" x14ac:dyDescent="0.25">
      <c r="A374" s="16"/>
      <c r="B374" s="16"/>
      <c r="C374" s="65"/>
      <c r="D374" s="15"/>
      <c r="E374" s="15"/>
      <c r="F374" s="15"/>
      <c r="G374" s="16"/>
      <c r="H374" s="16"/>
      <c r="I374" s="16"/>
      <c r="J374" s="16"/>
      <c r="K374" s="86"/>
      <c r="L374" s="16"/>
      <c r="M374" s="15"/>
      <c r="N374" s="15"/>
      <c r="O374" s="20"/>
      <c r="P374" s="15"/>
      <c r="Q374" s="20"/>
      <c r="R374" s="15"/>
      <c r="S374" s="15"/>
      <c r="T374" s="15"/>
      <c r="U374" s="15"/>
      <c r="V374" s="17"/>
      <c r="W374" s="17"/>
      <c r="X374" s="16"/>
      <c r="Y374" s="20"/>
      <c r="Z374" s="15"/>
      <c r="AA374" s="22"/>
      <c r="AB374" s="90"/>
      <c r="AC374" s="22"/>
      <c r="AD374" s="25"/>
      <c r="AE374" s="25" t="str">
        <f t="shared" si="58"/>
        <v/>
      </c>
      <c r="AF374" s="17" t="str">
        <f t="shared" ca="1" si="59"/>
        <v/>
      </c>
      <c r="AG374" s="17" t="str">
        <f t="shared" si="60"/>
        <v/>
      </c>
      <c r="AH374" s="17" t="str">
        <f t="shared" si="61"/>
        <v/>
      </c>
      <c r="AI374" s="17" t="str">
        <f t="shared" ca="1" si="62"/>
        <v/>
      </c>
      <c r="AJ374" s="17" t="str">
        <f t="shared" ca="1" si="49"/>
        <v/>
      </c>
      <c r="AK374" s="17" t="str">
        <f t="shared" si="50"/>
        <v/>
      </c>
      <c r="AL374" s="17" t="str">
        <f t="shared" si="51"/>
        <v/>
      </c>
      <c r="AM374" s="17" t="str">
        <f t="shared" si="52"/>
        <v/>
      </c>
      <c r="AN374" s="17">
        <f t="shared" si="53"/>
        <v>0</v>
      </c>
      <c r="AO374" s="17" t="str">
        <f t="shared" ca="1" si="54"/>
        <v/>
      </c>
      <c r="AP374" s="17" t="str">
        <f t="shared" ca="1" si="55"/>
        <v/>
      </c>
      <c r="AQ374" s="17" t="str">
        <f t="shared" si="56"/>
        <v/>
      </c>
      <c r="AR374" s="17" t="str">
        <f t="shared" ca="1" si="57"/>
        <v/>
      </c>
      <c r="AS374" s="18"/>
      <c r="AT374" s="24">
        <f t="shared" si="63"/>
        <v>0</v>
      </c>
      <c r="AU374" s="24">
        <f t="shared" si="64"/>
        <v>0</v>
      </c>
      <c r="AV374" s="24">
        <f t="shared" si="65"/>
        <v>0</v>
      </c>
      <c r="AW374" s="24">
        <f t="shared" si="66"/>
        <v>0</v>
      </c>
      <c r="AX374" s="24">
        <f t="shared" si="67"/>
        <v>0</v>
      </c>
      <c r="AY374" s="24">
        <f t="shared" si="68"/>
        <v>0</v>
      </c>
      <c r="AZ374" s="18"/>
    </row>
    <row r="375" spans="1:52" x14ac:dyDescent="0.25">
      <c r="A375" s="16"/>
      <c r="B375" s="16"/>
      <c r="C375" s="65"/>
      <c r="D375" s="15"/>
      <c r="E375" s="15"/>
      <c r="F375" s="15"/>
      <c r="G375" s="16"/>
      <c r="H375" s="16"/>
      <c r="I375" s="16"/>
      <c r="J375" s="16"/>
      <c r="K375" s="86"/>
      <c r="L375" s="16"/>
      <c r="M375" s="15"/>
      <c r="N375" s="15"/>
      <c r="O375" s="20"/>
      <c r="P375" s="15"/>
      <c r="Q375" s="20"/>
      <c r="R375" s="15"/>
      <c r="S375" s="15"/>
      <c r="T375" s="15"/>
      <c r="U375" s="15"/>
      <c r="V375" s="17"/>
      <c r="W375" s="17"/>
      <c r="X375" s="16"/>
      <c r="Y375" s="20"/>
      <c r="Z375" s="15"/>
      <c r="AA375" s="22"/>
      <c r="AB375" s="90"/>
      <c r="AC375" s="22"/>
      <c r="AD375" s="25"/>
      <c r="AE375" s="25" t="str">
        <f t="shared" si="58"/>
        <v/>
      </c>
      <c r="AF375" s="17" t="str">
        <f t="shared" ca="1" si="59"/>
        <v/>
      </c>
      <c r="AG375" s="17" t="str">
        <f t="shared" si="60"/>
        <v/>
      </c>
      <c r="AH375" s="17" t="str">
        <f t="shared" si="61"/>
        <v/>
      </c>
      <c r="AI375" s="17" t="str">
        <f t="shared" ca="1" si="62"/>
        <v/>
      </c>
      <c r="AJ375" s="17" t="str">
        <f t="shared" ca="1" si="49"/>
        <v/>
      </c>
      <c r="AK375" s="17" t="str">
        <f t="shared" si="50"/>
        <v/>
      </c>
      <c r="AL375" s="17" t="str">
        <f t="shared" si="51"/>
        <v/>
      </c>
      <c r="AM375" s="17" t="str">
        <f t="shared" si="52"/>
        <v/>
      </c>
      <c r="AN375" s="17">
        <f t="shared" si="53"/>
        <v>0</v>
      </c>
      <c r="AO375" s="17" t="str">
        <f t="shared" ca="1" si="54"/>
        <v/>
      </c>
      <c r="AP375" s="17" t="str">
        <f t="shared" ca="1" si="55"/>
        <v/>
      </c>
      <c r="AQ375" s="17" t="str">
        <f t="shared" si="56"/>
        <v/>
      </c>
      <c r="AR375" s="17" t="str">
        <f t="shared" ca="1" si="57"/>
        <v/>
      </c>
      <c r="AS375" s="18"/>
      <c r="AT375" s="24">
        <f t="shared" si="63"/>
        <v>0</v>
      </c>
      <c r="AU375" s="24">
        <f t="shared" si="64"/>
        <v>0</v>
      </c>
      <c r="AV375" s="24">
        <f t="shared" si="65"/>
        <v>0</v>
      </c>
      <c r="AW375" s="24">
        <f t="shared" si="66"/>
        <v>0</v>
      </c>
      <c r="AX375" s="24">
        <f t="shared" si="67"/>
        <v>0</v>
      </c>
      <c r="AY375" s="24">
        <f t="shared" si="68"/>
        <v>0</v>
      </c>
      <c r="AZ375" s="18"/>
    </row>
    <row r="376" spans="1:52" x14ac:dyDescent="0.25">
      <c r="A376" s="16"/>
      <c r="B376" s="16"/>
      <c r="C376" s="65"/>
      <c r="D376" s="15"/>
      <c r="E376" s="15"/>
      <c r="F376" s="15"/>
      <c r="G376" s="16"/>
      <c r="H376" s="16"/>
      <c r="I376" s="16"/>
      <c r="J376" s="16"/>
      <c r="K376" s="86"/>
      <c r="L376" s="16"/>
      <c r="M376" s="15"/>
      <c r="N376" s="15"/>
      <c r="O376" s="20"/>
      <c r="P376" s="15"/>
      <c r="Q376" s="20"/>
      <c r="R376" s="15"/>
      <c r="S376" s="15"/>
      <c r="T376" s="15"/>
      <c r="U376" s="15"/>
      <c r="V376" s="17"/>
      <c r="W376" s="17"/>
      <c r="X376" s="16"/>
      <c r="Y376" s="20"/>
      <c r="Z376" s="15"/>
      <c r="AA376" s="22"/>
      <c r="AB376" s="90"/>
      <c r="AC376" s="22"/>
      <c r="AD376" s="25"/>
      <c r="AE376" s="25" t="str">
        <f t="shared" si="58"/>
        <v/>
      </c>
      <c r="AF376" s="17" t="str">
        <f t="shared" ca="1" si="59"/>
        <v/>
      </c>
      <c r="AG376" s="17" t="str">
        <f t="shared" si="60"/>
        <v/>
      </c>
      <c r="AH376" s="17" t="str">
        <f t="shared" si="61"/>
        <v/>
      </c>
      <c r="AI376" s="17" t="str">
        <f t="shared" ca="1" si="62"/>
        <v/>
      </c>
      <c r="AJ376" s="17" t="str">
        <f t="shared" ca="1" si="49"/>
        <v/>
      </c>
      <c r="AK376" s="17" t="str">
        <f t="shared" si="50"/>
        <v/>
      </c>
      <c r="AL376" s="17" t="str">
        <f t="shared" si="51"/>
        <v/>
      </c>
      <c r="AM376" s="17" t="str">
        <f t="shared" si="52"/>
        <v/>
      </c>
      <c r="AN376" s="17">
        <f t="shared" si="53"/>
        <v>0</v>
      </c>
      <c r="AO376" s="17" t="str">
        <f t="shared" ca="1" si="54"/>
        <v/>
      </c>
      <c r="AP376" s="17" t="str">
        <f t="shared" ca="1" si="55"/>
        <v/>
      </c>
      <c r="AQ376" s="17" t="str">
        <f t="shared" si="56"/>
        <v/>
      </c>
      <c r="AR376" s="17" t="str">
        <f t="shared" ca="1" si="57"/>
        <v/>
      </c>
      <c r="AS376" s="18"/>
      <c r="AT376" s="24">
        <f t="shared" si="63"/>
        <v>0</v>
      </c>
      <c r="AU376" s="24">
        <f t="shared" si="64"/>
        <v>0</v>
      </c>
      <c r="AV376" s="24">
        <f t="shared" si="65"/>
        <v>0</v>
      </c>
      <c r="AW376" s="24">
        <f t="shared" si="66"/>
        <v>0</v>
      </c>
      <c r="AX376" s="24">
        <f t="shared" si="67"/>
        <v>0</v>
      </c>
      <c r="AY376" s="24">
        <f t="shared" si="68"/>
        <v>0</v>
      </c>
      <c r="AZ376" s="18"/>
    </row>
    <row r="377" spans="1:52" x14ac:dyDescent="0.25">
      <c r="A377" s="16"/>
      <c r="B377" s="16"/>
      <c r="C377" s="65"/>
      <c r="D377" s="15"/>
      <c r="E377" s="15"/>
      <c r="F377" s="15"/>
      <c r="G377" s="16"/>
      <c r="H377" s="16"/>
      <c r="I377" s="16"/>
      <c r="J377" s="16"/>
      <c r="K377" s="86"/>
      <c r="L377" s="16"/>
      <c r="M377" s="15"/>
      <c r="N377" s="15"/>
      <c r="O377" s="20"/>
      <c r="P377" s="15"/>
      <c r="Q377" s="20"/>
      <c r="R377" s="15"/>
      <c r="S377" s="15"/>
      <c r="T377" s="15"/>
      <c r="U377" s="15"/>
      <c r="V377" s="17"/>
      <c r="W377" s="17"/>
      <c r="X377" s="16"/>
      <c r="Y377" s="20"/>
      <c r="Z377" s="15"/>
      <c r="AA377" s="22"/>
      <c r="AB377" s="90"/>
      <c r="AC377" s="22"/>
      <c r="AD377" s="25"/>
      <c r="AE377" s="25" t="str">
        <f t="shared" si="58"/>
        <v/>
      </c>
      <c r="AF377" s="17" t="str">
        <f t="shared" ca="1" si="59"/>
        <v/>
      </c>
      <c r="AG377" s="17" t="str">
        <f t="shared" si="60"/>
        <v/>
      </c>
      <c r="AH377" s="17" t="str">
        <f t="shared" si="61"/>
        <v/>
      </c>
      <c r="AI377" s="17" t="str">
        <f t="shared" ca="1" si="62"/>
        <v/>
      </c>
      <c r="AJ377" s="17" t="str">
        <f t="shared" ca="1" si="49"/>
        <v/>
      </c>
      <c r="AK377" s="17" t="str">
        <f t="shared" si="50"/>
        <v/>
      </c>
      <c r="AL377" s="17" t="str">
        <f t="shared" si="51"/>
        <v/>
      </c>
      <c r="AM377" s="17" t="str">
        <f t="shared" si="52"/>
        <v/>
      </c>
      <c r="AN377" s="17">
        <f t="shared" si="53"/>
        <v>0</v>
      </c>
      <c r="AO377" s="17" t="str">
        <f t="shared" ca="1" si="54"/>
        <v/>
      </c>
      <c r="AP377" s="17" t="str">
        <f t="shared" ca="1" si="55"/>
        <v/>
      </c>
      <c r="AQ377" s="17" t="str">
        <f t="shared" si="56"/>
        <v/>
      </c>
      <c r="AR377" s="17" t="str">
        <f t="shared" ca="1" si="57"/>
        <v/>
      </c>
      <c r="AS377" s="18"/>
      <c r="AT377" s="24">
        <f t="shared" si="63"/>
        <v>0</v>
      </c>
      <c r="AU377" s="24">
        <f t="shared" si="64"/>
        <v>0</v>
      </c>
      <c r="AV377" s="24">
        <f t="shared" si="65"/>
        <v>0</v>
      </c>
      <c r="AW377" s="24">
        <f t="shared" si="66"/>
        <v>0</v>
      </c>
      <c r="AX377" s="24">
        <f t="shared" si="67"/>
        <v>0</v>
      </c>
      <c r="AY377" s="24">
        <f t="shared" si="68"/>
        <v>0</v>
      </c>
      <c r="AZ377" s="18"/>
    </row>
    <row r="378" spans="1:52" x14ac:dyDescent="0.25">
      <c r="A378" s="16"/>
      <c r="B378" s="16"/>
      <c r="C378" s="65"/>
      <c r="D378" s="15"/>
      <c r="E378" s="15"/>
      <c r="F378" s="15"/>
      <c r="G378" s="16"/>
      <c r="H378" s="16"/>
      <c r="I378" s="16"/>
      <c r="J378" s="16"/>
      <c r="K378" s="86"/>
      <c r="L378" s="16"/>
      <c r="M378" s="15"/>
      <c r="N378" s="15"/>
      <c r="O378" s="20"/>
      <c r="P378" s="15"/>
      <c r="Q378" s="20"/>
      <c r="R378" s="15"/>
      <c r="S378" s="15"/>
      <c r="T378" s="15"/>
      <c r="U378" s="15"/>
      <c r="V378" s="17"/>
      <c r="W378" s="17"/>
      <c r="X378" s="16"/>
      <c r="Y378" s="20"/>
      <c r="Z378" s="15"/>
      <c r="AA378" s="22"/>
      <c r="AB378" s="90"/>
      <c r="AC378" s="22"/>
      <c r="AD378" s="25"/>
      <c r="AE378" s="25" t="str">
        <f t="shared" si="58"/>
        <v/>
      </c>
      <c r="AF378" s="17" t="str">
        <f t="shared" ca="1" si="59"/>
        <v/>
      </c>
      <c r="AG378" s="17" t="str">
        <f t="shared" si="60"/>
        <v/>
      </c>
      <c r="AH378" s="17" t="str">
        <f t="shared" si="61"/>
        <v/>
      </c>
      <c r="AI378" s="17" t="str">
        <f t="shared" ca="1" si="62"/>
        <v/>
      </c>
      <c r="AJ378" s="17" t="str">
        <f t="shared" ca="1" si="49"/>
        <v/>
      </c>
      <c r="AK378" s="17" t="str">
        <f t="shared" si="50"/>
        <v/>
      </c>
      <c r="AL378" s="17" t="str">
        <f t="shared" si="51"/>
        <v/>
      </c>
      <c r="AM378" s="17" t="str">
        <f t="shared" si="52"/>
        <v/>
      </c>
      <c r="AN378" s="17">
        <f t="shared" si="53"/>
        <v>0</v>
      </c>
      <c r="AO378" s="17" t="str">
        <f t="shared" ca="1" si="54"/>
        <v/>
      </c>
      <c r="AP378" s="17" t="str">
        <f t="shared" ca="1" si="55"/>
        <v/>
      </c>
      <c r="AQ378" s="17" t="str">
        <f t="shared" si="56"/>
        <v/>
      </c>
      <c r="AR378" s="17" t="str">
        <f t="shared" ca="1" si="57"/>
        <v/>
      </c>
      <c r="AS378" s="18"/>
      <c r="AT378" s="24">
        <f t="shared" si="63"/>
        <v>0</v>
      </c>
      <c r="AU378" s="24">
        <f t="shared" si="64"/>
        <v>0</v>
      </c>
      <c r="AV378" s="24">
        <f t="shared" si="65"/>
        <v>0</v>
      </c>
      <c r="AW378" s="24">
        <f t="shared" si="66"/>
        <v>0</v>
      </c>
      <c r="AX378" s="24">
        <f t="shared" si="67"/>
        <v>0</v>
      </c>
      <c r="AY378" s="24">
        <f t="shared" si="68"/>
        <v>0</v>
      </c>
      <c r="AZ378" s="18"/>
    </row>
    <row r="379" spans="1:52" x14ac:dyDescent="0.25">
      <c r="A379" s="16"/>
      <c r="B379" s="16"/>
      <c r="C379" s="65"/>
      <c r="D379" s="15"/>
      <c r="E379" s="15"/>
      <c r="F379" s="15"/>
      <c r="G379" s="16"/>
      <c r="H379" s="16"/>
      <c r="I379" s="16"/>
      <c r="J379" s="16"/>
      <c r="K379" s="86"/>
      <c r="L379" s="16"/>
      <c r="M379" s="15"/>
      <c r="N379" s="15"/>
      <c r="O379" s="20"/>
      <c r="P379" s="15"/>
      <c r="Q379" s="20"/>
      <c r="R379" s="15"/>
      <c r="S379" s="15"/>
      <c r="T379" s="15"/>
      <c r="U379" s="15"/>
      <c r="V379" s="17"/>
      <c r="W379" s="17"/>
      <c r="X379" s="16"/>
      <c r="Y379" s="20"/>
      <c r="Z379" s="15"/>
      <c r="AA379" s="22"/>
      <c r="AB379" s="90"/>
      <c r="AC379" s="22"/>
      <c r="AD379" s="25"/>
      <c r="AE379" s="25" t="str">
        <f t="shared" si="58"/>
        <v/>
      </c>
      <c r="AF379" s="17" t="str">
        <f t="shared" ca="1" si="59"/>
        <v/>
      </c>
      <c r="AG379" s="17" t="str">
        <f t="shared" si="60"/>
        <v/>
      </c>
      <c r="AH379" s="17" t="str">
        <f t="shared" si="61"/>
        <v/>
      </c>
      <c r="AI379" s="17" t="str">
        <f t="shared" ca="1" si="62"/>
        <v/>
      </c>
      <c r="AJ379" s="17" t="str">
        <f t="shared" ca="1" si="49"/>
        <v/>
      </c>
      <c r="AK379" s="17" t="str">
        <f t="shared" si="50"/>
        <v/>
      </c>
      <c r="AL379" s="17" t="str">
        <f t="shared" si="51"/>
        <v/>
      </c>
      <c r="AM379" s="17" t="str">
        <f t="shared" si="52"/>
        <v/>
      </c>
      <c r="AN379" s="17">
        <f t="shared" si="53"/>
        <v>0</v>
      </c>
      <c r="AO379" s="17" t="str">
        <f t="shared" ca="1" si="54"/>
        <v/>
      </c>
      <c r="AP379" s="17" t="str">
        <f t="shared" ca="1" si="55"/>
        <v/>
      </c>
      <c r="AQ379" s="17" t="str">
        <f t="shared" si="56"/>
        <v/>
      </c>
      <c r="AR379" s="17" t="str">
        <f t="shared" ca="1" si="57"/>
        <v/>
      </c>
      <c r="AS379" s="18"/>
      <c r="AT379" s="24">
        <f t="shared" si="63"/>
        <v>0</v>
      </c>
      <c r="AU379" s="24">
        <f t="shared" si="64"/>
        <v>0</v>
      </c>
      <c r="AV379" s="24">
        <f t="shared" si="65"/>
        <v>0</v>
      </c>
      <c r="AW379" s="24">
        <f t="shared" si="66"/>
        <v>0</v>
      </c>
      <c r="AX379" s="24">
        <f t="shared" si="67"/>
        <v>0</v>
      </c>
      <c r="AY379" s="24">
        <f t="shared" si="68"/>
        <v>0</v>
      </c>
      <c r="AZ379" s="18"/>
    </row>
    <row r="380" spans="1:52" x14ac:dyDescent="0.25">
      <c r="A380" s="16"/>
      <c r="B380" s="16"/>
      <c r="C380" s="65"/>
      <c r="D380" s="15"/>
      <c r="E380" s="15"/>
      <c r="F380" s="15"/>
      <c r="G380" s="16"/>
      <c r="H380" s="16"/>
      <c r="I380" s="16"/>
      <c r="J380" s="16"/>
      <c r="K380" s="86"/>
      <c r="L380" s="16"/>
      <c r="M380" s="15"/>
      <c r="N380" s="15"/>
      <c r="O380" s="20"/>
      <c r="P380" s="15"/>
      <c r="Q380" s="20"/>
      <c r="R380" s="15"/>
      <c r="S380" s="15"/>
      <c r="T380" s="15"/>
      <c r="U380" s="15"/>
      <c r="V380" s="17"/>
      <c r="W380" s="17"/>
      <c r="X380" s="16"/>
      <c r="Y380" s="20"/>
      <c r="Z380" s="15"/>
      <c r="AA380" s="22"/>
      <c r="AB380" s="90"/>
      <c r="AC380" s="22"/>
      <c r="AD380" s="25"/>
      <c r="AE380" s="25" t="str">
        <f t="shared" si="58"/>
        <v/>
      </c>
      <c r="AF380" s="17" t="str">
        <f t="shared" ca="1" si="59"/>
        <v/>
      </c>
      <c r="AG380" s="17" t="str">
        <f t="shared" si="60"/>
        <v/>
      </c>
      <c r="AH380" s="17" t="str">
        <f t="shared" si="61"/>
        <v/>
      </c>
      <c r="AI380" s="17" t="str">
        <f t="shared" ca="1" si="62"/>
        <v/>
      </c>
      <c r="AJ380" s="17" t="str">
        <f t="shared" ca="1" si="49"/>
        <v/>
      </c>
      <c r="AK380" s="17" t="str">
        <f t="shared" si="50"/>
        <v/>
      </c>
      <c r="AL380" s="17" t="str">
        <f t="shared" si="51"/>
        <v/>
      </c>
      <c r="AM380" s="17" t="str">
        <f t="shared" si="52"/>
        <v/>
      </c>
      <c r="AN380" s="17">
        <f t="shared" si="53"/>
        <v>0</v>
      </c>
      <c r="AO380" s="17" t="str">
        <f t="shared" ca="1" si="54"/>
        <v/>
      </c>
      <c r="AP380" s="17" t="str">
        <f t="shared" ca="1" si="55"/>
        <v/>
      </c>
      <c r="AQ380" s="17" t="str">
        <f t="shared" si="56"/>
        <v/>
      </c>
      <c r="AR380" s="17" t="str">
        <f t="shared" ca="1" si="57"/>
        <v/>
      </c>
      <c r="AS380" s="18"/>
      <c r="AT380" s="24">
        <f t="shared" si="63"/>
        <v>0</v>
      </c>
      <c r="AU380" s="24">
        <f t="shared" si="64"/>
        <v>0</v>
      </c>
      <c r="AV380" s="24">
        <f t="shared" si="65"/>
        <v>0</v>
      </c>
      <c r="AW380" s="24">
        <f t="shared" si="66"/>
        <v>0</v>
      </c>
      <c r="AX380" s="24">
        <f t="shared" si="67"/>
        <v>0</v>
      </c>
      <c r="AY380" s="24">
        <f t="shared" si="68"/>
        <v>0</v>
      </c>
      <c r="AZ380" s="18"/>
    </row>
    <row r="381" spans="1:52" x14ac:dyDescent="0.25">
      <c r="A381" s="16"/>
      <c r="B381" s="16"/>
      <c r="C381" s="65"/>
      <c r="D381" s="15"/>
      <c r="E381" s="15"/>
      <c r="F381" s="15"/>
      <c r="G381" s="16"/>
      <c r="H381" s="16"/>
      <c r="I381" s="16"/>
      <c r="J381" s="16"/>
      <c r="K381" s="86"/>
      <c r="L381" s="16"/>
      <c r="M381" s="15"/>
      <c r="N381" s="15"/>
      <c r="O381" s="20"/>
      <c r="P381" s="15"/>
      <c r="Q381" s="20"/>
      <c r="R381" s="15"/>
      <c r="S381" s="15"/>
      <c r="T381" s="15"/>
      <c r="U381" s="15"/>
      <c r="V381" s="17"/>
      <c r="W381" s="17"/>
      <c r="X381" s="16"/>
      <c r="Y381" s="20"/>
      <c r="Z381" s="15"/>
      <c r="AA381" s="22"/>
      <c r="AB381" s="90"/>
      <c r="AC381" s="22"/>
      <c r="AD381" s="25"/>
      <c r="AE381" s="25" t="str">
        <f t="shared" si="58"/>
        <v/>
      </c>
      <c r="AF381" s="17" t="str">
        <f t="shared" ca="1" si="59"/>
        <v/>
      </c>
      <c r="AG381" s="17" t="str">
        <f t="shared" si="60"/>
        <v/>
      </c>
      <c r="AH381" s="17" t="str">
        <f t="shared" si="61"/>
        <v/>
      </c>
      <c r="AI381" s="17" t="str">
        <f t="shared" ca="1" si="62"/>
        <v/>
      </c>
      <c r="AJ381" s="17" t="str">
        <f t="shared" ref="AJ381:AJ444" ca="1" si="69">IF(O381="","",IF(AA381="",TODAY()-O381,AA381-O381))</f>
        <v/>
      </c>
      <c r="AK381" s="17" t="str">
        <f t="shared" ref="AK381:AK444" si="70">IF(O381="","",IF(W381="WFM",AJ381,AJ381-1))</f>
        <v/>
      </c>
      <c r="AL381" s="17" t="str">
        <f t="shared" ref="AL381:AL444" si="71">IF(AK381&lt;0,0,AK381)</f>
        <v/>
      </c>
      <c r="AM381" s="17" t="str">
        <f t="shared" ref="AM381:AM444" si="72">IF(O381="","",IF(W381="WFM","WFM SLA",IF(AK381&gt;0,"EXCEEDED SLA","WITHIN SLA")))</f>
        <v/>
      </c>
      <c r="AN381" s="17">
        <f t="shared" ref="AN381:AN444" si="73">AC381-AA381</f>
        <v>0</v>
      </c>
      <c r="AO381" s="17" t="str">
        <f t="shared" ref="AO381:AO444" ca="1" si="74">IF(AA381="","",IF(AC381="",TODAY()-AA381-V381,AC381-AA381-V381))</f>
        <v/>
      </c>
      <c r="AP381" s="17" t="str">
        <f t="shared" ref="AP381:AP444" ca="1" si="75">IF(AO381&lt;=0,0,AO381)</f>
        <v/>
      </c>
      <c r="AQ381" s="17" t="str">
        <f t="shared" ref="AQ381:AQ444" si="76">IF(AA381="","",IF(AP381&lt;1,"WITHIN SLA","EXCEEDED SLA"))</f>
        <v/>
      </c>
      <c r="AR381" s="17" t="str">
        <f t="shared" ref="AR381:AR444" ca="1" si="77">IF(B381="","",IF(L381="DONE",AC381-J381,TODAY()-J381))</f>
        <v/>
      </c>
      <c r="AS381" s="18"/>
      <c r="AT381" s="24">
        <f t="shared" si="63"/>
        <v>0</v>
      </c>
      <c r="AU381" s="24">
        <f t="shared" si="64"/>
        <v>0</v>
      </c>
      <c r="AV381" s="24">
        <f t="shared" si="65"/>
        <v>0</v>
      </c>
      <c r="AW381" s="24">
        <f t="shared" si="66"/>
        <v>0</v>
      </c>
      <c r="AX381" s="24">
        <f t="shared" si="67"/>
        <v>0</v>
      </c>
      <c r="AY381" s="24">
        <f t="shared" si="68"/>
        <v>0</v>
      </c>
      <c r="AZ381" s="18"/>
    </row>
    <row r="382" spans="1:52" x14ac:dyDescent="0.25">
      <c r="A382" s="16"/>
      <c r="B382" s="16"/>
      <c r="C382" s="65"/>
      <c r="D382" s="15"/>
      <c r="E382" s="15"/>
      <c r="F382" s="15"/>
      <c r="G382" s="16"/>
      <c r="H382" s="16"/>
      <c r="I382" s="16"/>
      <c r="J382" s="16"/>
      <c r="K382" s="86"/>
      <c r="L382" s="16"/>
      <c r="M382" s="15"/>
      <c r="N382" s="15"/>
      <c r="O382" s="20"/>
      <c r="P382" s="15"/>
      <c r="Q382" s="20"/>
      <c r="R382" s="15"/>
      <c r="S382" s="15"/>
      <c r="T382" s="15"/>
      <c r="U382" s="15"/>
      <c r="V382" s="17"/>
      <c r="W382" s="17"/>
      <c r="X382" s="16"/>
      <c r="Y382" s="20"/>
      <c r="Z382" s="15"/>
      <c r="AA382" s="22"/>
      <c r="AB382" s="90"/>
      <c r="AC382" s="22"/>
      <c r="AD382" s="25"/>
      <c r="AE382" s="25" t="str">
        <f t="shared" si="58"/>
        <v/>
      </c>
      <c r="AF382" s="17" t="str">
        <f t="shared" ca="1" si="59"/>
        <v/>
      </c>
      <c r="AG382" s="17" t="str">
        <f t="shared" si="60"/>
        <v/>
      </c>
      <c r="AH382" s="17" t="str">
        <f t="shared" si="61"/>
        <v/>
      </c>
      <c r="AI382" s="17" t="str">
        <f t="shared" ca="1" si="62"/>
        <v/>
      </c>
      <c r="AJ382" s="17" t="str">
        <f t="shared" ca="1" si="69"/>
        <v/>
      </c>
      <c r="AK382" s="17" t="str">
        <f t="shared" si="70"/>
        <v/>
      </c>
      <c r="AL382" s="17" t="str">
        <f t="shared" si="71"/>
        <v/>
      </c>
      <c r="AM382" s="17" t="str">
        <f t="shared" si="72"/>
        <v/>
      </c>
      <c r="AN382" s="17">
        <f t="shared" si="73"/>
        <v>0</v>
      </c>
      <c r="AO382" s="17" t="str">
        <f t="shared" ca="1" si="74"/>
        <v/>
      </c>
      <c r="AP382" s="17" t="str">
        <f t="shared" ca="1" si="75"/>
        <v/>
      </c>
      <c r="AQ382" s="17" t="str">
        <f t="shared" si="76"/>
        <v/>
      </c>
      <c r="AR382" s="17" t="str">
        <f t="shared" ca="1" si="77"/>
        <v/>
      </c>
      <c r="AS382" s="18"/>
      <c r="AT382" s="24">
        <f t="shared" si="63"/>
        <v>0</v>
      </c>
      <c r="AU382" s="24">
        <f t="shared" si="64"/>
        <v>0</v>
      </c>
      <c r="AV382" s="24">
        <f t="shared" si="65"/>
        <v>0</v>
      </c>
      <c r="AW382" s="24">
        <f t="shared" si="66"/>
        <v>0</v>
      </c>
      <c r="AX382" s="24">
        <f t="shared" si="67"/>
        <v>0</v>
      </c>
      <c r="AY382" s="24">
        <f t="shared" si="68"/>
        <v>0</v>
      </c>
      <c r="AZ382" s="18"/>
    </row>
    <row r="383" spans="1:52" x14ac:dyDescent="0.25">
      <c r="A383" s="16"/>
      <c r="B383" s="16"/>
      <c r="C383" s="65"/>
      <c r="D383" s="15"/>
      <c r="E383" s="15"/>
      <c r="F383" s="15"/>
      <c r="G383" s="16"/>
      <c r="H383" s="16"/>
      <c r="I383" s="16"/>
      <c r="J383" s="16"/>
      <c r="K383" s="86"/>
      <c r="L383" s="16"/>
      <c r="M383" s="15"/>
      <c r="N383" s="15"/>
      <c r="O383" s="20"/>
      <c r="P383" s="15"/>
      <c r="Q383" s="20"/>
      <c r="R383" s="15"/>
      <c r="S383" s="15"/>
      <c r="T383" s="15"/>
      <c r="U383" s="15"/>
      <c r="V383" s="17"/>
      <c r="W383" s="17"/>
      <c r="X383" s="16"/>
      <c r="Y383" s="20"/>
      <c r="Z383" s="15"/>
      <c r="AA383" s="22"/>
      <c r="AB383" s="90"/>
      <c r="AC383" s="22"/>
      <c r="AD383" s="25"/>
      <c r="AE383" s="25" t="str">
        <f t="shared" si="58"/>
        <v/>
      </c>
      <c r="AF383" s="17" t="str">
        <f t="shared" ca="1" si="59"/>
        <v/>
      </c>
      <c r="AG383" s="17" t="str">
        <f t="shared" si="60"/>
        <v/>
      </c>
      <c r="AH383" s="17" t="str">
        <f t="shared" si="61"/>
        <v/>
      </c>
      <c r="AI383" s="17" t="str">
        <f t="shared" ca="1" si="62"/>
        <v/>
      </c>
      <c r="AJ383" s="17" t="str">
        <f t="shared" ca="1" si="69"/>
        <v/>
      </c>
      <c r="AK383" s="17" t="str">
        <f t="shared" si="70"/>
        <v/>
      </c>
      <c r="AL383" s="17" t="str">
        <f t="shared" si="71"/>
        <v/>
      </c>
      <c r="AM383" s="17" t="str">
        <f t="shared" si="72"/>
        <v/>
      </c>
      <c r="AN383" s="17">
        <f t="shared" si="73"/>
        <v>0</v>
      </c>
      <c r="AO383" s="17" t="str">
        <f t="shared" ca="1" si="74"/>
        <v/>
      </c>
      <c r="AP383" s="17" t="str">
        <f t="shared" ca="1" si="75"/>
        <v/>
      </c>
      <c r="AQ383" s="17" t="str">
        <f t="shared" si="76"/>
        <v/>
      </c>
      <c r="AR383" s="17" t="str">
        <f t="shared" ca="1" si="77"/>
        <v/>
      </c>
      <c r="AS383" s="18"/>
      <c r="AT383" s="24">
        <f t="shared" si="63"/>
        <v>0</v>
      </c>
      <c r="AU383" s="24">
        <f t="shared" si="64"/>
        <v>0</v>
      </c>
      <c r="AV383" s="24">
        <f t="shared" si="65"/>
        <v>0</v>
      </c>
      <c r="AW383" s="24">
        <f t="shared" si="66"/>
        <v>0</v>
      </c>
      <c r="AX383" s="24">
        <f t="shared" si="67"/>
        <v>0</v>
      </c>
      <c r="AY383" s="24">
        <f t="shared" si="68"/>
        <v>0</v>
      </c>
      <c r="AZ383" s="18"/>
    </row>
    <row r="384" spans="1:52" x14ac:dyDescent="0.25">
      <c r="A384" s="16"/>
      <c r="B384" s="16"/>
      <c r="C384" s="65"/>
      <c r="D384" s="15"/>
      <c r="E384" s="15"/>
      <c r="F384" s="15"/>
      <c r="G384" s="16"/>
      <c r="H384" s="16"/>
      <c r="I384" s="16"/>
      <c r="J384" s="16"/>
      <c r="K384" s="86"/>
      <c r="L384" s="16"/>
      <c r="M384" s="15"/>
      <c r="N384" s="15"/>
      <c r="O384" s="20"/>
      <c r="P384" s="15"/>
      <c r="Q384" s="20"/>
      <c r="R384" s="15"/>
      <c r="S384" s="15"/>
      <c r="T384" s="15"/>
      <c r="U384" s="15"/>
      <c r="V384" s="17"/>
      <c r="W384" s="17"/>
      <c r="X384" s="16"/>
      <c r="Y384" s="20"/>
      <c r="Z384" s="15"/>
      <c r="AA384" s="22"/>
      <c r="AB384" s="90"/>
      <c r="AC384" s="22"/>
      <c r="AD384" s="25"/>
      <c r="AE384" s="25" t="str">
        <f t="shared" si="58"/>
        <v/>
      </c>
      <c r="AF384" s="17" t="str">
        <f t="shared" ca="1" si="59"/>
        <v/>
      </c>
      <c r="AG384" s="17" t="str">
        <f t="shared" si="60"/>
        <v/>
      </c>
      <c r="AH384" s="17" t="str">
        <f t="shared" si="61"/>
        <v/>
      </c>
      <c r="AI384" s="17" t="str">
        <f t="shared" ca="1" si="62"/>
        <v/>
      </c>
      <c r="AJ384" s="17" t="str">
        <f t="shared" ca="1" si="69"/>
        <v/>
      </c>
      <c r="AK384" s="17" t="str">
        <f t="shared" si="70"/>
        <v/>
      </c>
      <c r="AL384" s="17" t="str">
        <f t="shared" si="71"/>
        <v/>
      </c>
      <c r="AM384" s="17" t="str">
        <f t="shared" si="72"/>
        <v/>
      </c>
      <c r="AN384" s="17">
        <f t="shared" si="73"/>
        <v>0</v>
      </c>
      <c r="AO384" s="17" t="str">
        <f t="shared" ca="1" si="74"/>
        <v/>
      </c>
      <c r="AP384" s="17" t="str">
        <f t="shared" ca="1" si="75"/>
        <v/>
      </c>
      <c r="AQ384" s="17" t="str">
        <f t="shared" si="76"/>
        <v/>
      </c>
      <c r="AR384" s="17" t="str">
        <f t="shared" ca="1" si="77"/>
        <v/>
      </c>
      <c r="AS384" s="18"/>
      <c r="AT384" s="24">
        <f t="shared" si="63"/>
        <v>0</v>
      </c>
      <c r="AU384" s="24">
        <f t="shared" si="64"/>
        <v>0</v>
      </c>
      <c r="AV384" s="24">
        <f t="shared" si="65"/>
        <v>0</v>
      </c>
      <c r="AW384" s="24">
        <f t="shared" si="66"/>
        <v>0</v>
      </c>
      <c r="AX384" s="24">
        <f t="shared" si="67"/>
        <v>0</v>
      </c>
      <c r="AY384" s="24">
        <f t="shared" si="68"/>
        <v>0</v>
      </c>
      <c r="AZ384" s="18"/>
    </row>
    <row r="385" spans="1:52" x14ac:dyDescent="0.25">
      <c r="A385" s="16"/>
      <c r="B385" s="16"/>
      <c r="C385" s="65"/>
      <c r="D385" s="15"/>
      <c r="E385" s="15"/>
      <c r="F385" s="15"/>
      <c r="G385" s="16"/>
      <c r="H385" s="16"/>
      <c r="I385" s="16"/>
      <c r="J385" s="16"/>
      <c r="K385" s="86"/>
      <c r="L385" s="16"/>
      <c r="M385" s="15"/>
      <c r="N385" s="15"/>
      <c r="O385" s="20"/>
      <c r="P385" s="15"/>
      <c r="Q385" s="20"/>
      <c r="R385" s="15"/>
      <c r="S385" s="15"/>
      <c r="T385" s="15"/>
      <c r="U385" s="15"/>
      <c r="V385" s="17"/>
      <c r="W385" s="17"/>
      <c r="X385" s="16"/>
      <c r="Y385" s="20"/>
      <c r="Z385" s="15"/>
      <c r="AA385" s="22"/>
      <c r="AB385" s="90"/>
      <c r="AC385" s="22"/>
      <c r="AD385" s="25"/>
      <c r="AE385" s="25" t="str">
        <f t="shared" si="58"/>
        <v/>
      </c>
      <c r="AF385" s="17" t="str">
        <f t="shared" ca="1" si="59"/>
        <v/>
      </c>
      <c r="AG385" s="17" t="str">
        <f t="shared" si="60"/>
        <v/>
      </c>
      <c r="AH385" s="17" t="str">
        <f t="shared" si="61"/>
        <v/>
      </c>
      <c r="AI385" s="17" t="str">
        <f t="shared" ca="1" si="62"/>
        <v/>
      </c>
      <c r="AJ385" s="17" t="str">
        <f t="shared" ca="1" si="69"/>
        <v/>
      </c>
      <c r="AK385" s="17" t="str">
        <f t="shared" si="70"/>
        <v/>
      </c>
      <c r="AL385" s="17" t="str">
        <f t="shared" si="71"/>
        <v/>
      </c>
      <c r="AM385" s="17" t="str">
        <f t="shared" si="72"/>
        <v/>
      </c>
      <c r="AN385" s="17">
        <f t="shared" si="73"/>
        <v>0</v>
      </c>
      <c r="AO385" s="17" t="str">
        <f t="shared" ca="1" si="74"/>
        <v/>
      </c>
      <c r="AP385" s="17" t="str">
        <f t="shared" ca="1" si="75"/>
        <v/>
      </c>
      <c r="AQ385" s="17" t="str">
        <f t="shared" si="76"/>
        <v/>
      </c>
      <c r="AR385" s="17" t="str">
        <f t="shared" ca="1" si="77"/>
        <v/>
      </c>
      <c r="AS385" s="18"/>
      <c r="AT385" s="24">
        <f t="shared" si="63"/>
        <v>0</v>
      </c>
      <c r="AU385" s="24">
        <f t="shared" si="64"/>
        <v>0</v>
      </c>
      <c r="AV385" s="24">
        <f t="shared" si="65"/>
        <v>0</v>
      </c>
      <c r="AW385" s="24">
        <f t="shared" si="66"/>
        <v>0</v>
      </c>
      <c r="AX385" s="24">
        <f t="shared" si="67"/>
        <v>0</v>
      </c>
      <c r="AY385" s="24">
        <f t="shared" si="68"/>
        <v>0</v>
      </c>
      <c r="AZ385" s="18"/>
    </row>
    <row r="386" spans="1:52" x14ac:dyDescent="0.25">
      <c r="A386" s="16"/>
      <c r="B386" s="16"/>
      <c r="C386" s="65"/>
      <c r="D386" s="15"/>
      <c r="E386" s="15"/>
      <c r="F386" s="15"/>
      <c r="G386" s="16"/>
      <c r="H386" s="16"/>
      <c r="I386" s="16"/>
      <c r="J386" s="16"/>
      <c r="K386" s="86"/>
      <c r="L386" s="16"/>
      <c r="M386" s="15"/>
      <c r="N386" s="15"/>
      <c r="O386" s="20"/>
      <c r="P386" s="15"/>
      <c r="Q386" s="20"/>
      <c r="R386" s="15"/>
      <c r="S386" s="15"/>
      <c r="T386" s="15"/>
      <c r="U386" s="15"/>
      <c r="V386" s="17"/>
      <c r="W386" s="17"/>
      <c r="X386" s="16"/>
      <c r="Y386" s="20"/>
      <c r="Z386" s="15"/>
      <c r="AA386" s="22"/>
      <c r="AB386" s="90"/>
      <c r="AC386" s="22"/>
      <c r="AD386" s="25"/>
      <c r="AE386" s="25" t="str">
        <f t="shared" si="58"/>
        <v/>
      </c>
      <c r="AF386" s="17" t="str">
        <f t="shared" ca="1" si="59"/>
        <v/>
      </c>
      <c r="AG386" s="17" t="str">
        <f t="shared" si="60"/>
        <v/>
      </c>
      <c r="AH386" s="17" t="str">
        <f t="shared" si="61"/>
        <v/>
      </c>
      <c r="AI386" s="17" t="str">
        <f t="shared" ca="1" si="62"/>
        <v/>
      </c>
      <c r="AJ386" s="17" t="str">
        <f t="shared" ca="1" si="69"/>
        <v/>
      </c>
      <c r="AK386" s="17" t="str">
        <f t="shared" si="70"/>
        <v/>
      </c>
      <c r="AL386" s="17" t="str">
        <f t="shared" si="71"/>
        <v/>
      </c>
      <c r="AM386" s="17" t="str">
        <f t="shared" si="72"/>
        <v/>
      </c>
      <c r="AN386" s="17">
        <f t="shared" si="73"/>
        <v>0</v>
      </c>
      <c r="AO386" s="17" t="str">
        <f t="shared" ca="1" si="74"/>
        <v/>
      </c>
      <c r="AP386" s="17" t="str">
        <f t="shared" ca="1" si="75"/>
        <v/>
      </c>
      <c r="AQ386" s="17" t="str">
        <f t="shared" si="76"/>
        <v/>
      </c>
      <c r="AR386" s="17" t="str">
        <f t="shared" ca="1" si="77"/>
        <v/>
      </c>
      <c r="AS386" s="18"/>
      <c r="AT386" s="24">
        <f t="shared" si="63"/>
        <v>0</v>
      </c>
      <c r="AU386" s="24">
        <f t="shared" si="64"/>
        <v>0</v>
      </c>
      <c r="AV386" s="24">
        <f t="shared" si="65"/>
        <v>0</v>
      </c>
      <c r="AW386" s="24">
        <f t="shared" si="66"/>
        <v>0</v>
      </c>
      <c r="AX386" s="24">
        <f t="shared" si="67"/>
        <v>0</v>
      </c>
      <c r="AY386" s="24">
        <f t="shared" si="68"/>
        <v>0</v>
      </c>
      <c r="AZ386" s="18"/>
    </row>
    <row r="387" spans="1:52" x14ac:dyDescent="0.25">
      <c r="A387" s="16"/>
      <c r="B387" s="16"/>
      <c r="C387" s="65"/>
      <c r="D387" s="15"/>
      <c r="E387" s="15"/>
      <c r="F387" s="15"/>
      <c r="G387" s="16"/>
      <c r="H387" s="16"/>
      <c r="I387" s="16"/>
      <c r="J387" s="16"/>
      <c r="K387" s="86"/>
      <c r="L387" s="16"/>
      <c r="M387" s="15"/>
      <c r="N387" s="15"/>
      <c r="O387" s="20"/>
      <c r="P387" s="15"/>
      <c r="Q387" s="20"/>
      <c r="R387" s="15"/>
      <c r="S387" s="15"/>
      <c r="T387" s="15"/>
      <c r="U387" s="15"/>
      <c r="V387" s="17"/>
      <c r="W387" s="17"/>
      <c r="X387" s="16"/>
      <c r="Y387" s="20"/>
      <c r="Z387" s="15"/>
      <c r="AA387" s="22"/>
      <c r="AB387" s="90"/>
      <c r="AC387" s="22"/>
      <c r="AD387" s="25"/>
      <c r="AE387" s="25" t="str">
        <f t="shared" si="58"/>
        <v/>
      </c>
      <c r="AF387" s="17" t="str">
        <f t="shared" ca="1" si="59"/>
        <v/>
      </c>
      <c r="AG387" s="17" t="str">
        <f t="shared" si="60"/>
        <v/>
      </c>
      <c r="AH387" s="17" t="str">
        <f t="shared" si="61"/>
        <v/>
      </c>
      <c r="AI387" s="17" t="str">
        <f t="shared" ca="1" si="62"/>
        <v/>
      </c>
      <c r="AJ387" s="17" t="str">
        <f t="shared" ca="1" si="69"/>
        <v/>
      </c>
      <c r="AK387" s="17" t="str">
        <f t="shared" si="70"/>
        <v/>
      </c>
      <c r="AL387" s="17" t="str">
        <f t="shared" si="71"/>
        <v/>
      </c>
      <c r="AM387" s="17" t="str">
        <f t="shared" si="72"/>
        <v/>
      </c>
      <c r="AN387" s="17">
        <f t="shared" si="73"/>
        <v>0</v>
      </c>
      <c r="AO387" s="17" t="str">
        <f t="shared" ca="1" si="74"/>
        <v/>
      </c>
      <c r="AP387" s="17" t="str">
        <f t="shared" ca="1" si="75"/>
        <v/>
      </c>
      <c r="AQ387" s="17" t="str">
        <f t="shared" si="76"/>
        <v/>
      </c>
      <c r="AR387" s="17" t="str">
        <f t="shared" ca="1" si="77"/>
        <v/>
      </c>
      <c r="AS387" s="18"/>
      <c r="AT387" s="24">
        <f t="shared" si="63"/>
        <v>0</v>
      </c>
      <c r="AU387" s="24">
        <f t="shared" si="64"/>
        <v>0</v>
      </c>
      <c r="AV387" s="24">
        <f t="shared" si="65"/>
        <v>0</v>
      </c>
      <c r="AW387" s="24">
        <f t="shared" si="66"/>
        <v>0</v>
      </c>
      <c r="AX387" s="24">
        <f t="shared" si="67"/>
        <v>0</v>
      </c>
      <c r="AY387" s="24">
        <f t="shared" si="68"/>
        <v>0</v>
      </c>
      <c r="AZ387" s="18"/>
    </row>
    <row r="388" spans="1:52" x14ac:dyDescent="0.25">
      <c r="A388" s="16"/>
      <c r="B388" s="16"/>
      <c r="C388" s="65"/>
      <c r="D388" s="15"/>
      <c r="E388" s="15"/>
      <c r="F388" s="15"/>
      <c r="G388" s="16"/>
      <c r="H388" s="16"/>
      <c r="I388" s="16"/>
      <c r="J388" s="16"/>
      <c r="K388" s="86"/>
      <c r="L388" s="16"/>
      <c r="M388" s="15"/>
      <c r="N388" s="15"/>
      <c r="O388" s="20"/>
      <c r="P388" s="15"/>
      <c r="Q388" s="20"/>
      <c r="R388" s="15"/>
      <c r="S388" s="15"/>
      <c r="T388" s="15"/>
      <c r="U388" s="15"/>
      <c r="V388" s="17"/>
      <c r="W388" s="17"/>
      <c r="X388" s="16"/>
      <c r="Y388" s="20"/>
      <c r="Z388" s="15"/>
      <c r="AA388" s="22"/>
      <c r="AB388" s="90"/>
      <c r="AC388" s="22"/>
      <c r="AD388" s="25"/>
      <c r="AE388" s="25" t="str">
        <f t="shared" ref="AE388:AE451" si="78">IF(F388="","",IF(F388="PMR",3,1))</f>
        <v/>
      </c>
      <c r="AF388" s="17" t="str">
        <f t="shared" ref="AF388:AF451" ca="1" si="79">IF(J388="","",IF(O388="",TODAY()-J388,O388-J388))</f>
        <v/>
      </c>
      <c r="AG388" s="17" t="str">
        <f t="shared" ref="AG388:AG451" si="80">IF(AE388="","",IF(AF388="","",AF388-AE388))</f>
        <v/>
      </c>
      <c r="AH388" s="17" t="str">
        <f t="shared" ref="AH388:AH451" si="81">IF(AG388&lt;0,0,AG388)</f>
        <v/>
      </c>
      <c r="AI388" s="17" t="str">
        <f t="shared" ref="AI388:AI451" ca="1" si="82">IF(AF388="","",IF(F388="","",IF(AG388&lt;1,"WITHIN SLA","EXCEEDED SLA")))</f>
        <v/>
      </c>
      <c r="AJ388" s="17" t="str">
        <f t="shared" ca="1" si="69"/>
        <v/>
      </c>
      <c r="AK388" s="17" t="str">
        <f t="shared" si="70"/>
        <v/>
      </c>
      <c r="AL388" s="17" t="str">
        <f t="shared" si="71"/>
        <v/>
      </c>
      <c r="AM388" s="17" t="str">
        <f t="shared" si="72"/>
        <v/>
      </c>
      <c r="AN388" s="17">
        <f t="shared" si="73"/>
        <v>0</v>
      </c>
      <c r="AO388" s="17" t="str">
        <f t="shared" ca="1" si="74"/>
        <v/>
      </c>
      <c r="AP388" s="17" t="str">
        <f t="shared" ca="1" si="75"/>
        <v/>
      </c>
      <c r="AQ388" s="17" t="str">
        <f t="shared" si="76"/>
        <v/>
      </c>
      <c r="AR388" s="17" t="str">
        <f t="shared" ca="1" si="77"/>
        <v/>
      </c>
      <c r="AS388" s="18"/>
      <c r="AT388" s="24">
        <f t="shared" si="63"/>
        <v>0</v>
      </c>
      <c r="AU388" s="24">
        <f t="shared" si="64"/>
        <v>0</v>
      </c>
      <c r="AV388" s="24">
        <f t="shared" si="65"/>
        <v>0</v>
      </c>
      <c r="AW388" s="24">
        <f t="shared" si="66"/>
        <v>0</v>
      </c>
      <c r="AX388" s="24">
        <f t="shared" si="67"/>
        <v>0</v>
      </c>
      <c r="AY388" s="24">
        <f t="shared" si="68"/>
        <v>0</v>
      </c>
      <c r="AZ388" s="18"/>
    </row>
    <row r="389" spans="1:52" x14ac:dyDescent="0.25">
      <c r="A389" s="16"/>
      <c r="B389" s="16"/>
      <c r="C389" s="65"/>
      <c r="D389" s="15"/>
      <c r="E389" s="15"/>
      <c r="F389" s="15"/>
      <c r="G389" s="16"/>
      <c r="H389" s="16"/>
      <c r="I389" s="16"/>
      <c r="J389" s="16"/>
      <c r="K389" s="86"/>
      <c r="L389" s="16"/>
      <c r="M389" s="15"/>
      <c r="N389" s="15"/>
      <c r="O389" s="20"/>
      <c r="P389" s="15"/>
      <c r="Q389" s="20"/>
      <c r="R389" s="15"/>
      <c r="S389" s="15"/>
      <c r="T389" s="15"/>
      <c r="U389" s="15"/>
      <c r="V389" s="17"/>
      <c r="W389" s="17"/>
      <c r="X389" s="16"/>
      <c r="Y389" s="20"/>
      <c r="Z389" s="15"/>
      <c r="AA389" s="22"/>
      <c r="AB389" s="90"/>
      <c r="AC389" s="22"/>
      <c r="AD389" s="25"/>
      <c r="AE389" s="25" t="str">
        <f t="shared" si="78"/>
        <v/>
      </c>
      <c r="AF389" s="17" t="str">
        <f t="shared" ca="1" si="79"/>
        <v/>
      </c>
      <c r="AG389" s="17" t="str">
        <f t="shared" si="80"/>
        <v/>
      </c>
      <c r="AH389" s="17" t="str">
        <f t="shared" si="81"/>
        <v/>
      </c>
      <c r="AI389" s="17" t="str">
        <f t="shared" ca="1" si="82"/>
        <v/>
      </c>
      <c r="AJ389" s="17" t="str">
        <f t="shared" ca="1" si="69"/>
        <v/>
      </c>
      <c r="AK389" s="17" t="str">
        <f t="shared" si="70"/>
        <v/>
      </c>
      <c r="AL389" s="17" t="str">
        <f t="shared" si="71"/>
        <v/>
      </c>
      <c r="AM389" s="17" t="str">
        <f t="shared" si="72"/>
        <v/>
      </c>
      <c r="AN389" s="17">
        <f t="shared" si="73"/>
        <v>0</v>
      </c>
      <c r="AO389" s="17" t="str">
        <f t="shared" ca="1" si="74"/>
        <v/>
      </c>
      <c r="AP389" s="17" t="str">
        <f t="shared" ca="1" si="75"/>
        <v/>
      </c>
      <c r="AQ389" s="17" t="str">
        <f t="shared" si="76"/>
        <v/>
      </c>
      <c r="AR389" s="17" t="str">
        <f t="shared" ca="1" si="77"/>
        <v/>
      </c>
      <c r="AS389" s="18"/>
      <c r="AT389" s="24">
        <f t="shared" si="63"/>
        <v>0</v>
      </c>
      <c r="AU389" s="24">
        <f t="shared" si="64"/>
        <v>0</v>
      </c>
      <c r="AV389" s="24">
        <f t="shared" si="65"/>
        <v>0</v>
      </c>
      <c r="AW389" s="24">
        <f t="shared" si="66"/>
        <v>0</v>
      </c>
      <c r="AX389" s="24">
        <f t="shared" si="67"/>
        <v>0</v>
      </c>
      <c r="AY389" s="24">
        <f t="shared" si="68"/>
        <v>0</v>
      </c>
      <c r="AZ389" s="18"/>
    </row>
    <row r="390" spans="1:52" x14ac:dyDescent="0.25">
      <c r="A390" s="16"/>
      <c r="B390" s="16"/>
      <c r="C390" s="65"/>
      <c r="D390" s="15"/>
      <c r="E390" s="15"/>
      <c r="F390" s="15"/>
      <c r="G390" s="16"/>
      <c r="H390" s="16"/>
      <c r="I390" s="16"/>
      <c r="J390" s="16"/>
      <c r="K390" s="86"/>
      <c r="L390" s="16"/>
      <c r="M390" s="15"/>
      <c r="N390" s="15"/>
      <c r="O390" s="20"/>
      <c r="P390" s="15"/>
      <c r="Q390" s="20"/>
      <c r="R390" s="15"/>
      <c r="S390" s="15"/>
      <c r="T390" s="15"/>
      <c r="U390" s="15"/>
      <c r="V390" s="17"/>
      <c r="W390" s="17"/>
      <c r="X390" s="16"/>
      <c r="Y390" s="20"/>
      <c r="Z390" s="15"/>
      <c r="AA390" s="22"/>
      <c r="AB390" s="90"/>
      <c r="AC390" s="22"/>
      <c r="AD390" s="25"/>
      <c r="AE390" s="25" t="str">
        <f t="shared" si="78"/>
        <v/>
      </c>
      <c r="AF390" s="17" t="str">
        <f t="shared" ca="1" si="79"/>
        <v/>
      </c>
      <c r="AG390" s="17" t="str">
        <f t="shared" si="80"/>
        <v/>
      </c>
      <c r="AH390" s="17" t="str">
        <f t="shared" si="81"/>
        <v/>
      </c>
      <c r="AI390" s="17" t="str">
        <f t="shared" ca="1" si="82"/>
        <v/>
      </c>
      <c r="AJ390" s="17" t="str">
        <f t="shared" ca="1" si="69"/>
        <v/>
      </c>
      <c r="AK390" s="17" t="str">
        <f t="shared" si="70"/>
        <v/>
      </c>
      <c r="AL390" s="17" t="str">
        <f t="shared" si="71"/>
        <v/>
      </c>
      <c r="AM390" s="17" t="str">
        <f t="shared" si="72"/>
        <v/>
      </c>
      <c r="AN390" s="17">
        <f t="shared" si="73"/>
        <v>0</v>
      </c>
      <c r="AO390" s="17" t="str">
        <f t="shared" ca="1" si="74"/>
        <v/>
      </c>
      <c r="AP390" s="17" t="str">
        <f t="shared" ca="1" si="75"/>
        <v/>
      </c>
      <c r="AQ390" s="17" t="str">
        <f t="shared" si="76"/>
        <v/>
      </c>
      <c r="AR390" s="17" t="str">
        <f t="shared" ca="1" si="77"/>
        <v/>
      </c>
      <c r="AS390" s="18"/>
      <c r="AT390" s="24">
        <f t="shared" si="63"/>
        <v>0</v>
      </c>
      <c r="AU390" s="24">
        <f t="shared" si="64"/>
        <v>0</v>
      </c>
      <c r="AV390" s="24">
        <f t="shared" si="65"/>
        <v>0</v>
      </c>
      <c r="AW390" s="24">
        <f t="shared" si="66"/>
        <v>0</v>
      </c>
      <c r="AX390" s="24">
        <f t="shared" si="67"/>
        <v>0</v>
      </c>
      <c r="AY390" s="24">
        <f t="shared" si="68"/>
        <v>0</v>
      </c>
      <c r="AZ390" s="18"/>
    </row>
    <row r="391" spans="1:52" x14ac:dyDescent="0.25">
      <c r="A391" s="16"/>
      <c r="B391" s="16"/>
      <c r="C391" s="65"/>
      <c r="D391" s="15"/>
      <c r="E391" s="15"/>
      <c r="F391" s="15"/>
      <c r="G391" s="16"/>
      <c r="H391" s="16"/>
      <c r="I391" s="16"/>
      <c r="J391" s="16"/>
      <c r="K391" s="86"/>
      <c r="L391" s="16"/>
      <c r="M391" s="15"/>
      <c r="N391" s="15"/>
      <c r="O391" s="20"/>
      <c r="P391" s="15"/>
      <c r="Q391" s="20"/>
      <c r="R391" s="15"/>
      <c r="S391" s="15"/>
      <c r="T391" s="15"/>
      <c r="U391" s="15"/>
      <c r="V391" s="17"/>
      <c r="W391" s="17"/>
      <c r="X391" s="16"/>
      <c r="Y391" s="20"/>
      <c r="Z391" s="15"/>
      <c r="AA391" s="22"/>
      <c r="AB391" s="90"/>
      <c r="AC391" s="22"/>
      <c r="AD391" s="25"/>
      <c r="AE391" s="25" t="str">
        <f t="shared" si="78"/>
        <v/>
      </c>
      <c r="AF391" s="17" t="str">
        <f t="shared" ca="1" si="79"/>
        <v/>
      </c>
      <c r="AG391" s="17" t="str">
        <f t="shared" si="80"/>
        <v/>
      </c>
      <c r="AH391" s="17" t="str">
        <f t="shared" si="81"/>
        <v/>
      </c>
      <c r="AI391" s="17" t="str">
        <f t="shared" ca="1" si="82"/>
        <v/>
      </c>
      <c r="AJ391" s="17" t="str">
        <f t="shared" ca="1" si="69"/>
        <v/>
      </c>
      <c r="AK391" s="17" t="str">
        <f t="shared" si="70"/>
        <v/>
      </c>
      <c r="AL391" s="17" t="str">
        <f t="shared" si="71"/>
        <v/>
      </c>
      <c r="AM391" s="17" t="str">
        <f t="shared" si="72"/>
        <v/>
      </c>
      <c r="AN391" s="17">
        <f t="shared" si="73"/>
        <v>0</v>
      </c>
      <c r="AO391" s="17" t="str">
        <f t="shared" ca="1" si="74"/>
        <v/>
      </c>
      <c r="AP391" s="17" t="str">
        <f t="shared" ca="1" si="75"/>
        <v/>
      </c>
      <c r="AQ391" s="17" t="str">
        <f t="shared" si="76"/>
        <v/>
      </c>
      <c r="AR391" s="17" t="str">
        <f t="shared" ca="1" si="77"/>
        <v/>
      </c>
      <c r="AS391" s="18"/>
      <c r="AT391" s="24">
        <f t="shared" si="63"/>
        <v>0</v>
      </c>
      <c r="AU391" s="24">
        <f t="shared" si="64"/>
        <v>0</v>
      </c>
      <c r="AV391" s="24">
        <f t="shared" si="65"/>
        <v>0</v>
      </c>
      <c r="AW391" s="24">
        <f t="shared" si="66"/>
        <v>0</v>
      </c>
      <c r="AX391" s="24">
        <f t="shared" si="67"/>
        <v>0</v>
      </c>
      <c r="AY391" s="24">
        <f t="shared" si="68"/>
        <v>0</v>
      </c>
      <c r="AZ391" s="18"/>
    </row>
    <row r="392" spans="1:52" x14ac:dyDescent="0.25">
      <c r="A392" s="16"/>
      <c r="B392" s="16"/>
      <c r="C392" s="65"/>
      <c r="D392" s="15"/>
      <c r="E392" s="15"/>
      <c r="F392" s="15"/>
      <c r="G392" s="16"/>
      <c r="H392" s="16"/>
      <c r="I392" s="16"/>
      <c r="J392" s="16"/>
      <c r="K392" s="86"/>
      <c r="L392" s="16"/>
      <c r="M392" s="15"/>
      <c r="N392" s="15"/>
      <c r="O392" s="20"/>
      <c r="P392" s="15"/>
      <c r="Q392" s="20"/>
      <c r="R392" s="15"/>
      <c r="S392" s="15"/>
      <c r="T392" s="15"/>
      <c r="U392" s="15"/>
      <c r="V392" s="17"/>
      <c r="W392" s="17"/>
      <c r="X392" s="16"/>
      <c r="Y392" s="20"/>
      <c r="Z392" s="15"/>
      <c r="AA392" s="22"/>
      <c r="AB392" s="90"/>
      <c r="AC392" s="22"/>
      <c r="AD392" s="25"/>
      <c r="AE392" s="25" t="str">
        <f t="shared" si="78"/>
        <v/>
      </c>
      <c r="AF392" s="17" t="str">
        <f t="shared" ca="1" si="79"/>
        <v/>
      </c>
      <c r="AG392" s="17" t="str">
        <f t="shared" si="80"/>
        <v/>
      </c>
      <c r="AH392" s="17" t="str">
        <f t="shared" si="81"/>
        <v/>
      </c>
      <c r="AI392" s="17" t="str">
        <f t="shared" ca="1" si="82"/>
        <v/>
      </c>
      <c r="AJ392" s="17" t="str">
        <f t="shared" ca="1" si="69"/>
        <v/>
      </c>
      <c r="AK392" s="17" t="str">
        <f t="shared" si="70"/>
        <v/>
      </c>
      <c r="AL392" s="17" t="str">
        <f t="shared" si="71"/>
        <v/>
      </c>
      <c r="AM392" s="17" t="str">
        <f t="shared" si="72"/>
        <v/>
      </c>
      <c r="AN392" s="17">
        <f t="shared" si="73"/>
        <v>0</v>
      </c>
      <c r="AO392" s="17" t="str">
        <f t="shared" ca="1" si="74"/>
        <v/>
      </c>
      <c r="AP392" s="17" t="str">
        <f t="shared" ca="1" si="75"/>
        <v/>
      </c>
      <c r="AQ392" s="17" t="str">
        <f t="shared" si="76"/>
        <v/>
      </c>
      <c r="AR392" s="17" t="str">
        <f t="shared" ca="1" si="77"/>
        <v/>
      </c>
      <c r="AS392" s="18"/>
      <c r="AT392" s="24">
        <f t="shared" ref="AT392:AT455" si="83">IF(AND(L392="DONE",AC392&gt;0,AQ392="WITHIN SLA"),1,0)</f>
        <v>0</v>
      </c>
      <c r="AU392" s="24">
        <f t="shared" ref="AU392:AU455" si="84">IF(AND(L392="DONE",AC392&gt;0,AQ392="EXCEEDED SLA"),1,0)</f>
        <v>0</v>
      </c>
      <c r="AV392" s="24">
        <f t="shared" ref="AV392:AV455" si="85">IF(AND(L392="PENDING",M392="AWAITING FROM CSMP"),1,0)</f>
        <v>0</v>
      </c>
      <c r="AW392" s="24">
        <f t="shared" ref="AW392:AW455" si="86">IF(AND(L392="PENDING",M392="WATO ON-HAND",O392&gt;0,W392="WATO",AA392=0),1,0)</f>
        <v>0</v>
      </c>
      <c r="AX392" s="24">
        <f t="shared" ref="AX392:AX455" si="87">IF(AND(L392="PENDING",M392="SUBMITTED TO WFM",O392&gt;0,W392="WFM",AA392=0),1,0)</f>
        <v>0</v>
      </c>
      <c r="AY392" s="24">
        <f t="shared" ref="AY392:AY455" si="88">IF(AND(L392="PENDING",AA392&gt;0),1,0)</f>
        <v>0</v>
      </c>
      <c r="AZ392" s="18"/>
    </row>
    <row r="393" spans="1:52" x14ac:dyDescent="0.25">
      <c r="A393" s="16"/>
      <c r="B393" s="16"/>
      <c r="C393" s="65"/>
      <c r="D393" s="15"/>
      <c r="E393" s="15"/>
      <c r="F393" s="15"/>
      <c r="G393" s="16"/>
      <c r="H393" s="16"/>
      <c r="I393" s="16"/>
      <c r="J393" s="16"/>
      <c r="K393" s="86"/>
      <c r="L393" s="16"/>
      <c r="M393" s="15"/>
      <c r="N393" s="15"/>
      <c r="O393" s="20"/>
      <c r="P393" s="15"/>
      <c r="Q393" s="20"/>
      <c r="R393" s="15"/>
      <c r="S393" s="15"/>
      <c r="T393" s="15"/>
      <c r="U393" s="15"/>
      <c r="V393" s="17"/>
      <c r="W393" s="17"/>
      <c r="X393" s="16"/>
      <c r="Y393" s="20"/>
      <c r="Z393" s="15"/>
      <c r="AA393" s="22"/>
      <c r="AB393" s="90"/>
      <c r="AC393" s="22"/>
      <c r="AD393" s="25"/>
      <c r="AE393" s="25" t="str">
        <f t="shared" si="78"/>
        <v/>
      </c>
      <c r="AF393" s="17" t="str">
        <f t="shared" ca="1" si="79"/>
        <v/>
      </c>
      <c r="AG393" s="17" t="str">
        <f t="shared" si="80"/>
        <v/>
      </c>
      <c r="AH393" s="17" t="str">
        <f t="shared" si="81"/>
        <v/>
      </c>
      <c r="AI393" s="17" t="str">
        <f t="shared" ca="1" si="82"/>
        <v/>
      </c>
      <c r="AJ393" s="17" t="str">
        <f t="shared" ca="1" si="69"/>
        <v/>
      </c>
      <c r="AK393" s="17" t="str">
        <f t="shared" si="70"/>
        <v/>
      </c>
      <c r="AL393" s="17" t="str">
        <f t="shared" si="71"/>
        <v/>
      </c>
      <c r="AM393" s="17" t="str">
        <f t="shared" si="72"/>
        <v/>
      </c>
      <c r="AN393" s="17">
        <f t="shared" si="73"/>
        <v>0</v>
      </c>
      <c r="AO393" s="17" t="str">
        <f t="shared" ca="1" si="74"/>
        <v/>
      </c>
      <c r="AP393" s="17" t="str">
        <f t="shared" ca="1" si="75"/>
        <v/>
      </c>
      <c r="AQ393" s="17" t="str">
        <f t="shared" si="76"/>
        <v/>
      </c>
      <c r="AR393" s="17" t="str">
        <f t="shared" ca="1" si="77"/>
        <v/>
      </c>
      <c r="AS393" s="18"/>
      <c r="AT393" s="24">
        <f t="shared" si="83"/>
        <v>0</v>
      </c>
      <c r="AU393" s="24">
        <f t="shared" si="84"/>
        <v>0</v>
      </c>
      <c r="AV393" s="24">
        <f t="shared" si="85"/>
        <v>0</v>
      </c>
      <c r="AW393" s="24">
        <f t="shared" si="86"/>
        <v>0</v>
      </c>
      <c r="AX393" s="24">
        <f t="shared" si="87"/>
        <v>0</v>
      </c>
      <c r="AY393" s="24">
        <f t="shared" si="88"/>
        <v>0</v>
      </c>
      <c r="AZ393" s="18"/>
    </row>
    <row r="394" spans="1:52" x14ac:dyDescent="0.25">
      <c r="A394" s="16"/>
      <c r="B394" s="16"/>
      <c r="C394" s="65"/>
      <c r="D394" s="15"/>
      <c r="E394" s="15"/>
      <c r="F394" s="15"/>
      <c r="G394" s="16"/>
      <c r="H394" s="16"/>
      <c r="I394" s="16"/>
      <c r="J394" s="16"/>
      <c r="K394" s="86"/>
      <c r="L394" s="16"/>
      <c r="M394" s="15"/>
      <c r="N394" s="15"/>
      <c r="O394" s="20"/>
      <c r="P394" s="15"/>
      <c r="Q394" s="20"/>
      <c r="R394" s="15"/>
      <c r="S394" s="15"/>
      <c r="T394" s="15"/>
      <c r="U394" s="15"/>
      <c r="V394" s="17"/>
      <c r="W394" s="17"/>
      <c r="X394" s="16"/>
      <c r="Y394" s="20"/>
      <c r="Z394" s="15"/>
      <c r="AA394" s="22"/>
      <c r="AB394" s="90"/>
      <c r="AC394" s="22"/>
      <c r="AD394" s="25"/>
      <c r="AE394" s="25" t="str">
        <f t="shared" si="78"/>
        <v/>
      </c>
      <c r="AF394" s="17" t="str">
        <f t="shared" ca="1" si="79"/>
        <v/>
      </c>
      <c r="AG394" s="17" t="str">
        <f t="shared" si="80"/>
        <v/>
      </c>
      <c r="AH394" s="17" t="str">
        <f t="shared" si="81"/>
        <v/>
      </c>
      <c r="AI394" s="17" t="str">
        <f t="shared" ca="1" si="82"/>
        <v/>
      </c>
      <c r="AJ394" s="17" t="str">
        <f t="shared" ca="1" si="69"/>
        <v/>
      </c>
      <c r="AK394" s="17" t="str">
        <f t="shared" si="70"/>
        <v/>
      </c>
      <c r="AL394" s="17" t="str">
        <f t="shared" si="71"/>
        <v/>
      </c>
      <c r="AM394" s="17" t="str">
        <f t="shared" si="72"/>
        <v/>
      </c>
      <c r="AN394" s="17">
        <f t="shared" si="73"/>
        <v>0</v>
      </c>
      <c r="AO394" s="17" t="str">
        <f t="shared" ca="1" si="74"/>
        <v/>
      </c>
      <c r="AP394" s="17" t="str">
        <f t="shared" ca="1" si="75"/>
        <v/>
      </c>
      <c r="AQ394" s="17" t="str">
        <f t="shared" si="76"/>
        <v/>
      </c>
      <c r="AR394" s="17" t="str">
        <f t="shared" ca="1" si="77"/>
        <v/>
      </c>
      <c r="AS394" s="18"/>
      <c r="AT394" s="24">
        <f t="shared" si="83"/>
        <v>0</v>
      </c>
      <c r="AU394" s="24">
        <f t="shared" si="84"/>
        <v>0</v>
      </c>
      <c r="AV394" s="24">
        <f t="shared" si="85"/>
        <v>0</v>
      </c>
      <c r="AW394" s="24">
        <f t="shared" si="86"/>
        <v>0</v>
      </c>
      <c r="AX394" s="24">
        <f t="shared" si="87"/>
        <v>0</v>
      </c>
      <c r="AY394" s="24">
        <f t="shared" si="88"/>
        <v>0</v>
      </c>
      <c r="AZ394" s="18"/>
    </row>
    <row r="395" spans="1:52" x14ac:dyDescent="0.25">
      <c r="A395" s="16"/>
      <c r="B395" s="16"/>
      <c r="C395" s="65"/>
      <c r="D395" s="15"/>
      <c r="E395" s="15"/>
      <c r="F395" s="15"/>
      <c r="G395" s="16"/>
      <c r="H395" s="16"/>
      <c r="I395" s="16"/>
      <c r="J395" s="16"/>
      <c r="K395" s="86"/>
      <c r="L395" s="16"/>
      <c r="M395" s="15"/>
      <c r="N395" s="15"/>
      <c r="O395" s="20"/>
      <c r="P395" s="15"/>
      <c r="Q395" s="20"/>
      <c r="R395" s="15"/>
      <c r="S395" s="15"/>
      <c r="T395" s="15"/>
      <c r="U395" s="15"/>
      <c r="V395" s="17"/>
      <c r="W395" s="17"/>
      <c r="X395" s="16"/>
      <c r="Y395" s="20"/>
      <c r="Z395" s="15"/>
      <c r="AA395" s="22"/>
      <c r="AB395" s="90"/>
      <c r="AC395" s="22"/>
      <c r="AD395" s="25"/>
      <c r="AE395" s="25" t="str">
        <f t="shared" si="78"/>
        <v/>
      </c>
      <c r="AF395" s="17" t="str">
        <f t="shared" ca="1" si="79"/>
        <v/>
      </c>
      <c r="AG395" s="17" t="str">
        <f t="shared" si="80"/>
        <v/>
      </c>
      <c r="AH395" s="17" t="str">
        <f t="shared" si="81"/>
        <v/>
      </c>
      <c r="AI395" s="17" t="str">
        <f t="shared" ca="1" si="82"/>
        <v/>
      </c>
      <c r="AJ395" s="17" t="str">
        <f t="shared" ca="1" si="69"/>
        <v/>
      </c>
      <c r="AK395" s="17" t="str">
        <f t="shared" si="70"/>
        <v/>
      </c>
      <c r="AL395" s="17" t="str">
        <f t="shared" si="71"/>
        <v/>
      </c>
      <c r="AM395" s="17" t="str">
        <f t="shared" si="72"/>
        <v/>
      </c>
      <c r="AN395" s="17">
        <f t="shared" si="73"/>
        <v>0</v>
      </c>
      <c r="AO395" s="17" t="str">
        <f t="shared" ca="1" si="74"/>
        <v/>
      </c>
      <c r="AP395" s="17" t="str">
        <f t="shared" ca="1" si="75"/>
        <v/>
      </c>
      <c r="AQ395" s="17" t="str">
        <f t="shared" si="76"/>
        <v/>
      </c>
      <c r="AR395" s="17" t="str">
        <f t="shared" ca="1" si="77"/>
        <v/>
      </c>
      <c r="AS395" s="18"/>
      <c r="AT395" s="24">
        <f t="shared" si="83"/>
        <v>0</v>
      </c>
      <c r="AU395" s="24">
        <f t="shared" si="84"/>
        <v>0</v>
      </c>
      <c r="AV395" s="24">
        <f t="shared" si="85"/>
        <v>0</v>
      </c>
      <c r="AW395" s="24">
        <f t="shared" si="86"/>
        <v>0</v>
      </c>
      <c r="AX395" s="24">
        <f t="shared" si="87"/>
        <v>0</v>
      </c>
      <c r="AY395" s="24">
        <f t="shared" si="88"/>
        <v>0</v>
      </c>
      <c r="AZ395" s="18"/>
    </row>
    <row r="396" spans="1:52" x14ac:dyDescent="0.25">
      <c r="A396" s="16"/>
      <c r="B396" s="16"/>
      <c r="C396" s="65"/>
      <c r="D396" s="15"/>
      <c r="E396" s="15"/>
      <c r="F396" s="15"/>
      <c r="G396" s="16"/>
      <c r="H396" s="16"/>
      <c r="I396" s="16"/>
      <c r="J396" s="16"/>
      <c r="K396" s="86"/>
      <c r="L396" s="16"/>
      <c r="M396" s="15"/>
      <c r="N396" s="15"/>
      <c r="O396" s="20"/>
      <c r="P396" s="15"/>
      <c r="Q396" s="20"/>
      <c r="R396" s="15"/>
      <c r="S396" s="15"/>
      <c r="T396" s="15"/>
      <c r="U396" s="15"/>
      <c r="V396" s="17"/>
      <c r="W396" s="17"/>
      <c r="X396" s="16"/>
      <c r="Y396" s="20"/>
      <c r="Z396" s="15"/>
      <c r="AA396" s="22"/>
      <c r="AB396" s="90"/>
      <c r="AC396" s="22"/>
      <c r="AD396" s="25"/>
      <c r="AE396" s="25" t="str">
        <f t="shared" si="78"/>
        <v/>
      </c>
      <c r="AF396" s="17" t="str">
        <f t="shared" ca="1" si="79"/>
        <v/>
      </c>
      <c r="AG396" s="17" t="str">
        <f t="shared" si="80"/>
        <v/>
      </c>
      <c r="AH396" s="17" t="str">
        <f t="shared" si="81"/>
        <v/>
      </c>
      <c r="AI396" s="17" t="str">
        <f t="shared" ca="1" si="82"/>
        <v/>
      </c>
      <c r="AJ396" s="17" t="str">
        <f t="shared" ca="1" si="69"/>
        <v/>
      </c>
      <c r="AK396" s="17" t="str">
        <f t="shared" si="70"/>
        <v/>
      </c>
      <c r="AL396" s="17" t="str">
        <f t="shared" si="71"/>
        <v/>
      </c>
      <c r="AM396" s="17" t="str">
        <f t="shared" si="72"/>
        <v/>
      </c>
      <c r="AN396" s="17">
        <f t="shared" si="73"/>
        <v>0</v>
      </c>
      <c r="AO396" s="17" t="str">
        <f t="shared" ca="1" si="74"/>
        <v/>
      </c>
      <c r="AP396" s="17" t="str">
        <f t="shared" ca="1" si="75"/>
        <v/>
      </c>
      <c r="AQ396" s="17" t="str">
        <f t="shared" si="76"/>
        <v/>
      </c>
      <c r="AR396" s="17" t="str">
        <f t="shared" ca="1" si="77"/>
        <v/>
      </c>
      <c r="AS396" s="18"/>
      <c r="AT396" s="24">
        <f t="shared" si="83"/>
        <v>0</v>
      </c>
      <c r="AU396" s="24">
        <f t="shared" si="84"/>
        <v>0</v>
      </c>
      <c r="AV396" s="24">
        <f t="shared" si="85"/>
        <v>0</v>
      </c>
      <c r="AW396" s="24">
        <f t="shared" si="86"/>
        <v>0</v>
      </c>
      <c r="AX396" s="24">
        <f t="shared" si="87"/>
        <v>0</v>
      </c>
      <c r="AY396" s="24">
        <f t="shared" si="88"/>
        <v>0</v>
      </c>
      <c r="AZ396" s="18"/>
    </row>
    <row r="397" spans="1:52" x14ac:dyDescent="0.25">
      <c r="A397" s="16"/>
      <c r="B397" s="16"/>
      <c r="C397" s="65"/>
      <c r="D397" s="15"/>
      <c r="E397" s="15"/>
      <c r="F397" s="15"/>
      <c r="G397" s="16"/>
      <c r="H397" s="16"/>
      <c r="I397" s="16"/>
      <c r="J397" s="16"/>
      <c r="K397" s="86"/>
      <c r="L397" s="16"/>
      <c r="M397" s="15"/>
      <c r="N397" s="15"/>
      <c r="O397" s="20"/>
      <c r="P397" s="15"/>
      <c r="Q397" s="20"/>
      <c r="R397" s="15"/>
      <c r="S397" s="15"/>
      <c r="T397" s="15"/>
      <c r="U397" s="15"/>
      <c r="V397" s="17"/>
      <c r="W397" s="17"/>
      <c r="X397" s="16"/>
      <c r="Y397" s="20"/>
      <c r="Z397" s="15"/>
      <c r="AA397" s="22"/>
      <c r="AB397" s="90"/>
      <c r="AC397" s="22"/>
      <c r="AD397" s="25"/>
      <c r="AE397" s="25" t="str">
        <f t="shared" si="78"/>
        <v/>
      </c>
      <c r="AF397" s="17" t="str">
        <f t="shared" ca="1" si="79"/>
        <v/>
      </c>
      <c r="AG397" s="17" t="str">
        <f t="shared" si="80"/>
        <v/>
      </c>
      <c r="AH397" s="17" t="str">
        <f t="shared" si="81"/>
        <v/>
      </c>
      <c r="AI397" s="17" t="str">
        <f t="shared" ca="1" si="82"/>
        <v/>
      </c>
      <c r="AJ397" s="17" t="str">
        <f t="shared" ca="1" si="69"/>
        <v/>
      </c>
      <c r="AK397" s="17" t="str">
        <f t="shared" si="70"/>
        <v/>
      </c>
      <c r="AL397" s="17" t="str">
        <f t="shared" si="71"/>
        <v/>
      </c>
      <c r="AM397" s="17" t="str">
        <f t="shared" si="72"/>
        <v/>
      </c>
      <c r="AN397" s="17">
        <f t="shared" si="73"/>
        <v>0</v>
      </c>
      <c r="AO397" s="17" t="str">
        <f t="shared" ca="1" si="74"/>
        <v/>
      </c>
      <c r="AP397" s="17" t="str">
        <f t="shared" ca="1" si="75"/>
        <v/>
      </c>
      <c r="AQ397" s="17" t="str">
        <f t="shared" si="76"/>
        <v/>
      </c>
      <c r="AR397" s="17" t="str">
        <f t="shared" ca="1" si="77"/>
        <v/>
      </c>
      <c r="AS397" s="18"/>
      <c r="AT397" s="24">
        <f t="shared" si="83"/>
        <v>0</v>
      </c>
      <c r="AU397" s="24">
        <f t="shared" si="84"/>
        <v>0</v>
      </c>
      <c r="AV397" s="24">
        <f t="shared" si="85"/>
        <v>0</v>
      </c>
      <c r="AW397" s="24">
        <f t="shared" si="86"/>
        <v>0</v>
      </c>
      <c r="AX397" s="24">
        <f t="shared" si="87"/>
        <v>0</v>
      </c>
      <c r="AY397" s="24">
        <f t="shared" si="88"/>
        <v>0</v>
      </c>
      <c r="AZ397" s="18"/>
    </row>
    <row r="398" spans="1:52" x14ac:dyDescent="0.25">
      <c r="A398" s="16"/>
      <c r="B398" s="16"/>
      <c r="C398" s="65"/>
      <c r="D398" s="15"/>
      <c r="E398" s="15"/>
      <c r="F398" s="15"/>
      <c r="G398" s="16"/>
      <c r="H398" s="16"/>
      <c r="I398" s="16"/>
      <c r="J398" s="16"/>
      <c r="K398" s="86"/>
      <c r="L398" s="16"/>
      <c r="M398" s="15"/>
      <c r="N398" s="15"/>
      <c r="O398" s="20"/>
      <c r="P398" s="15"/>
      <c r="Q398" s="20"/>
      <c r="R398" s="15"/>
      <c r="S398" s="15"/>
      <c r="T398" s="15"/>
      <c r="U398" s="15"/>
      <c r="V398" s="17"/>
      <c r="W398" s="17"/>
      <c r="X398" s="16"/>
      <c r="Y398" s="20"/>
      <c r="Z398" s="15"/>
      <c r="AA398" s="22"/>
      <c r="AB398" s="90"/>
      <c r="AC398" s="22"/>
      <c r="AD398" s="25"/>
      <c r="AE398" s="25" t="str">
        <f t="shared" si="78"/>
        <v/>
      </c>
      <c r="AF398" s="17" t="str">
        <f t="shared" ca="1" si="79"/>
        <v/>
      </c>
      <c r="AG398" s="17" t="str">
        <f t="shared" si="80"/>
        <v/>
      </c>
      <c r="AH398" s="17" t="str">
        <f t="shared" si="81"/>
        <v/>
      </c>
      <c r="AI398" s="17" t="str">
        <f t="shared" ca="1" si="82"/>
        <v/>
      </c>
      <c r="AJ398" s="17" t="str">
        <f t="shared" ca="1" si="69"/>
        <v/>
      </c>
      <c r="AK398" s="17" t="str">
        <f t="shared" si="70"/>
        <v/>
      </c>
      <c r="AL398" s="17" t="str">
        <f t="shared" si="71"/>
        <v/>
      </c>
      <c r="AM398" s="17" t="str">
        <f t="shared" si="72"/>
        <v/>
      </c>
      <c r="AN398" s="17">
        <f t="shared" si="73"/>
        <v>0</v>
      </c>
      <c r="AO398" s="17" t="str">
        <f t="shared" ca="1" si="74"/>
        <v/>
      </c>
      <c r="AP398" s="17" t="str">
        <f t="shared" ca="1" si="75"/>
        <v/>
      </c>
      <c r="AQ398" s="17" t="str">
        <f t="shared" si="76"/>
        <v/>
      </c>
      <c r="AR398" s="17" t="str">
        <f t="shared" ca="1" si="77"/>
        <v/>
      </c>
      <c r="AS398" s="18"/>
      <c r="AT398" s="24">
        <f t="shared" si="83"/>
        <v>0</v>
      </c>
      <c r="AU398" s="24">
        <f t="shared" si="84"/>
        <v>0</v>
      </c>
      <c r="AV398" s="24">
        <f t="shared" si="85"/>
        <v>0</v>
      </c>
      <c r="AW398" s="24">
        <f t="shared" si="86"/>
        <v>0</v>
      </c>
      <c r="AX398" s="24">
        <f t="shared" si="87"/>
        <v>0</v>
      </c>
      <c r="AY398" s="24">
        <f t="shared" si="88"/>
        <v>0</v>
      </c>
      <c r="AZ398" s="18"/>
    </row>
    <row r="399" spans="1:52" x14ac:dyDescent="0.25">
      <c r="A399" s="16"/>
      <c r="B399" s="16"/>
      <c r="C399" s="65"/>
      <c r="D399" s="15"/>
      <c r="E399" s="15"/>
      <c r="F399" s="15"/>
      <c r="G399" s="16"/>
      <c r="H399" s="16"/>
      <c r="I399" s="16"/>
      <c r="J399" s="16"/>
      <c r="K399" s="86"/>
      <c r="L399" s="16"/>
      <c r="M399" s="15"/>
      <c r="N399" s="15"/>
      <c r="O399" s="20"/>
      <c r="P399" s="15"/>
      <c r="Q399" s="20"/>
      <c r="R399" s="15"/>
      <c r="S399" s="15"/>
      <c r="T399" s="15"/>
      <c r="U399" s="15"/>
      <c r="V399" s="17"/>
      <c r="W399" s="17"/>
      <c r="X399" s="16"/>
      <c r="Y399" s="20"/>
      <c r="Z399" s="15"/>
      <c r="AA399" s="22"/>
      <c r="AB399" s="90"/>
      <c r="AC399" s="22"/>
      <c r="AD399" s="25"/>
      <c r="AE399" s="25" t="str">
        <f t="shared" si="78"/>
        <v/>
      </c>
      <c r="AF399" s="17" t="str">
        <f t="shared" ca="1" si="79"/>
        <v/>
      </c>
      <c r="AG399" s="17" t="str">
        <f t="shared" si="80"/>
        <v/>
      </c>
      <c r="AH399" s="17" t="str">
        <f t="shared" si="81"/>
        <v/>
      </c>
      <c r="AI399" s="17" t="str">
        <f t="shared" ca="1" si="82"/>
        <v/>
      </c>
      <c r="AJ399" s="17" t="str">
        <f t="shared" ca="1" si="69"/>
        <v/>
      </c>
      <c r="AK399" s="17" t="str">
        <f t="shared" si="70"/>
        <v/>
      </c>
      <c r="AL399" s="17" t="str">
        <f t="shared" si="71"/>
        <v/>
      </c>
      <c r="AM399" s="17" t="str">
        <f t="shared" si="72"/>
        <v/>
      </c>
      <c r="AN399" s="17">
        <f t="shared" si="73"/>
        <v>0</v>
      </c>
      <c r="AO399" s="17" t="str">
        <f t="shared" ca="1" si="74"/>
        <v/>
      </c>
      <c r="AP399" s="17" t="str">
        <f t="shared" ca="1" si="75"/>
        <v/>
      </c>
      <c r="AQ399" s="17" t="str">
        <f t="shared" si="76"/>
        <v/>
      </c>
      <c r="AR399" s="17" t="str">
        <f t="shared" ca="1" si="77"/>
        <v/>
      </c>
      <c r="AS399" s="18"/>
      <c r="AT399" s="24">
        <f t="shared" si="83"/>
        <v>0</v>
      </c>
      <c r="AU399" s="24">
        <f t="shared" si="84"/>
        <v>0</v>
      </c>
      <c r="AV399" s="24">
        <f t="shared" si="85"/>
        <v>0</v>
      </c>
      <c r="AW399" s="24">
        <f t="shared" si="86"/>
        <v>0</v>
      </c>
      <c r="AX399" s="24">
        <f t="shared" si="87"/>
        <v>0</v>
      </c>
      <c r="AY399" s="24">
        <f t="shared" si="88"/>
        <v>0</v>
      </c>
      <c r="AZ399" s="18"/>
    </row>
    <row r="400" spans="1:52" x14ac:dyDescent="0.25">
      <c r="A400" s="16"/>
      <c r="B400" s="16"/>
      <c r="C400" s="65"/>
      <c r="D400" s="15"/>
      <c r="E400" s="15"/>
      <c r="F400" s="15"/>
      <c r="G400" s="16"/>
      <c r="H400" s="16"/>
      <c r="I400" s="16"/>
      <c r="J400" s="16"/>
      <c r="K400" s="86"/>
      <c r="L400" s="16"/>
      <c r="M400" s="15"/>
      <c r="N400" s="15"/>
      <c r="O400" s="20"/>
      <c r="P400" s="15"/>
      <c r="Q400" s="20"/>
      <c r="R400" s="15"/>
      <c r="S400" s="15"/>
      <c r="T400" s="15"/>
      <c r="U400" s="15"/>
      <c r="V400" s="17"/>
      <c r="W400" s="17"/>
      <c r="X400" s="16"/>
      <c r="Y400" s="20"/>
      <c r="Z400" s="15"/>
      <c r="AA400" s="22"/>
      <c r="AB400" s="90"/>
      <c r="AC400" s="22"/>
      <c r="AD400" s="25"/>
      <c r="AE400" s="25" t="str">
        <f t="shared" si="78"/>
        <v/>
      </c>
      <c r="AF400" s="17" t="str">
        <f t="shared" ca="1" si="79"/>
        <v/>
      </c>
      <c r="AG400" s="17" t="str">
        <f t="shared" si="80"/>
        <v/>
      </c>
      <c r="AH400" s="17" t="str">
        <f t="shared" si="81"/>
        <v/>
      </c>
      <c r="AI400" s="17" t="str">
        <f t="shared" ca="1" si="82"/>
        <v/>
      </c>
      <c r="AJ400" s="17" t="str">
        <f t="shared" ca="1" si="69"/>
        <v/>
      </c>
      <c r="AK400" s="17" t="str">
        <f t="shared" si="70"/>
        <v/>
      </c>
      <c r="AL400" s="17" t="str">
        <f t="shared" si="71"/>
        <v/>
      </c>
      <c r="AM400" s="17" t="str">
        <f t="shared" si="72"/>
        <v/>
      </c>
      <c r="AN400" s="17">
        <f t="shared" si="73"/>
        <v>0</v>
      </c>
      <c r="AO400" s="17" t="str">
        <f t="shared" ca="1" si="74"/>
        <v/>
      </c>
      <c r="AP400" s="17" t="str">
        <f t="shared" ca="1" si="75"/>
        <v/>
      </c>
      <c r="AQ400" s="17" t="str">
        <f t="shared" si="76"/>
        <v/>
      </c>
      <c r="AR400" s="17" t="str">
        <f t="shared" ca="1" si="77"/>
        <v/>
      </c>
      <c r="AS400" s="18"/>
      <c r="AT400" s="24">
        <f t="shared" si="83"/>
        <v>0</v>
      </c>
      <c r="AU400" s="24">
        <f t="shared" si="84"/>
        <v>0</v>
      </c>
      <c r="AV400" s="24">
        <f t="shared" si="85"/>
        <v>0</v>
      </c>
      <c r="AW400" s="24">
        <f t="shared" si="86"/>
        <v>0</v>
      </c>
      <c r="AX400" s="24">
        <f t="shared" si="87"/>
        <v>0</v>
      </c>
      <c r="AY400" s="24">
        <f t="shared" si="88"/>
        <v>0</v>
      </c>
      <c r="AZ400" s="18"/>
    </row>
    <row r="401" spans="1:52" x14ac:dyDescent="0.25">
      <c r="A401" s="16"/>
      <c r="B401" s="16"/>
      <c r="C401" s="65"/>
      <c r="D401" s="15"/>
      <c r="E401" s="15"/>
      <c r="F401" s="15"/>
      <c r="G401" s="16"/>
      <c r="H401" s="16"/>
      <c r="I401" s="16"/>
      <c r="J401" s="16"/>
      <c r="K401" s="86"/>
      <c r="L401" s="16"/>
      <c r="M401" s="15"/>
      <c r="N401" s="15"/>
      <c r="O401" s="20"/>
      <c r="P401" s="15"/>
      <c r="Q401" s="20"/>
      <c r="R401" s="15"/>
      <c r="S401" s="15"/>
      <c r="T401" s="15"/>
      <c r="U401" s="15"/>
      <c r="V401" s="17" t="str">
        <f>IF(U401="","",VLOOKUP(U401,References!C:D,2,0))</f>
        <v/>
      </c>
      <c r="W401" s="17" t="str">
        <f>IF(U401="","",VLOOKUP(U401,References!C:F,4,0))</f>
        <v/>
      </c>
      <c r="X401" s="16"/>
      <c r="Y401" s="20"/>
      <c r="Z401" s="15"/>
      <c r="AA401" s="22"/>
      <c r="AB401" s="90"/>
      <c r="AC401" s="22"/>
      <c r="AD401" s="25" t="str">
        <f t="shared" ref="AD401:AD444" si="89">IF(B401="","",IF(AT401=1,$AT$2,IF(AU401=1,$AU$2,IF(AV401=1,$AV$2,IF(AW401=1,$AW$2,IF(AX401=1,$AX$2,IF(AY401=1,$AY$2,"INCORRECT DATA INPUT")))))))</f>
        <v/>
      </c>
      <c r="AE401" s="25" t="str">
        <f t="shared" si="78"/>
        <v/>
      </c>
      <c r="AF401" s="17" t="str">
        <f t="shared" ca="1" si="79"/>
        <v/>
      </c>
      <c r="AG401" s="17" t="str">
        <f t="shared" si="80"/>
        <v/>
      </c>
      <c r="AH401" s="17" t="str">
        <f t="shared" si="81"/>
        <v/>
      </c>
      <c r="AI401" s="17" t="str">
        <f t="shared" ca="1" si="82"/>
        <v/>
      </c>
      <c r="AJ401" s="17" t="str">
        <f t="shared" ca="1" si="69"/>
        <v/>
      </c>
      <c r="AK401" s="17" t="str">
        <f t="shared" si="70"/>
        <v/>
      </c>
      <c r="AL401" s="17" t="str">
        <f t="shared" si="71"/>
        <v/>
      </c>
      <c r="AM401" s="17" t="str">
        <f t="shared" si="72"/>
        <v/>
      </c>
      <c r="AN401" s="17">
        <f t="shared" si="73"/>
        <v>0</v>
      </c>
      <c r="AO401" s="17" t="str">
        <f t="shared" ca="1" si="74"/>
        <v/>
      </c>
      <c r="AP401" s="17" t="str">
        <f t="shared" ca="1" si="75"/>
        <v/>
      </c>
      <c r="AQ401" s="17" t="str">
        <f t="shared" si="76"/>
        <v/>
      </c>
      <c r="AR401" s="17" t="str">
        <f t="shared" ca="1" si="77"/>
        <v/>
      </c>
      <c r="AS401" s="18"/>
      <c r="AT401" s="24">
        <f t="shared" si="83"/>
        <v>0</v>
      </c>
      <c r="AU401" s="24">
        <f t="shared" si="84"/>
        <v>0</v>
      </c>
      <c r="AV401" s="24">
        <f t="shared" si="85"/>
        <v>0</v>
      </c>
      <c r="AW401" s="24">
        <f t="shared" si="86"/>
        <v>0</v>
      </c>
      <c r="AX401" s="24">
        <f t="shared" si="87"/>
        <v>0</v>
      </c>
      <c r="AY401" s="24">
        <f t="shared" si="88"/>
        <v>0</v>
      </c>
      <c r="AZ401" s="18"/>
    </row>
    <row r="402" spans="1:52" x14ac:dyDescent="0.25">
      <c r="A402" s="16"/>
      <c r="B402" s="16"/>
      <c r="C402" s="65"/>
      <c r="D402" s="15"/>
      <c r="E402" s="15"/>
      <c r="F402" s="15"/>
      <c r="G402" s="16"/>
      <c r="H402" s="16"/>
      <c r="I402" s="16"/>
      <c r="J402" s="16"/>
      <c r="K402" s="86"/>
      <c r="L402" s="16"/>
      <c r="M402" s="15"/>
      <c r="N402" s="15"/>
      <c r="O402" s="20"/>
      <c r="P402" s="15"/>
      <c r="Q402" s="20"/>
      <c r="R402" s="15"/>
      <c r="S402" s="15"/>
      <c r="T402" s="15"/>
      <c r="U402" s="15"/>
      <c r="V402" s="17" t="str">
        <f>IF(U402="","",VLOOKUP(U402,References!C:D,2,0))</f>
        <v/>
      </c>
      <c r="W402" s="17" t="str">
        <f>IF(U402="","",VLOOKUP(U402,References!C:F,4,0))</f>
        <v/>
      </c>
      <c r="X402" s="16"/>
      <c r="Y402" s="20"/>
      <c r="Z402" s="15"/>
      <c r="AA402" s="22"/>
      <c r="AB402" s="90"/>
      <c r="AC402" s="22"/>
      <c r="AD402" s="25" t="str">
        <f t="shared" si="89"/>
        <v/>
      </c>
      <c r="AE402" s="25" t="str">
        <f t="shared" si="78"/>
        <v/>
      </c>
      <c r="AF402" s="17" t="str">
        <f t="shared" ca="1" si="79"/>
        <v/>
      </c>
      <c r="AG402" s="17" t="str">
        <f t="shared" si="80"/>
        <v/>
      </c>
      <c r="AH402" s="17" t="str">
        <f t="shared" si="81"/>
        <v/>
      </c>
      <c r="AI402" s="17" t="str">
        <f t="shared" ca="1" si="82"/>
        <v/>
      </c>
      <c r="AJ402" s="17" t="str">
        <f t="shared" ca="1" si="69"/>
        <v/>
      </c>
      <c r="AK402" s="17" t="str">
        <f t="shared" si="70"/>
        <v/>
      </c>
      <c r="AL402" s="17" t="str">
        <f t="shared" si="71"/>
        <v/>
      </c>
      <c r="AM402" s="17" t="str">
        <f t="shared" si="72"/>
        <v/>
      </c>
      <c r="AN402" s="17">
        <f t="shared" si="73"/>
        <v>0</v>
      </c>
      <c r="AO402" s="17" t="str">
        <f t="shared" ca="1" si="74"/>
        <v/>
      </c>
      <c r="AP402" s="17" t="str">
        <f t="shared" ca="1" si="75"/>
        <v/>
      </c>
      <c r="AQ402" s="17" t="str">
        <f t="shared" si="76"/>
        <v/>
      </c>
      <c r="AR402" s="17" t="str">
        <f t="shared" ca="1" si="77"/>
        <v/>
      </c>
      <c r="AS402" s="18"/>
      <c r="AT402" s="24">
        <f t="shared" si="83"/>
        <v>0</v>
      </c>
      <c r="AU402" s="24">
        <f t="shared" si="84"/>
        <v>0</v>
      </c>
      <c r="AV402" s="24">
        <f t="shared" si="85"/>
        <v>0</v>
      </c>
      <c r="AW402" s="24">
        <f t="shared" si="86"/>
        <v>0</v>
      </c>
      <c r="AX402" s="24">
        <f t="shared" si="87"/>
        <v>0</v>
      </c>
      <c r="AY402" s="24">
        <f t="shared" si="88"/>
        <v>0</v>
      </c>
      <c r="AZ402" s="18"/>
    </row>
    <row r="403" spans="1:52" x14ac:dyDescent="0.25">
      <c r="A403" s="16"/>
      <c r="B403" s="16"/>
      <c r="C403" s="65"/>
      <c r="D403" s="15"/>
      <c r="E403" s="15"/>
      <c r="F403" s="15"/>
      <c r="G403" s="16"/>
      <c r="H403" s="16"/>
      <c r="I403" s="16"/>
      <c r="J403" s="16"/>
      <c r="K403" s="86"/>
      <c r="L403" s="16"/>
      <c r="M403" s="15"/>
      <c r="N403" s="15"/>
      <c r="O403" s="20"/>
      <c r="P403" s="15"/>
      <c r="Q403" s="20"/>
      <c r="R403" s="15"/>
      <c r="S403" s="15"/>
      <c r="T403" s="15"/>
      <c r="U403" s="15"/>
      <c r="V403" s="17" t="str">
        <f>IF(U403="","",VLOOKUP(U403,References!C:D,2,0))</f>
        <v/>
      </c>
      <c r="W403" s="17" t="str">
        <f>IF(U403="","",VLOOKUP(U403,References!C:F,4,0))</f>
        <v/>
      </c>
      <c r="X403" s="16"/>
      <c r="Y403" s="20"/>
      <c r="Z403" s="15"/>
      <c r="AA403" s="22"/>
      <c r="AB403" s="90"/>
      <c r="AC403" s="22"/>
      <c r="AD403" s="25" t="str">
        <f t="shared" si="89"/>
        <v/>
      </c>
      <c r="AE403" s="25" t="str">
        <f t="shared" si="78"/>
        <v/>
      </c>
      <c r="AF403" s="17" t="str">
        <f t="shared" ca="1" si="79"/>
        <v/>
      </c>
      <c r="AG403" s="17" t="str">
        <f t="shared" si="80"/>
        <v/>
      </c>
      <c r="AH403" s="17" t="str">
        <f t="shared" si="81"/>
        <v/>
      </c>
      <c r="AI403" s="17" t="str">
        <f t="shared" ca="1" si="82"/>
        <v/>
      </c>
      <c r="AJ403" s="17" t="str">
        <f t="shared" ca="1" si="69"/>
        <v/>
      </c>
      <c r="AK403" s="17" t="str">
        <f t="shared" si="70"/>
        <v/>
      </c>
      <c r="AL403" s="17" t="str">
        <f t="shared" si="71"/>
        <v/>
      </c>
      <c r="AM403" s="17" t="str">
        <f t="shared" si="72"/>
        <v/>
      </c>
      <c r="AN403" s="17">
        <f t="shared" si="73"/>
        <v>0</v>
      </c>
      <c r="AO403" s="17" t="str">
        <f t="shared" ca="1" si="74"/>
        <v/>
      </c>
      <c r="AP403" s="17" t="str">
        <f t="shared" ca="1" si="75"/>
        <v/>
      </c>
      <c r="AQ403" s="17" t="str">
        <f t="shared" si="76"/>
        <v/>
      </c>
      <c r="AR403" s="17" t="str">
        <f t="shared" ca="1" si="77"/>
        <v/>
      </c>
      <c r="AS403" s="18"/>
      <c r="AT403" s="24">
        <f t="shared" si="83"/>
        <v>0</v>
      </c>
      <c r="AU403" s="24">
        <f t="shared" si="84"/>
        <v>0</v>
      </c>
      <c r="AV403" s="24">
        <f t="shared" si="85"/>
        <v>0</v>
      </c>
      <c r="AW403" s="24">
        <f t="shared" si="86"/>
        <v>0</v>
      </c>
      <c r="AX403" s="24">
        <f t="shared" si="87"/>
        <v>0</v>
      </c>
      <c r="AY403" s="24">
        <f t="shared" si="88"/>
        <v>0</v>
      </c>
      <c r="AZ403" s="18"/>
    </row>
    <row r="404" spans="1:52" x14ac:dyDescent="0.25">
      <c r="A404" s="16"/>
      <c r="B404" s="16"/>
      <c r="C404" s="65"/>
      <c r="D404" s="15"/>
      <c r="E404" s="15"/>
      <c r="F404" s="15"/>
      <c r="G404" s="16"/>
      <c r="H404" s="16"/>
      <c r="I404" s="16"/>
      <c r="J404" s="16"/>
      <c r="K404" s="86"/>
      <c r="L404" s="16"/>
      <c r="M404" s="15"/>
      <c r="N404" s="15"/>
      <c r="O404" s="20"/>
      <c r="P404" s="15"/>
      <c r="Q404" s="20"/>
      <c r="R404" s="15"/>
      <c r="S404" s="15"/>
      <c r="T404" s="15"/>
      <c r="U404" s="15"/>
      <c r="V404" s="17" t="str">
        <f>IF(U404="","",VLOOKUP(U404,References!C:D,2,0))</f>
        <v/>
      </c>
      <c r="W404" s="17" t="str">
        <f>IF(U404="","",VLOOKUP(U404,References!C:F,4,0))</f>
        <v/>
      </c>
      <c r="X404" s="16"/>
      <c r="Y404" s="20"/>
      <c r="Z404" s="15"/>
      <c r="AA404" s="22"/>
      <c r="AB404" s="90"/>
      <c r="AC404" s="22"/>
      <c r="AD404" s="25" t="str">
        <f t="shared" si="89"/>
        <v/>
      </c>
      <c r="AE404" s="25" t="str">
        <f t="shared" si="78"/>
        <v/>
      </c>
      <c r="AF404" s="17" t="str">
        <f t="shared" ca="1" si="79"/>
        <v/>
      </c>
      <c r="AG404" s="17" t="str">
        <f t="shared" si="80"/>
        <v/>
      </c>
      <c r="AH404" s="17" t="str">
        <f t="shared" si="81"/>
        <v/>
      </c>
      <c r="AI404" s="17" t="str">
        <f t="shared" ca="1" si="82"/>
        <v/>
      </c>
      <c r="AJ404" s="17" t="str">
        <f t="shared" ca="1" si="69"/>
        <v/>
      </c>
      <c r="AK404" s="17" t="str">
        <f t="shared" si="70"/>
        <v/>
      </c>
      <c r="AL404" s="17" t="str">
        <f t="shared" si="71"/>
        <v/>
      </c>
      <c r="AM404" s="17" t="str">
        <f t="shared" si="72"/>
        <v/>
      </c>
      <c r="AN404" s="17">
        <f t="shared" si="73"/>
        <v>0</v>
      </c>
      <c r="AO404" s="17" t="str">
        <f t="shared" ca="1" si="74"/>
        <v/>
      </c>
      <c r="AP404" s="17" t="str">
        <f t="shared" ca="1" si="75"/>
        <v/>
      </c>
      <c r="AQ404" s="17" t="str">
        <f t="shared" si="76"/>
        <v/>
      </c>
      <c r="AR404" s="17" t="str">
        <f t="shared" ca="1" si="77"/>
        <v/>
      </c>
      <c r="AS404" s="18"/>
      <c r="AT404" s="24">
        <f t="shared" si="83"/>
        <v>0</v>
      </c>
      <c r="AU404" s="24">
        <f t="shared" si="84"/>
        <v>0</v>
      </c>
      <c r="AV404" s="24">
        <f t="shared" si="85"/>
        <v>0</v>
      </c>
      <c r="AW404" s="24">
        <f t="shared" si="86"/>
        <v>0</v>
      </c>
      <c r="AX404" s="24">
        <f t="shared" si="87"/>
        <v>0</v>
      </c>
      <c r="AY404" s="24">
        <f t="shared" si="88"/>
        <v>0</v>
      </c>
      <c r="AZ404" s="18"/>
    </row>
    <row r="405" spans="1:52" x14ac:dyDescent="0.25">
      <c r="A405" s="16"/>
      <c r="B405" s="16"/>
      <c r="C405" s="65"/>
      <c r="D405" s="15"/>
      <c r="E405" s="15"/>
      <c r="F405" s="15"/>
      <c r="G405" s="16"/>
      <c r="H405" s="16"/>
      <c r="I405" s="16"/>
      <c r="J405" s="16"/>
      <c r="K405" s="86"/>
      <c r="L405" s="16"/>
      <c r="M405" s="15"/>
      <c r="N405" s="15"/>
      <c r="O405" s="20"/>
      <c r="P405" s="15"/>
      <c r="Q405" s="20"/>
      <c r="R405" s="15"/>
      <c r="S405" s="15"/>
      <c r="T405" s="15"/>
      <c r="U405" s="15"/>
      <c r="V405" s="17" t="str">
        <f>IF(U405="","",VLOOKUP(U405,References!C:D,2,0))</f>
        <v/>
      </c>
      <c r="W405" s="17" t="str">
        <f>IF(U405="","",VLOOKUP(U405,References!C:F,4,0))</f>
        <v/>
      </c>
      <c r="X405" s="16"/>
      <c r="Y405" s="20"/>
      <c r="Z405" s="15"/>
      <c r="AA405" s="22"/>
      <c r="AB405" s="90"/>
      <c r="AC405" s="22"/>
      <c r="AD405" s="25" t="str">
        <f t="shared" si="89"/>
        <v/>
      </c>
      <c r="AE405" s="25" t="str">
        <f t="shared" si="78"/>
        <v/>
      </c>
      <c r="AF405" s="17" t="str">
        <f t="shared" ca="1" si="79"/>
        <v/>
      </c>
      <c r="AG405" s="17" t="str">
        <f t="shared" si="80"/>
        <v/>
      </c>
      <c r="AH405" s="17" t="str">
        <f t="shared" si="81"/>
        <v/>
      </c>
      <c r="AI405" s="17" t="str">
        <f t="shared" ca="1" si="82"/>
        <v/>
      </c>
      <c r="AJ405" s="17" t="str">
        <f t="shared" ca="1" si="69"/>
        <v/>
      </c>
      <c r="AK405" s="17" t="str">
        <f t="shared" si="70"/>
        <v/>
      </c>
      <c r="AL405" s="17" t="str">
        <f t="shared" si="71"/>
        <v/>
      </c>
      <c r="AM405" s="17" t="str">
        <f t="shared" si="72"/>
        <v/>
      </c>
      <c r="AN405" s="17">
        <f t="shared" si="73"/>
        <v>0</v>
      </c>
      <c r="AO405" s="17" t="str">
        <f t="shared" ca="1" si="74"/>
        <v/>
      </c>
      <c r="AP405" s="17" t="str">
        <f t="shared" ca="1" si="75"/>
        <v/>
      </c>
      <c r="AQ405" s="17" t="str">
        <f t="shared" si="76"/>
        <v/>
      </c>
      <c r="AR405" s="17" t="str">
        <f t="shared" ca="1" si="77"/>
        <v/>
      </c>
      <c r="AS405" s="18"/>
      <c r="AT405" s="24">
        <f t="shared" si="83"/>
        <v>0</v>
      </c>
      <c r="AU405" s="24">
        <f t="shared" si="84"/>
        <v>0</v>
      </c>
      <c r="AV405" s="24">
        <f t="shared" si="85"/>
        <v>0</v>
      </c>
      <c r="AW405" s="24">
        <f t="shared" si="86"/>
        <v>0</v>
      </c>
      <c r="AX405" s="24">
        <f t="shared" si="87"/>
        <v>0</v>
      </c>
      <c r="AY405" s="24">
        <f t="shared" si="88"/>
        <v>0</v>
      </c>
      <c r="AZ405" s="18"/>
    </row>
    <row r="406" spans="1:52" x14ac:dyDescent="0.25">
      <c r="A406" s="16"/>
      <c r="B406" s="16"/>
      <c r="C406" s="65"/>
      <c r="D406" s="15"/>
      <c r="E406" s="15"/>
      <c r="F406" s="15"/>
      <c r="G406" s="16"/>
      <c r="H406" s="16"/>
      <c r="I406" s="16"/>
      <c r="J406" s="16"/>
      <c r="K406" s="86"/>
      <c r="L406" s="16"/>
      <c r="M406" s="15"/>
      <c r="N406" s="15"/>
      <c r="O406" s="20"/>
      <c r="P406" s="15"/>
      <c r="Q406" s="20"/>
      <c r="R406" s="15"/>
      <c r="S406" s="15"/>
      <c r="T406" s="15"/>
      <c r="U406" s="15"/>
      <c r="V406" s="17" t="str">
        <f>IF(U406="","",VLOOKUP(U406,References!C:D,2,0))</f>
        <v/>
      </c>
      <c r="W406" s="17" t="str">
        <f>IF(U406="","",VLOOKUP(U406,References!C:F,4,0))</f>
        <v/>
      </c>
      <c r="X406" s="16"/>
      <c r="Y406" s="20"/>
      <c r="Z406" s="15"/>
      <c r="AA406" s="22"/>
      <c r="AB406" s="90"/>
      <c r="AC406" s="22"/>
      <c r="AD406" s="25" t="str">
        <f t="shared" si="89"/>
        <v/>
      </c>
      <c r="AE406" s="25" t="str">
        <f t="shared" si="78"/>
        <v/>
      </c>
      <c r="AF406" s="17" t="str">
        <f t="shared" ca="1" si="79"/>
        <v/>
      </c>
      <c r="AG406" s="17" t="str">
        <f t="shared" si="80"/>
        <v/>
      </c>
      <c r="AH406" s="17" t="str">
        <f t="shared" si="81"/>
        <v/>
      </c>
      <c r="AI406" s="17" t="str">
        <f t="shared" ca="1" si="82"/>
        <v/>
      </c>
      <c r="AJ406" s="17" t="str">
        <f t="shared" ca="1" si="69"/>
        <v/>
      </c>
      <c r="AK406" s="17" t="str">
        <f t="shared" si="70"/>
        <v/>
      </c>
      <c r="AL406" s="17" t="str">
        <f t="shared" si="71"/>
        <v/>
      </c>
      <c r="AM406" s="17" t="str">
        <f t="shared" si="72"/>
        <v/>
      </c>
      <c r="AN406" s="17">
        <f t="shared" si="73"/>
        <v>0</v>
      </c>
      <c r="AO406" s="17" t="str">
        <f t="shared" ca="1" si="74"/>
        <v/>
      </c>
      <c r="AP406" s="17" t="str">
        <f t="shared" ca="1" si="75"/>
        <v/>
      </c>
      <c r="AQ406" s="17" t="str">
        <f t="shared" si="76"/>
        <v/>
      </c>
      <c r="AR406" s="17" t="str">
        <f t="shared" ca="1" si="77"/>
        <v/>
      </c>
      <c r="AS406" s="18"/>
      <c r="AT406" s="24">
        <f t="shared" si="83"/>
        <v>0</v>
      </c>
      <c r="AU406" s="24">
        <f t="shared" si="84"/>
        <v>0</v>
      </c>
      <c r="AV406" s="24">
        <f t="shared" si="85"/>
        <v>0</v>
      </c>
      <c r="AW406" s="24">
        <f t="shared" si="86"/>
        <v>0</v>
      </c>
      <c r="AX406" s="24">
        <f t="shared" si="87"/>
        <v>0</v>
      </c>
      <c r="AY406" s="24">
        <f t="shared" si="88"/>
        <v>0</v>
      </c>
      <c r="AZ406" s="18"/>
    </row>
    <row r="407" spans="1:52" x14ac:dyDescent="0.25">
      <c r="A407" s="16"/>
      <c r="B407" s="16"/>
      <c r="C407" s="65"/>
      <c r="D407" s="15"/>
      <c r="E407" s="15"/>
      <c r="F407" s="15"/>
      <c r="G407" s="16"/>
      <c r="H407" s="16"/>
      <c r="I407" s="16"/>
      <c r="J407" s="16"/>
      <c r="K407" s="86"/>
      <c r="L407" s="16"/>
      <c r="M407" s="15"/>
      <c r="N407" s="15"/>
      <c r="O407" s="20"/>
      <c r="P407" s="15"/>
      <c r="Q407" s="20"/>
      <c r="R407" s="15"/>
      <c r="S407" s="15"/>
      <c r="T407" s="15"/>
      <c r="U407" s="15"/>
      <c r="V407" s="17" t="str">
        <f>IF(U407="","",VLOOKUP(U407,References!C:D,2,0))</f>
        <v/>
      </c>
      <c r="W407" s="17" t="str">
        <f>IF(U407="","",VLOOKUP(U407,References!C:F,4,0))</f>
        <v/>
      </c>
      <c r="X407" s="16"/>
      <c r="Y407" s="20"/>
      <c r="Z407" s="15"/>
      <c r="AA407" s="22"/>
      <c r="AB407" s="90"/>
      <c r="AC407" s="22"/>
      <c r="AD407" s="25" t="str">
        <f t="shared" si="89"/>
        <v/>
      </c>
      <c r="AE407" s="25" t="str">
        <f t="shared" si="78"/>
        <v/>
      </c>
      <c r="AF407" s="17" t="str">
        <f t="shared" ca="1" si="79"/>
        <v/>
      </c>
      <c r="AG407" s="17" t="str">
        <f t="shared" si="80"/>
        <v/>
      </c>
      <c r="AH407" s="17" t="str">
        <f t="shared" si="81"/>
        <v/>
      </c>
      <c r="AI407" s="17" t="str">
        <f t="shared" ca="1" si="82"/>
        <v/>
      </c>
      <c r="AJ407" s="17" t="str">
        <f t="shared" ca="1" si="69"/>
        <v/>
      </c>
      <c r="AK407" s="17" t="str">
        <f t="shared" si="70"/>
        <v/>
      </c>
      <c r="AL407" s="17" t="str">
        <f t="shared" si="71"/>
        <v/>
      </c>
      <c r="AM407" s="17" t="str">
        <f t="shared" si="72"/>
        <v/>
      </c>
      <c r="AN407" s="17">
        <f t="shared" si="73"/>
        <v>0</v>
      </c>
      <c r="AO407" s="17" t="str">
        <f t="shared" ca="1" si="74"/>
        <v/>
      </c>
      <c r="AP407" s="17" t="str">
        <f t="shared" ca="1" si="75"/>
        <v/>
      </c>
      <c r="AQ407" s="17" t="str">
        <f t="shared" si="76"/>
        <v/>
      </c>
      <c r="AR407" s="17" t="str">
        <f t="shared" ca="1" si="77"/>
        <v/>
      </c>
      <c r="AS407" s="18"/>
      <c r="AT407" s="24">
        <f t="shared" si="83"/>
        <v>0</v>
      </c>
      <c r="AU407" s="24">
        <f t="shared" si="84"/>
        <v>0</v>
      </c>
      <c r="AV407" s="24">
        <f t="shared" si="85"/>
        <v>0</v>
      </c>
      <c r="AW407" s="24">
        <f t="shared" si="86"/>
        <v>0</v>
      </c>
      <c r="AX407" s="24">
        <f t="shared" si="87"/>
        <v>0</v>
      </c>
      <c r="AY407" s="24">
        <f t="shared" si="88"/>
        <v>0</v>
      </c>
      <c r="AZ407" s="18"/>
    </row>
    <row r="408" spans="1:52" x14ac:dyDescent="0.25">
      <c r="A408" s="16"/>
      <c r="B408" s="16"/>
      <c r="C408" s="65"/>
      <c r="D408" s="15"/>
      <c r="E408" s="15"/>
      <c r="F408" s="15"/>
      <c r="G408" s="16"/>
      <c r="H408" s="16"/>
      <c r="I408" s="16"/>
      <c r="J408" s="16"/>
      <c r="K408" s="86"/>
      <c r="L408" s="16"/>
      <c r="M408" s="15"/>
      <c r="N408" s="15"/>
      <c r="O408" s="20"/>
      <c r="P408" s="15"/>
      <c r="Q408" s="20"/>
      <c r="R408" s="15"/>
      <c r="S408" s="15"/>
      <c r="T408" s="15"/>
      <c r="U408" s="15"/>
      <c r="V408" s="17" t="str">
        <f>IF(U408="","",VLOOKUP(U408,References!C:D,2,0))</f>
        <v/>
      </c>
      <c r="W408" s="17" t="str">
        <f>IF(U408="","",VLOOKUP(U408,References!C:F,4,0))</f>
        <v/>
      </c>
      <c r="X408" s="16"/>
      <c r="Y408" s="20"/>
      <c r="Z408" s="15"/>
      <c r="AA408" s="22"/>
      <c r="AB408" s="90"/>
      <c r="AC408" s="22"/>
      <c r="AD408" s="25" t="str">
        <f t="shared" si="89"/>
        <v/>
      </c>
      <c r="AE408" s="25" t="str">
        <f t="shared" si="78"/>
        <v/>
      </c>
      <c r="AF408" s="17" t="str">
        <f t="shared" ca="1" si="79"/>
        <v/>
      </c>
      <c r="AG408" s="17" t="str">
        <f t="shared" si="80"/>
        <v/>
      </c>
      <c r="AH408" s="17" t="str">
        <f t="shared" si="81"/>
        <v/>
      </c>
      <c r="AI408" s="17" t="str">
        <f t="shared" ca="1" si="82"/>
        <v/>
      </c>
      <c r="AJ408" s="17" t="str">
        <f t="shared" ca="1" si="69"/>
        <v/>
      </c>
      <c r="AK408" s="17" t="str">
        <f t="shared" si="70"/>
        <v/>
      </c>
      <c r="AL408" s="17" t="str">
        <f t="shared" si="71"/>
        <v/>
      </c>
      <c r="AM408" s="17" t="str">
        <f t="shared" si="72"/>
        <v/>
      </c>
      <c r="AN408" s="17">
        <f t="shared" si="73"/>
        <v>0</v>
      </c>
      <c r="AO408" s="17" t="str">
        <f t="shared" ca="1" si="74"/>
        <v/>
      </c>
      <c r="AP408" s="17" t="str">
        <f t="shared" ca="1" si="75"/>
        <v/>
      </c>
      <c r="AQ408" s="17" t="str">
        <f t="shared" si="76"/>
        <v/>
      </c>
      <c r="AR408" s="17" t="str">
        <f t="shared" ca="1" si="77"/>
        <v/>
      </c>
      <c r="AS408" s="18"/>
      <c r="AT408" s="24">
        <f t="shared" si="83"/>
        <v>0</v>
      </c>
      <c r="AU408" s="24">
        <f t="shared" si="84"/>
        <v>0</v>
      </c>
      <c r="AV408" s="24">
        <f t="shared" si="85"/>
        <v>0</v>
      </c>
      <c r="AW408" s="24">
        <f t="shared" si="86"/>
        <v>0</v>
      </c>
      <c r="AX408" s="24">
        <f t="shared" si="87"/>
        <v>0</v>
      </c>
      <c r="AY408" s="24">
        <f t="shared" si="88"/>
        <v>0</v>
      </c>
      <c r="AZ408" s="18"/>
    </row>
    <row r="409" spans="1:52" x14ac:dyDescent="0.25">
      <c r="A409" s="16"/>
      <c r="B409" s="16"/>
      <c r="C409" s="65"/>
      <c r="D409" s="15"/>
      <c r="E409" s="15"/>
      <c r="F409" s="15"/>
      <c r="G409" s="16"/>
      <c r="H409" s="16"/>
      <c r="I409" s="16"/>
      <c r="J409" s="16"/>
      <c r="K409" s="86"/>
      <c r="L409" s="16"/>
      <c r="M409" s="15"/>
      <c r="N409" s="15"/>
      <c r="O409" s="20"/>
      <c r="P409" s="15"/>
      <c r="Q409" s="20"/>
      <c r="R409" s="15"/>
      <c r="S409" s="15"/>
      <c r="T409" s="15"/>
      <c r="U409" s="15"/>
      <c r="V409" s="17" t="str">
        <f>IF(U409="","",VLOOKUP(U409,References!C:D,2,0))</f>
        <v/>
      </c>
      <c r="W409" s="17" t="str">
        <f>IF(U409="","",VLOOKUP(U409,References!C:F,4,0))</f>
        <v/>
      </c>
      <c r="X409" s="16"/>
      <c r="Y409" s="20"/>
      <c r="Z409" s="15"/>
      <c r="AA409" s="22"/>
      <c r="AB409" s="90"/>
      <c r="AC409" s="22"/>
      <c r="AD409" s="25" t="str">
        <f t="shared" si="89"/>
        <v/>
      </c>
      <c r="AE409" s="25" t="str">
        <f t="shared" si="78"/>
        <v/>
      </c>
      <c r="AF409" s="17" t="str">
        <f t="shared" ca="1" si="79"/>
        <v/>
      </c>
      <c r="AG409" s="17" t="str">
        <f t="shared" si="80"/>
        <v/>
      </c>
      <c r="AH409" s="17" t="str">
        <f t="shared" si="81"/>
        <v/>
      </c>
      <c r="AI409" s="17" t="str">
        <f t="shared" ca="1" si="82"/>
        <v/>
      </c>
      <c r="AJ409" s="17" t="str">
        <f t="shared" ca="1" si="69"/>
        <v/>
      </c>
      <c r="AK409" s="17" t="str">
        <f t="shared" si="70"/>
        <v/>
      </c>
      <c r="AL409" s="17" t="str">
        <f t="shared" si="71"/>
        <v/>
      </c>
      <c r="AM409" s="17" t="str">
        <f t="shared" si="72"/>
        <v/>
      </c>
      <c r="AN409" s="17">
        <f t="shared" si="73"/>
        <v>0</v>
      </c>
      <c r="AO409" s="17" t="str">
        <f t="shared" ca="1" si="74"/>
        <v/>
      </c>
      <c r="AP409" s="17" t="str">
        <f t="shared" ca="1" si="75"/>
        <v/>
      </c>
      <c r="AQ409" s="17" t="str">
        <f t="shared" si="76"/>
        <v/>
      </c>
      <c r="AR409" s="17" t="str">
        <f t="shared" ca="1" si="77"/>
        <v/>
      </c>
      <c r="AS409" s="18"/>
      <c r="AT409" s="24">
        <f t="shared" si="83"/>
        <v>0</v>
      </c>
      <c r="AU409" s="24">
        <f t="shared" si="84"/>
        <v>0</v>
      </c>
      <c r="AV409" s="24">
        <f t="shared" si="85"/>
        <v>0</v>
      </c>
      <c r="AW409" s="24">
        <f t="shared" si="86"/>
        <v>0</v>
      </c>
      <c r="AX409" s="24">
        <f t="shared" si="87"/>
        <v>0</v>
      </c>
      <c r="AY409" s="24">
        <f t="shared" si="88"/>
        <v>0</v>
      </c>
      <c r="AZ409" s="18"/>
    </row>
    <row r="410" spans="1:52" x14ac:dyDescent="0.25">
      <c r="A410" s="16"/>
      <c r="B410" s="16"/>
      <c r="C410" s="65"/>
      <c r="D410" s="15"/>
      <c r="E410" s="15"/>
      <c r="F410" s="15"/>
      <c r="G410" s="16"/>
      <c r="H410" s="16"/>
      <c r="I410" s="16"/>
      <c r="J410" s="16"/>
      <c r="K410" s="86"/>
      <c r="L410" s="16"/>
      <c r="M410" s="15"/>
      <c r="N410" s="15"/>
      <c r="O410" s="20"/>
      <c r="P410" s="15"/>
      <c r="Q410" s="20"/>
      <c r="R410" s="15"/>
      <c r="S410" s="15"/>
      <c r="T410" s="15"/>
      <c r="U410" s="15"/>
      <c r="V410" s="17" t="str">
        <f>IF(U410="","",VLOOKUP(U410,References!C:D,2,0))</f>
        <v/>
      </c>
      <c r="W410" s="17" t="str">
        <f>IF(U410="","",VLOOKUP(U410,References!C:F,4,0))</f>
        <v/>
      </c>
      <c r="X410" s="16"/>
      <c r="Y410" s="20"/>
      <c r="Z410" s="15"/>
      <c r="AA410" s="22"/>
      <c r="AB410" s="90"/>
      <c r="AC410" s="22"/>
      <c r="AD410" s="25" t="str">
        <f t="shared" si="89"/>
        <v/>
      </c>
      <c r="AE410" s="25" t="str">
        <f t="shared" si="78"/>
        <v/>
      </c>
      <c r="AF410" s="17" t="str">
        <f t="shared" ca="1" si="79"/>
        <v/>
      </c>
      <c r="AG410" s="17" t="str">
        <f t="shared" si="80"/>
        <v/>
      </c>
      <c r="AH410" s="17" t="str">
        <f t="shared" si="81"/>
        <v/>
      </c>
      <c r="AI410" s="17" t="str">
        <f t="shared" ca="1" si="82"/>
        <v/>
      </c>
      <c r="AJ410" s="17" t="str">
        <f t="shared" ca="1" si="69"/>
        <v/>
      </c>
      <c r="AK410" s="17" t="str">
        <f t="shared" si="70"/>
        <v/>
      </c>
      <c r="AL410" s="17" t="str">
        <f t="shared" si="71"/>
        <v/>
      </c>
      <c r="AM410" s="17" t="str">
        <f t="shared" si="72"/>
        <v/>
      </c>
      <c r="AN410" s="17">
        <f t="shared" si="73"/>
        <v>0</v>
      </c>
      <c r="AO410" s="17" t="str">
        <f t="shared" ca="1" si="74"/>
        <v/>
      </c>
      <c r="AP410" s="17" t="str">
        <f t="shared" ca="1" si="75"/>
        <v/>
      </c>
      <c r="AQ410" s="17" t="str">
        <f t="shared" si="76"/>
        <v/>
      </c>
      <c r="AR410" s="17" t="str">
        <f t="shared" ca="1" si="77"/>
        <v/>
      </c>
      <c r="AS410" s="18"/>
      <c r="AT410" s="24">
        <f t="shared" si="83"/>
        <v>0</v>
      </c>
      <c r="AU410" s="24">
        <f t="shared" si="84"/>
        <v>0</v>
      </c>
      <c r="AV410" s="24">
        <f t="shared" si="85"/>
        <v>0</v>
      </c>
      <c r="AW410" s="24">
        <f t="shared" si="86"/>
        <v>0</v>
      </c>
      <c r="AX410" s="24">
        <f t="shared" si="87"/>
        <v>0</v>
      </c>
      <c r="AY410" s="24">
        <f t="shared" si="88"/>
        <v>0</v>
      </c>
      <c r="AZ410" s="18"/>
    </row>
    <row r="411" spans="1:52" x14ac:dyDescent="0.25">
      <c r="A411" s="16"/>
      <c r="B411" s="16"/>
      <c r="C411" s="65"/>
      <c r="D411" s="15"/>
      <c r="E411" s="15"/>
      <c r="F411" s="15"/>
      <c r="G411" s="16"/>
      <c r="H411" s="16"/>
      <c r="I411" s="16"/>
      <c r="J411" s="16"/>
      <c r="K411" s="86"/>
      <c r="L411" s="16"/>
      <c r="M411" s="15"/>
      <c r="N411" s="15"/>
      <c r="O411" s="20"/>
      <c r="P411" s="15"/>
      <c r="Q411" s="20"/>
      <c r="R411" s="15"/>
      <c r="S411" s="15"/>
      <c r="T411" s="15"/>
      <c r="U411" s="15"/>
      <c r="V411" s="17" t="str">
        <f>IF(U411="","",VLOOKUP(U411,References!C:D,2,0))</f>
        <v/>
      </c>
      <c r="W411" s="17" t="str">
        <f>IF(U411="","",VLOOKUP(U411,References!C:F,4,0))</f>
        <v/>
      </c>
      <c r="X411" s="16"/>
      <c r="Y411" s="20"/>
      <c r="Z411" s="15"/>
      <c r="AA411" s="22"/>
      <c r="AB411" s="90"/>
      <c r="AC411" s="22"/>
      <c r="AD411" s="25" t="str">
        <f t="shared" si="89"/>
        <v/>
      </c>
      <c r="AE411" s="25" t="str">
        <f t="shared" si="78"/>
        <v/>
      </c>
      <c r="AF411" s="17" t="str">
        <f t="shared" ca="1" si="79"/>
        <v/>
      </c>
      <c r="AG411" s="17" t="str">
        <f t="shared" si="80"/>
        <v/>
      </c>
      <c r="AH411" s="17" t="str">
        <f t="shared" si="81"/>
        <v/>
      </c>
      <c r="AI411" s="17" t="str">
        <f t="shared" ca="1" si="82"/>
        <v/>
      </c>
      <c r="AJ411" s="17" t="str">
        <f t="shared" ca="1" si="69"/>
        <v/>
      </c>
      <c r="AK411" s="17" t="str">
        <f t="shared" si="70"/>
        <v/>
      </c>
      <c r="AL411" s="17" t="str">
        <f t="shared" si="71"/>
        <v/>
      </c>
      <c r="AM411" s="17" t="str">
        <f t="shared" si="72"/>
        <v/>
      </c>
      <c r="AN411" s="17">
        <f t="shared" si="73"/>
        <v>0</v>
      </c>
      <c r="AO411" s="17" t="str">
        <f t="shared" ca="1" si="74"/>
        <v/>
      </c>
      <c r="AP411" s="17" t="str">
        <f t="shared" ca="1" si="75"/>
        <v/>
      </c>
      <c r="AQ411" s="17" t="str">
        <f t="shared" si="76"/>
        <v/>
      </c>
      <c r="AR411" s="17" t="str">
        <f t="shared" ca="1" si="77"/>
        <v/>
      </c>
      <c r="AS411" s="18"/>
      <c r="AT411" s="24">
        <f t="shared" si="83"/>
        <v>0</v>
      </c>
      <c r="AU411" s="24">
        <f t="shared" si="84"/>
        <v>0</v>
      </c>
      <c r="AV411" s="24">
        <f t="shared" si="85"/>
        <v>0</v>
      </c>
      <c r="AW411" s="24">
        <f t="shared" si="86"/>
        <v>0</v>
      </c>
      <c r="AX411" s="24">
        <f t="shared" si="87"/>
        <v>0</v>
      </c>
      <c r="AY411" s="24">
        <f t="shared" si="88"/>
        <v>0</v>
      </c>
      <c r="AZ411" s="18"/>
    </row>
    <row r="412" spans="1:52" x14ac:dyDescent="0.25">
      <c r="A412" s="16"/>
      <c r="B412" s="16"/>
      <c r="C412" s="65"/>
      <c r="D412" s="15"/>
      <c r="E412" s="15"/>
      <c r="F412" s="15"/>
      <c r="G412" s="16"/>
      <c r="H412" s="16"/>
      <c r="I412" s="16"/>
      <c r="J412" s="16"/>
      <c r="K412" s="86"/>
      <c r="L412" s="16"/>
      <c r="M412" s="15"/>
      <c r="N412" s="15"/>
      <c r="O412" s="20"/>
      <c r="P412" s="15"/>
      <c r="Q412" s="20"/>
      <c r="R412" s="15"/>
      <c r="S412" s="15"/>
      <c r="T412" s="15"/>
      <c r="U412" s="15"/>
      <c r="V412" s="17" t="str">
        <f>IF(U412="","",VLOOKUP(U412,References!C:D,2,0))</f>
        <v/>
      </c>
      <c r="W412" s="17" t="str">
        <f>IF(U412="","",VLOOKUP(U412,References!C:F,4,0))</f>
        <v/>
      </c>
      <c r="X412" s="16"/>
      <c r="Y412" s="20"/>
      <c r="Z412" s="15"/>
      <c r="AA412" s="22"/>
      <c r="AB412" s="90"/>
      <c r="AC412" s="22"/>
      <c r="AD412" s="25" t="str">
        <f t="shared" si="89"/>
        <v/>
      </c>
      <c r="AE412" s="25" t="str">
        <f t="shared" si="78"/>
        <v/>
      </c>
      <c r="AF412" s="17" t="str">
        <f t="shared" ca="1" si="79"/>
        <v/>
      </c>
      <c r="AG412" s="17" t="str">
        <f t="shared" si="80"/>
        <v/>
      </c>
      <c r="AH412" s="17" t="str">
        <f t="shared" si="81"/>
        <v/>
      </c>
      <c r="AI412" s="17" t="str">
        <f t="shared" ca="1" si="82"/>
        <v/>
      </c>
      <c r="AJ412" s="17" t="str">
        <f t="shared" ca="1" si="69"/>
        <v/>
      </c>
      <c r="AK412" s="17" t="str">
        <f t="shared" si="70"/>
        <v/>
      </c>
      <c r="AL412" s="17" t="str">
        <f t="shared" si="71"/>
        <v/>
      </c>
      <c r="AM412" s="17" t="str">
        <f t="shared" si="72"/>
        <v/>
      </c>
      <c r="AN412" s="17">
        <f t="shared" si="73"/>
        <v>0</v>
      </c>
      <c r="AO412" s="17" t="str">
        <f t="shared" ca="1" si="74"/>
        <v/>
      </c>
      <c r="AP412" s="17" t="str">
        <f t="shared" ca="1" si="75"/>
        <v/>
      </c>
      <c r="AQ412" s="17" t="str">
        <f t="shared" si="76"/>
        <v/>
      </c>
      <c r="AR412" s="17" t="str">
        <f t="shared" ca="1" si="77"/>
        <v/>
      </c>
      <c r="AS412" s="18"/>
      <c r="AT412" s="24">
        <f t="shared" si="83"/>
        <v>0</v>
      </c>
      <c r="AU412" s="24">
        <f t="shared" si="84"/>
        <v>0</v>
      </c>
      <c r="AV412" s="24">
        <f t="shared" si="85"/>
        <v>0</v>
      </c>
      <c r="AW412" s="24">
        <f t="shared" si="86"/>
        <v>0</v>
      </c>
      <c r="AX412" s="24">
        <f t="shared" si="87"/>
        <v>0</v>
      </c>
      <c r="AY412" s="24">
        <f t="shared" si="88"/>
        <v>0</v>
      </c>
      <c r="AZ412" s="18"/>
    </row>
    <row r="413" spans="1:52" x14ac:dyDescent="0.25">
      <c r="A413" s="16"/>
      <c r="B413" s="16"/>
      <c r="C413" s="65"/>
      <c r="D413" s="15"/>
      <c r="E413" s="15"/>
      <c r="F413" s="15"/>
      <c r="G413" s="16"/>
      <c r="H413" s="16"/>
      <c r="I413" s="16"/>
      <c r="J413" s="16"/>
      <c r="K413" s="86"/>
      <c r="L413" s="16"/>
      <c r="M413" s="15"/>
      <c r="N413" s="15"/>
      <c r="O413" s="20"/>
      <c r="P413" s="15"/>
      <c r="Q413" s="20"/>
      <c r="R413" s="15"/>
      <c r="S413" s="15"/>
      <c r="T413" s="15"/>
      <c r="U413" s="15"/>
      <c r="V413" s="17" t="str">
        <f>IF(U413="","",VLOOKUP(U413,References!C:D,2,0))</f>
        <v/>
      </c>
      <c r="W413" s="17" t="str">
        <f>IF(U413="","",VLOOKUP(U413,References!C:F,4,0))</f>
        <v/>
      </c>
      <c r="X413" s="16"/>
      <c r="Y413" s="20"/>
      <c r="Z413" s="15"/>
      <c r="AA413" s="22"/>
      <c r="AB413" s="90"/>
      <c r="AC413" s="22"/>
      <c r="AD413" s="25" t="str">
        <f t="shared" si="89"/>
        <v/>
      </c>
      <c r="AE413" s="25" t="str">
        <f t="shared" si="78"/>
        <v/>
      </c>
      <c r="AF413" s="17" t="str">
        <f t="shared" ca="1" si="79"/>
        <v/>
      </c>
      <c r="AG413" s="17" t="str">
        <f t="shared" si="80"/>
        <v/>
      </c>
      <c r="AH413" s="17" t="str">
        <f t="shared" si="81"/>
        <v/>
      </c>
      <c r="AI413" s="17" t="str">
        <f t="shared" ca="1" si="82"/>
        <v/>
      </c>
      <c r="AJ413" s="17" t="str">
        <f t="shared" ca="1" si="69"/>
        <v/>
      </c>
      <c r="AK413" s="17" t="str">
        <f t="shared" si="70"/>
        <v/>
      </c>
      <c r="AL413" s="17" t="str">
        <f t="shared" si="71"/>
        <v/>
      </c>
      <c r="AM413" s="17" t="str">
        <f t="shared" si="72"/>
        <v/>
      </c>
      <c r="AN413" s="17">
        <f t="shared" si="73"/>
        <v>0</v>
      </c>
      <c r="AO413" s="17" t="str">
        <f t="shared" ca="1" si="74"/>
        <v/>
      </c>
      <c r="AP413" s="17" t="str">
        <f t="shared" ca="1" si="75"/>
        <v/>
      </c>
      <c r="AQ413" s="17" t="str">
        <f t="shared" si="76"/>
        <v/>
      </c>
      <c r="AR413" s="17" t="str">
        <f t="shared" ca="1" si="77"/>
        <v/>
      </c>
      <c r="AS413" s="18"/>
      <c r="AT413" s="24">
        <f t="shared" si="83"/>
        <v>0</v>
      </c>
      <c r="AU413" s="24">
        <f t="shared" si="84"/>
        <v>0</v>
      </c>
      <c r="AV413" s="24">
        <f t="shared" si="85"/>
        <v>0</v>
      </c>
      <c r="AW413" s="24">
        <f t="shared" si="86"/>
        <v>0</v>
      </c>
      <c r="AX413" s="24">
        <f t="shared" si="87"/>
        <v>0</v>
      </c>
      <c r="AY413" s="24">
        <f t="shared" si="88"/>
        <v>0</v>
      </c>
      <c r="AZ413" s="18"/>
    </row>
    <row r="414" spans="1:52" x14ac:dyDescent="0.25">
      <c r="A414" s="16"/>
      <c r="B414" s="16"/>
      <c r="C414" s="65"/>
      <c r="D414" s="15"/>
      <c r="E414" s="15"/>
      <c r="F414" s="15"/>
      <c r="G414" s="16"/>
      <c r="H414" s="16"/>
      <c r="I414" s="16"/>
      <c r="J414" s="16"/>
      <c r="K414" s="86"/>
      <c r="L414" s="16"/>
      <c r="M414" s="15"/>
      <c r="N414" s="15"/>
      <c r="O414" s="20"/>
      <c r="P414" s="15"/>
      <c r="Q414" s="20"/>
      <c r="R414" s="15"/>
      <c r="S414" s="15"/>
      <c r="T414" s="15"/>
      <c r="U414" s="15"/>
      <c r="V414" s="17" t="str">
        <f>IF(U414="","",VLOOKUP(U414,References!C:D,2,0))</f>
        <v/>
      </c>
      <c r="W414" s="17" t="str">
        <f>IF(U414="","",VLOOKUP(U414,References!C:F,4,0))</f>
        <v/>
      </c>
      <c r="X414" s="16"/>
      <c r="Y414" s="20"/>
      <c r="Z414" s="15"/>
      <c r="AA414" s="22"/>
      <c r="AB414" s="90"/>
      <c r="AC414" s="22"/>
      <c r="AD414" s="25" t="str">
        <f t="shared" si="89"/>
        <v/>
      </c>
      <c r="AE414" s="25" t="str">
        <f t="shared" si="78"/>
        <v/>
      </c>
      <c r="AF414" s="17" t="str">
        <f t="shared" ca="1" si="79"/>
        <v/>
      </c>
      <c r="AG414" s="17" t="str">
        <f t="shared" si="80"/>
        <v/>
      </c>
      <c r="AH414" s="17" t="str">
        <f t="shared" si="81"/>
        <v/>
      </c>
      <c r="AI414" s="17" t="str">
        <f t="shared" ca="1" si="82"/>
        <v/>
      </c>
      <c r="AJ414" s="17" t="str">
        <f t="shared" ca="1" si="69"/>
        <v/>
      </c>
      <c r="AK414" s="17" t="str">
        <f t="shared" si="70"/>
        <v/>
      </c>
      <c r="AL414" s="17" t="str">
        <f t="shared" si="71"/>
        <v/>
      </c>
      <c r="AM414" s="17" t="str">
        <f t="shared" si="72"/>
        <v/>
      </c>
      <c r="AN414" s="17">
        <f t="shared" si="73"/>
        <v>0</v>
      </c>
      <c r="AO414" s="17" t="str">
        <f t="shared" ca="1" si="74"/>
        <v/>
      </c>
      <c r="AP414" s="17" t="str">
        <f t="shared" ca="1" si="75"/>
        <v/>
      </c>
      <c r="AQ414" s="17" t="str">
        <f t="shared" si="76"/>
        <v/>
      </c>
      <c r="AR414" s="17" t="str">
        <f t="shared" ca="1" si="77"/>
        <v/>
      </c>
      <c r="AS414" s="18"/>
      <c r="AT414" s="24">
        <f t="shared" si="83"/>
        <v>0</v>
      </c>
      <c r="AU414" s="24">
        <f t="shared" si="84"/>
        <v>0</v>
      </c>
      <c r="AV414" s="24">
        <f t="shared" si="85"/>
        <v>0</v>
      </c>
      <c r="AW414" s="24">
        <f t="shared" si="86"/>
        <v>0</v>
      </c>
      <c r="AX414" s="24">
        <f t="shared" si="87"/>
        <v>0</v>
      </c>
      <c r="AY414" s="24">
        <f t="shared" si="88"/>
        <v>0</v>
      </c>
      <c r="AZ414" s="18"/>
    </row>
    <row r="415" spans="1:52" x14ac:dyDescent="0.25">
      <c r="A415" s="16"/>
      <c r="B415" s="16"/>
      <c r="C415" s="65"/>
      <c r="D415" s="15"/>
      <c r="E415" s="15"/>
      <c r="F415" s="15"/>
      <c r="G415" s="16"/>
      <c r="H415" s="16"/>
      <c r="I415" s="16"/>
      <c r="J415" s="16"/>
      <c r="K415" s="86"/>
      <c r="L415" s="16"/>
      <c r="M415" s="15"/>
      <c r="N415" s="15"/>
      <c r="O415" s="20"/>
      <c r="P415" s="15"/>
      <c r="Q415" s="20"/>
      <c r="R415" s="15"/>
      <c r="S415" s="15"/>
      <c r="T415" s="15"/>
      <c r="U415" s="15"/>
      <c r="V415" s="17" t="str">
        <f>IF(U415="","",VLOOKUP(U415,References!C:D,2,0))</f>
        <v/>
      </c>
      <c r="W415" s="17" t="str">
        <f>IF(U415="","",VLOOKUP(U415,References!C:F,4,0))</f>
        <v/>
      </c>
      <c r="X415" s="16"/>
      <c r="Y415" s="20"/>
      <c r="Z415" s="15"/>
      <c r="AA415" s="22"/>
      <c r="AB415" s="90"/>
      <c r="AC415" s="22"/>
      <c r="AD415" s="25" t="str">
        <f t="shared" si="89"/>
        <v/>
      </c>
      <c r="AE415" s="25" t="str">
        <f t="shared" si="78"/>
        <v/>
      </c>
      <c r="AF415" s="17" t="str">
        <f t="shared" ca="1" si="79"/>
        <v/>
      </c>
      <c r="AG415" s="17" t="str">
        <f t="shared" si="80"/>
        <v/>
      </c>
      <c r="AH415" s="17" t="str">
        <f t="shared" si="81"/>
        <v/>
      </c>
      <c r="AI415" s="17" t="str">
        <f t="shared" ca="1" si="82"/>
        <v/>
      </c>
      <c r="AJ415" s="17" t="str">
        <f t="shared" ca="1" si="69"/>
        <v/>
      </c>
      <c r="AK415" s="17" t="str">
        <f t="shared" si="70"/>
        <v/>
      </c>
      <c r="AL415" s="17" t="str">
        <f t="shared" si="71"/>
        <v/>
      </c>
      <c r="AM415" s="17" t="str">
        <f t="shared" si="72"/>
        <v/>
      </c>
      <c r="AN415" s="17">
        <f t="shared" si="73"/>
        <v>0</v>
      </c>
      <c r="AO415" s="17" t="str">
        <f t="shared" ca="1" si="74"/>
        <v/>
      </c>
      <c r="AP415" s="17" t="str">
        <f t="shared" ca="1" si="75"/>
        <v/>
      </c>
      <c r="AQ415" s="17" t="str">
        <f t="shared" si="76"/>
        <v/>
      </c>
      <c r="AR415" s="17" t="str">
        <f t="shared" ca="1" si="77"/>
        <v/>
      </c>
      <c r="AS415" s="18"/>
      <c r="AT415" s="24">
        <f t="shared" si="83"/>
        <v>0</v>
      </c>
      <c r="AU415" s="24">
        <f t="shared" si="84"/>
        <v>0</v>
      </c>
      <c r="AV415" s="24">
        <f t="shared" si="85"/>
        <v>0</v>
      </c>
      <c r="AW415" s="24">
        <f t="shared" si="86"/>
        <v>0</v>
      </c>
      <c r="AX415" s="24">
        <f t="shared" si="87"/>
        <v>0</v>
      </c>
      <c r="AY415" s="24">
        <f t="shared" si="88"/>
        <v>0</v>
      </c>
      <c r="AZ415" s="18"/>
    </row>
    <row r="416" spans="1:52" x14ac:dyDescent="0.25">
      <c r="A416" s="16"/>
      <c r="B416" s="16"/>
      <c r="C416" s="65"/>
      <c r="D416" s="15"/>
      <c r="E416" s="15"/>
      <c r="F416" s="15"/>
      <c r="G416" s="16"/>
      <c r="H416" s="16"/>
      <c r="I416" s="16"/>
      <c r="J416" s="16"/>
      <c r="K416" s="86"/>
      <c r="L416" s="16"/>
      <c r="M416" s="15"/>
      <c r="N416" s="15"/>
      <c r="O416" s="20"/>
      <c r="P416" s="15"/>
      <c r="Q416" s="20"/>
      <c r="R416" s="15"/>
      <c r="S416" s="15"/>
      <c r="T416" s="15"/>
      <c r="U416" s="15"/>
      <c r="V416" s="17" t="str">
        <f>IF(U416="","",VLOOKUP(U416,References!C:D,2,0))</f>
        <v/>
      </c>
      <c r="W416" s="17" t="str">
        <f>IF(U416="","",VLOOKUP(U416,References!C:F,4,0))</f>
        <v/>
      </c>
      <c r="X416" s="16"/>
      <c r="Y416" s="20"/>
      <c r="Z416" s="15"/>
      <c r="AA416" s="22"/>
      <c r="AB416" s="90"/>
      <c r="AC416" s="22"/>
      <c r="AD416" s="25" t="str">
        <f t="shared" si="89"/>
        <v/>
      </c>
      <c r="AE416" s="25" t="str">
        <f t="shared" si="78"/>
        <v/>
      </c>
      <c r="AF416" s="17" t="str">
        <f t="shared" ca="1" si="79"/>
        <v/>
      </c>
      <c r="AG416" s="17" t="str">
        <f t="shared" si="80"/>
        <v/>
      </c>
      <c r="AH416" s="17" t="str">
        <f t="shared" si="81"/>
        <v/>
      </c>
      <c r="AI416" s="17" t="str">
        <f t="shared" ca="1" si="82"/>
        <v/>
      </c>
      <c r="AJ416" s="17" t="str">
        <f t="shared" ca="1" si="69"/>
        <v/>
      </c>
      <c r="AK416" s="17" t="str">
        <f t="shared" si="70"/>
        <v/>
      </c>
      <c r="AL416" s="17" t="str">
        <f t="shared" si="71"/>
        <v/>
      </c>
      <c r="AM416" s="17" t="str">
        <f t="shared" si="72"/>
        <v/>
      </c>
      <c r="AN416" s="17">
        <f t="shared" si="73"/>
        <v>0</v>
      </c>
      <c r="AO416" s="17" t="str">
        <f t="shared" ca="1" si="74"/>
        <v/>
      </c>
      <c r="AP416" s="17" t="str">
        <f t="shared" ca="1" si="75"/>
        <v/>
      </c>
      <c r="AQ416" s="17" t="str">
        <f t="shared" si="76"/>
        <v/>
      </c>
      <c r="AR416" s="17" t="str">
        <f t="shared" ca="1" si="77"/>
        <v/>
      </c>
      <c r="AS416" s="18"/>
      <c r="AT416" s="24">
        <f t="shared" si="83"/>
        <v>0</v>
      </c>
      <c r="AU416" s="24">
        <f t="shared" si="84"/>
        <v>0</v>
      </c>
      <c r="AV416" s="24">
        <f t="shared" si="85"/>
        <v>0</v>
      </c>
      <c r="AW416" s="24">
        <f t="shared" si="86"/>
        <v>0</v>
      </c>
      <c r="AX416" s="24">
        <f t="shared" si="87"/>
        <v>0</v>
      </c>
      <c r="AY416" s="24">
        <f t="shared" si="88"/>
        <v>0</v>
      </c>
      <c r="AZ416" s="18"/>
    </row>
    <row r="417" spans="1:52" x14ac:dyDescent="0.25">
      <c r="A417" s="16"/>
      <c r="B417" s="16"/>
      <c r="C417" s="65"/>
      <c r="D417" s="15"/>
      <c r="E417" s="15"/>
      <c r="F417" s="15"/>
      <c r="G417" s="16"/>
      <c r="H417" s="16"/>
      <c r="I417" s="16"/>
      <c r="J417" s="16"/>
      <c r="K417" s="86"/>
      <c r="L417" s="16"/>
      <c r="M417" s="15"/>
      <c r="N417" s="15"/>
      <c r="O417" s="20"/>
      <c r="P417" s="15"/>
      <c r="Q417" s="20"/>
      <c r="R417" s="15"/>
      <c r="S417" s="15"/>
      <c r="T417" s="15"/>
      <c r="U417" s="15"/>
      <c r="V417" s="17" t="str">
        <f>IF(U417="","",VLOOKUP(U417,References!C:D,2,0))</f>
        <v/>
      </c>
      <c r="W417" s="17" t="str">
        <f>IF(U417="","",VLOOKUP(U417,References!C:F,4,0))</f>
        <v/>
      </c>
      <c r="X417" s="16"/>
      <c r="Y417" s="20"/>
      <c r="Z417" s="15"/>
      <c r="AA417" s="22"/>
      <c r="AB417" s="90"/>
      <c r="AC417" s="22"/>
      <c r="AD417" s="25" t="str">
        <f t="shared" si="89"/>
        <v/>
      </c>
      <c r="AE417" s="25" t="str">
        <f t="shared" si="78"/>
        <v/>
      </c>
      <c r="AF417" s="17" t="str">
        <f t="shared" ca="1" si="79"/>
        <v/>
      </c>
      <c r="AG417" s="17" t="str">
        <f t="shared" si="80"/>
        <v/>
      </c>
      <c r="AH417" s="17" t="str">
        <f t="shared" si="81"/>
        <v/>
      </c>
      <c r="AI417" s="17" t="str">
        <f t="shared" ca="1" si="82"/>
        <v/>
      </c>
      <c r="AJ417" s="17" t="str">
        <f t="shared" ca="1" si="69"/>
        <v/>
      </c>
      <c r="AK417" s="17" t="str">
        <f t="shared" si="70"/>
        <v/>
      </c>
      <c r="AL417" s="17" t="str">
        <f t="shared" si="71"/>
        <v/>
      </c>
      <c r="AM417" s="17" t="str">
        <f t="shared" si="72"/>
        <v/>
      </c>
      <c r="AN417" s="17">
        <f t="shared" si="73"/>
        <v>0</v>
      </c>
      <c r="AO417" s="17" t="str">
        <f t="shared" ca="1" si="74"/>
        <v/>
      </c>
      <c r="AP417" s="17" t="str">
        <f t="shared" ca="1" si="75"/>
        <v/>
      </c>
      <c r="AQ417" s="17" t="str">
        <f t="shared" si="76"/>
        <v/>
      </c>
      <c r="AR417" s="17" t="str">
        <f t="shared" ca="1" si="77"/>
        <v/>
      </c>
      <c r="AS417" s="18"/>
      <c r="AT417" s="24">
        <f t="shared" si="83"/>
        <v>0</v>
      </c>
      <c r="AU417" s="24">
        <f t="shared" si="84"/>
        <v>0</v>
      </c>
      <c r="AV417" s="24">
        <f t="shared" si="85"/>
        <v>0</v>
      </c>
      <c r="AW417" s="24">
        <f t="shared" si="86"/>
        <v>0</v>
      </c>
      <c r="AX417" s="24">
        <f t="shared" si="87"/>
        <v>0</v>
      </c>
      <c r="AY417" s="24">
        <f t="shared" si="88"/>
        <v>0</v>
      </c>
      <c r="AZ417" s="18"/>
    </row>
    <row r="418" spans="1:52" x14ac:dyDescent="0.25">
      <c r="A418" s="16"/>
      <c r="B418" s="16"/>
      <c r="C418" s="65"/>
      <c r="D418" s="15"/>
      <c r="E418" s="15"/>
      <c r="F418" s="15"/>
      <c r="G418" s="16"/>
      <c r="H418" s="16"/>
      <c r="I418" s="16"/>
      <c r="J418" s="16"/>
      <c r="K418" s="86"/>
      <c r="L418" s="16"/>
      <c r="M418" s="15"/>
      <c r="N418" s="15"/>
      <c r="O418" s="20"/>
      <c r="P418" s="15"/>
      <c r="Q418" s="20"/>
      <c r="R418" s="15"/>
      <c r="S418" s="15"/>
      <c r="T418" s="15"/>
      <c r="U418" s="15"/>
      <c r="V418" s="17" t="str">
        <f>IF(U418="","",VLOOKUP(U418,References!C:D,2,0))</f>
        <v/>
      </c>
      <c r="W418" s="17" t="str">
        <f>IF(U418="","",VLOOKUP(U418,References!C:F,4,0))</f>
        <v/>
      </c>
      <c r="X418" s="16"/>
      <c r="Y418" s="20"/>
      <c r="Z418" s="15"/>
      <c r="AA418" s="22"/>
      <c r="AB418" s="90"/>
      <c r="AC418" s="22"/>
      <c r="AD418" s="25" t="str">
        <f t="shared" si="89"/>
        <v/>
      </c>
      <c r="AE418" s="25" t="str">
        <f t="shared" si="78"/>
        <v/>
      </c>
      <c r="AF418" s="17" t="str">
        <f t="shared" ca="1" si="79"/>
        <v/>
      </c>
      <c r="AG418" s="17" t="str">
        <f t="shared" si="80"/>
        <v/>
      </c>
      <c r="AH418" s="17" t="str">
        <f t="shared" si="81"/>
        <v/>
      </c>
      <c r="AI418" s="17" t="str">
        <f t="shared" ca="1" si="82"/>
        <v/>
      </c>
      <c r="AJ418" s="17" t="str">
        <f t="shared" ca="1" si="69"/>
        <v/>
      </c>
      <c r="AK418" s="17" t="str">
        <f t="shared" si="70"/>
        <v/>
      </c>
      <c r="AL418" s="17" t="str">
        <f t="shared" si="71"/>
        <v/>
      </c>
      <c r="AM418" s="17" t="str">
        <f t="shared" si="72"/>
        <v/>
      </c>
      <c r="AN418" s="17">
        <f t="shared" si="73"/>
        <v>0</v>
      </c>
      <c r="AO418" s="17" t="str">
        <f t="shared" ca="1" si="74"/>
        <v/>
      </c>
      <c r="AP418" s="17" t="str">
        <f t="shared" ca="1" si="75"/>
        <v/>
      </c>
      <c r="AQ418" s="17" t="str">
        <f t="shared" si="76"/>
        <v/>
      </c>
      <c r="AR418" s="17" t="str">
        <f t="shared" ca="1" si="77"/>
        <v/>
      </c>
      <c r="AS418" s="18"/>
      <c r="AT418" s="24">
        <f t="shared" si="83"/>
        <v>0</v>
      </c>
      <c r="AU418" s="24">
        <f t="shared" si="84"/>
        <v>0</v>
      </c>
      <c r="AV418" s="24">
        <f t="shared" si="85"/>
        <v>0</v>
      </c>
      <c r="AW418" s="24">
        <f t="shared" si="86"/>
        <v>0</v>
      </c>
      <c r="AX418" s="24">
        <f t="shared" si="87"/>
        <v>0</v>
      </c>
      <c r="AY418" s="24">
        <f t="shared" si="88"/>
        <v>0</v>
      </c>
      <c r="AZ418" s="18"/>
    </row>
    <row r="419" spans="1:52" x14ac:dyDescent="0.25">
      <c r="A419" s="16"/>
      <c r="B419" s="16"/>
      <c r="C419" s="65"/>
      <c r="D419" s="15"/>
      <c r="E419" s="15"/>
      <c r="F419" s="15"/>
      <c r="G419" s="16"/>
      <c r="H419" s="16"/>
      <c r="I419" s="16"/>
      <c r="J419" s="16"/>
      <c r="K419" s="86"/>
      <c r="L419" s="16"/>
      <c r="M419" s="15"/>
      <c r="N419" s="15"/>
      <c r="O419" s="20"/>
      <c r="P419" s="15"/>
      <c r="Q419" s="20"/>
      <c r="R419" s="15"/>
      <c r="S419" s="15"/>
      <c r="T419" s="15"/>
      <c r="U419" s="15"/>
      <c r="V419" s="17" t="str">
        <f>IF(U419="","",VLOOKUP(U419,References!C:D,2,0))</f>
        <v/>
      </c>
      <c r="W419" s="17" t="str">
        <f>IF(U419="","",VLOOKUP(U419,References!C:F,4,0))</f>
        <v/>
      </c>
      <c r="X419" s="16"/>
      <c r="Y419" s="20"/>
      <c r="Z419" s="15"/>
      <c r="AA419" s="22"/>
      <c r="AB419" s="90"/>
      <c r="AC419" s="22"/>
      <c r="AD419" s="25" t="str">
        <f t="shared" si="89"/>
        <v/>
      </c>
      <c r="AE419" s="25" t="str">
        <f t="shared" si="78"/>
        <v/>
      </c>
      <c r="AF419" s="17" t="str">
        <f t="shared" ca="1" si="79"/>
        <v/>
      </c>
      <c r="AG419" s="17" t="str">
        <f t="shared" si="80"/>
        <v/>
      </c>
      <c r="AH419" s="17" t="str">
        <f t="shared" si="81"/>
        <v/>
      </c>
      <c r="AI419" s="17" t="str">
        <f t="shared" ca="1" si="82"/>
        <v/>
      </c>
      <c r="AJ419" s="17" t="str">
        <f t="shared" ca="1" si="69"/>
        <v/>
      </c>
      <c r="AK419" s="17" t="str">
        <f t="shared" si="70"/>
        <v/>
      </c>
      <c r="AL419" s="17" t="str">
        <f t="shared" si="71"/>
        <v/>
      </c>
      <c r="AM419" s="17" t="str">
        <f t="shared" si="72"/>
        <v/>
      </c>
      <c r="AN419" s="17">
        <f t="shared" si="73"/>
        <v>0</v>
      </c>
      <c r="AO419" s="17" t="str">
        <f t="shared" ca="1" si="74"/>
        <v/>
      </c>
      <c r="AP419" s="17" t="str">
        <f t="shared" ca="1" si="75"/>
        <v/>
      </c>
      <c r="AQ419" s="17" t="str">
        <f t="shared" si="76"/>
        <v/>
      </c>
      <c r="AR419" s="17" t="str">
        <f t="shared" ca="1" si="77"/>
        <v/>
      </c>
      <c r="AS419" s="18"/>
      <c r="AT419" s="24">
        <f t="shared" si="83"/>
        <v>0</v>
      </c>
      <c r="AU419" s="24">
        <f t="shared" si="84"/>
        <v>0</v>
      </c>
      <c r="AV419" s="24">
        <f t="shared" si="85"/>
        <v>0</v>
      </c>
      <c r="AW419" s="24">
        <f t="shared" si="86"/>
        <v>0</v>
      </c>
      <c r="AX419" s="24">
        <f t="shared" si="87"/>
        <v>0</v>
      </c>
      <c r="AY419" s="24">
        <f t="shared" si="88"/>
        <v>0</v>
      </c>
      <c r="AZ419" s="18"/>
    </row>
    <row r="420" spans="1:52" x14ac:dyDescent="0.25">
      <c r="A420" s="16"/>
      <c r="B420" s="16"/>
      <c r="C420" s="65"/>
      <c r="D420" s="15"/>
      <c r="E420" s="15"/>
      <c r="F420" s="15"/>
      <c r="G420" s="16"/>
      <c r="H420" s="16"/>
      <c r="I420" s="16"/>
      <c r="J420" s="16"/>
      <c r="K420" s="86"/>
      <c r="L420" s="16"/>
      <c r="M420" s="15"/>
      <c r="N420" s="15"/>
      <c r="O420" s="20"/>
      <c r="P420" s="15"/>
      <c r="Q420" s="20"/>
      <c r="R420" s="15"/>
      <c r="S420" s="15"/>
      <c r="T420" s="15"/>
      <c r="U420" s="15"/>
      <c r="V420" s="17" t="str">
        <f>IF(U420="","",VLOOKUP(U420,References!C:D,2,0))</f>
        <v/>
      </c>
      <c r="W420" s="17" t="str">
        <f>IF(U420="","",VLOOKUP(U420,References!C:F,4,0))</f>
        <v/>
      </c>
      <c r="X420" s="16"/>
      <c r="Y420" s="20"/>
      <c r="Z420" s="15"/>
      <c r="AA420" s="22"/>
      <c r="AB420" s="90"/>
      <c r="AC420" s="22"/>
      <c r="AD420" s="25" t="str">
        <f t="shared" si="89"/>
        <v/>
      </c>
      <c r="AE420" s="25" t="str">
        <f t="shared" si="78"/>
        <v/>
      </c>
      <c r="AF420" s="17" t="str">
        <f t="shared" ca="1" si="79"/>
        <v/>
      </c>
      <c r="AG420" s="17" t="str">
        <f t="shared" si="80"/>
        <v/>
      </c>
      <c r="AH420" s="17" t="str">
        <f t="shared" si="81"/>
        <v/>
      </c>
      <c r="AI420" s="17" t="str">
        <f t="shared" ca="1" si="82"/>
        <v/>
      </c>
      <c r="AJ420" s="17" t="str">
        <f t="shared" ca="1" si="69"/>
        <v/>
      </c>
      <c r="AK420" s="17" t="str">
        <f t="shared" si="70"/>
        <v/>
      </c>
      <c r="AL420" s="17" t="str">
        <f t="shared" si="71"/>
        <v/>
      </c>
      <c r="AM420" s="17" t="str">
        <f t="shared" si="72"/>
        <v/>
      </c>
      <c r="AN420" s="17">
        <f t="shared" si="73"/>
        <v>0</v>
      </c>
      <c r="AO420" s="17" t="str">
        <f t="shared" ca="1" si="74"/>
        <v/>
      </c>
      <c r="AP420" s="17" t="str">
        <f t="shared" ca="1" si="75"/>
        <v/>
      </c>
      <c r="AQ420" s="17" t="str">
        <f t="shared" si="76"/>
        <v/>
      </c>
      <c r="AR420" s="17" t="str">
        <f t="shared" ca="1" si="77"/>
        <v/>
      </c>
      <c r="AS420" s="18"/>
      <c r="AT420" s="24">
        <f t="shared" si="83"/>
        <v>0</v>
      </c>
      <c r="AU420" s="24">
        <f t="shared" si="84"/>
        <v>0</v>
      </c>
      <c r="AV420" s="24">
        <f t="shared" si="85"/>
        <v>0</v>
      </c>
      <c r="AW420" s="24">
        <f t="shared" si="86"/>
        <v>0</v>
      </c>
      <c r="AX420" s="24">
        <f t="shared" si="87"/>
        <v>0</v>
      </c>
      <c r="AY420" s="24">
        <f t="shared" si="88"/>
        <v>0</v>
      </c>
      <c r="AZ420" s="18"/>
    </row>
    <row r="421" spans="1:52" x14ac:dyDescent="0.25">
      <c r="A421" s="16"/>
      <c r="B421" s="16"/>
      <c r="C421" s="65"/>
      <c r="D421" s="15"/>
      <c r="E421" s="15"/>
      <c r="F421" s="15"/>
      <c r="G421" s="16"/>
      <c r="H421" s="16"/>
      <c r="I421" s="16"/>
      <c r="J421" s="16"/>
      <c r="K421" s="86"/>
      <c r="L421" s="16"/>
      <c r="M421" s="15"/>
      <c r="N421" s="15"/>
      <c r="O421" s="20"/>
      <c r="P421" s="15"/>
      <c r="Q421" s="20"/>
      <c r="R421" s="15"/>
      <c r="S421" s="15"/>
      <c r="T421" s="15"/>
      <c r="U421" s="15"/>
      <c r="V421" s="17" t="str">
        <f>IF(U421="","",VLOOKUP(U421,References!C:D,2,0))</f>
        <v/>
      </c>
      <c r="W421" s="17" t="str">
        <f>IF(U421="","",VLOOKUP(U421,References!C:F,4,0))</f>
        <v/>
      </c>
      <c r="X421" s="16"/>
      <c r="Y421" s="20"/>
      <c r="Z421" s="15"/>
      <c r="AA421" s="22"/>
      <c r="AB421" s="90"/>
      <c r="AC421" s="22"/>
      <c r="AD421" s="25" t="str">
        <f t="shared" si="89"/>
        <v/>
      </c>
      <c r="AE421" s="25" t="str">
        <f t="shared" si="78"/>
        <v/>
      </c>
      <c r="AF421" s="17" t="str">
        <f t="shared" ca="1" si="79"/>
        <v/>
      </c>
      <c r="AG421" s="17" t="str">
        <f t="shared" si="80"/>
        <v/>
      </c>
      <c r="AH421" s="17" t="str">
        <f t="shared" si="81"/>
        <v/>
      </c>
      <c r="AI421" s="17" t="str">
        <f t="shared" ca="1" si="82"/>
        <v/>
      </c>
      <c r="AJ421" s="17" t="str">
        <f t="shared" ca="1" si="69"/>
        <v/>
      </c>
      <c r="AK421" s="17" t="str">
        <f t="shared" si="70"/>
        <v/>
      </c>
      <c r="AL421" s="17" t="str">
        <f t="shared" si="71"/>
        <v/>
      </c>
      <c r="AM421" s="17" t="str">
        <f t="shared" si="72"/>
        <v/>
      </c>
      <c r="AN421" s="17">
        <f t="shared" si="73"/>
        <v>0</v>
      </c>
      <c r="AO421" s="17" t="str">
        <f t="shared" ca="1" si="74"/>
        <v/>
      </c>
      <c r="AP421" s="17" t="str">
        <f t="shared" ca="1" si="75"/>
        <v/>
      </c>
      <c r="AQ421" s="17" t="str">
        <f t="shared" si="76"/>
        <v/>
      </c>
      <c r="AR421" s="17" t="str">
        <f t="shared" ca="1" si="77"/>
        <v/>
      </c>
      <c r="AS421" s="18"/>
      <c r="AT421" s="24">
        <f t="shared" si="83"/>
        <v>0</v>
      </c>
      <c r="AU421" s="24">
        <f t="shared" si="84"/>
        <v>0</v>
      </c>
      <c r="AV421" s="24">
        <f t="shared" si="85"/>
        <v>0</v>
      </c>
      <c r="AW421" s="24">
        <f t="shared" si="86"/>
        <v>0</v>
      </c>
      <c r="AX421" s="24">
        <f t="shared" si="87"/>
        <v>0</v>
      </c>
      <c r="AY421" s="24">
        <f t="shared" si="88"/>
        <v>0</v>
      </c>
      <c r="AZ421" s="18"/>
    </row>
    <row r="422" spans="1:52" x14ac:dyDescent="0.25">
      <c r="A422" s="16"/>
      <c r="B422" s="16"/>
      <c r="C422" s="65"/>
      <c r="D422" s="15"/>
      <c r="E422" s="15"/>
      <c r="F422" s="15"/>
      <c r="G422" s="16"/>
      <c r="H422" s="16"/>
      <c r="I422" s="16"/>
      <c r="J422" s="16"/>
      <c r="K422" s="86"/>
      <c r="L422" s="16"/>
      <c r="M422" s="15"/>
      <c r="N422" s="15"/>
      <c r="O422" s="20"/>
      <c r="P422" s="15"/>
      <c r="Q422" s="20"/>
      <c r="R422" s="15"/>
      <c r="S422" s="15"/>
      <c r="T422" s="15"/>
      <c r="U422" s="15"/>
      <c r="V422" s="17" t="str">
        <f>IF(U422="","",VLOOKUP(U422,References!C:D,2,0))</f>
        <v/>
      </c>
      <c r="W422" s="17" t="str">
        <f>IF(U422="","",VLOOKUP(U422,References!C:F,4,0))</f>
        <v/>
      </c>
      <c r="X422" s="16"/>
      <c r="Y422" s="20"/>
      <c r="Z422" s="15"/>
      <c r="AA422" s="22"/>
      <c r="AB422" s="90"/>
      <c r="AC422" s="22"/>
      <c r="AD422" s="25" t="str">
        <f t="shared" si="89"/>
        <v/>
      </c>
      <c r="AE422" s="25" t="str">
        <f t="shared" si="78"/>
        <v/>
      </c>
      <c r="AF422" s="17" t="str">
        <f t="shared" ca="1" si="79"/>
        <v/>
      </c>
      <c r="AG422" s="17" t="str">
        <f t="shared" si="80"/>
        <v/>
      </c>
      <c r="AH422" s="17" t="str">
        <f t="shared" si="81"/>
        <v/>
      </c>
      <c r="AI422" s="17" t="str">
        <f t="shared" ca="1" si="82"/>
        <v/>
      </c>
      <c r="AJ422" s="17" t="str">
        <f t="shared" ca="1" si="69"/>
        <v/>
      </c>
      <c r="AK422" s="17" t="str">
        <f t="shared" si="70"/>
        <v/>
      </c>
      <c r="AL422" s="17" t="str">
        <f t="shared" si="71"/>
        <v/>
      </c>
      <c r="AM422" s="17" t="str">
        <f t="shared" si="72"/>
        <v/>
      </c>
      <c r="AN422" s="17">
        <f t="shared" si="73"/>
        <v>0</v>
      </c>
      <c r="AO422" s="17" t="str">
        <f t="shared" ca="1" si="74"/>
        <v/>
      </c>
      <c r="AP422" s="17" t="str">
        <f t="shared" ca="1" si="75"/>
        <v/>
      </c>
      <c r="AQ422" s="17" t="str">
        <f t="shared" si="76"/>
        <v/>
      </c>
      <c r="AR422" s="17" t="str">
        <f t="shared" ca="1" si="77"/>
        <v/>
      </c>
      <c r="AS422" s="18"/>
      <c r="AT422" s="24">
        <f t="shared" si="83"/>
        <v>0</v>
      </c>
      <c r="AU422" s="24">
        <f t="shared" si="84"/>
        <v>0</v>
      </c>
      <c r="AV422" s="24">
        <f t="shared" si="85"/>
        <v>0</v>
      </c>
      <c r="AW422" s="24">
        <f t="shared" si="86"/>
        <v>0</v>
      </c>
      <c r="AX422" s="24">
        <f t="shared" si="87"/>
        <v>0</v>
      </c>
      <c r="AY422" s="24">
        <f t="shared" si="88"/>
        <v>0</v>
      </c>
      <c r="AZ422" s="18"/>
    </row>
    <row r="423" spans="1:52" x14ac:dyDescent="0.25">
      <c r="A423" s="16"/>
      <c r="B423" s="16"/>
      <c r="C423" s="65"/>
      <c r="D423" s="15"/>
      <c r="E423" s="15"/>
      <c r="F423" s="15"/>
      <c r="G423" s="16"/>
      <c r="H423" s="16"/>
      <c r="I423" s="16"/>
      <c r="J423" s="16"/>
      <c r="K423" s="86"/>
      <c r="L423" s="16"/>
      <c r="M423" s="15"/>
      <c r="N423" s="15"/>
      <c r="O423" s="20"/>
      <c r="P423" s="15"/>
      <c r="Q423" s="20"/>
      <c r="R423" s="15"/>
      <c r="S423" s="15"/>
      <c r="T423" s="15"/>
      <c r="U423" s="15"/>
      <c r="V423" s="17" t="str">
        <f>IF(U423="","",VLOOKUP(U423,References!C:D,2,0))</f>
        <v/>
      </c>
      <c r="W423" s="17" t="str">
        <f>IF(U423="","",VLOOKUP(U423,References!C:F,4,0))</f>
        <v/>
      </c>
      <c r="X423" s="16"/>
      <c r="Y423" s="20"/>
      <c r="Z423" s="15"/>
      <c r="AA423" s="22"/>
      <c r="AB423" s="90"/>
      <c r="AC423" s="22"/>
      <c r="AD423" s="25" t="str">
        <f t="shared" si="89"/>
        <v/>
      </c>
      <c r="AE423" s="25" t="str">
        <f t="shared" si="78"/>
        <v/>
      </c>
      <c r="AF423" s="17" t="str">
        <f t="shared" ca="1" si="79"/>
        <v/>
      </c>
      <c r="AG423" s="17" t="str">
        <f t="shared" si="80"/>
        <v/>
      </c>
      <c r="AH423" s="17" t="str">
        <f t="shared" si="81"/>
        <v/>
      </c>
      <c r="AI423" s="17" t="str">
        <f t="shared" ca="1" si="82"/>
        <v/>
      </c>
      <c r="AJ423" s="17" t="str">
        <f t="shared" ca="1" si="69"/>
        <v/>
      </c>
      <c r="AK423" s="17" t="str">
        <f t="shared" si="70"/>
        <v/>
      </c>
      <c r="AL423" s="17" t="str">
        <f t="shared" si="71"/>
        <v/>
      </c>
      <c r="AM423" s="17" t="str">
        <f t="shared" si="72"/>
        <v/>
      </c>
      <c r="AN423" s="17">
        <f t="shared" si="73"/>
        <v>0</v>
      </c>
      <c r="AO423" s="17" t="str">
        <f t="shared" ca="1" si="74"/>
        <v/>
      </c>
      <c r="AP423" s="17" t="str">
        <f t="shared" ca="1" si="75"/>
        <v/>
      </c>
      <c r="AQ423" s="17" t="str">
        <f t="shared" si="76"/>
        <v/>
      </c>
      <c r="AR423" s="17" t="str">
        <f t="shared" ca="1" si="77"/>
        <v/>
      </c>
      <c r="AS423" s="18"/>
      <c r="AT423" s="24">
        <f t="shared" si="83"/>
        <v>0</v>
      </c>
      <c r="AU423" s="24">
        <f t="shared" si="84"/>
        <v>0</v>
      </c>
      <c r="AV423" s="24">
        <f t="shared" si="85"/>
        <v>0</v>
      </c>
      <c r="AW423" s="24">
        <f t="shared" si="86"/>
        <v>0</v>
      </c>
      <c r="AX423" s="24">
        <f t="shared" si="87"/>
        <v>0</v>
      </c>
      <c r="AY423" s="24">
        <f t="shared" si="88"/>
        <v>0</v>
      </c>
      <c r="AZ423" s="18"/>
    </row>
    <row r="424" spans="1:52" x14ac:dyDescent="0.25">
      <c r="A424" s="16"/>
      <c r="B424" s="16"/>
      <c r="C424" s="65"/>
      <c r="D424" s="15"/>
      <c r="E424" s="15"/>
      <c r="F424" s="15"/>
      <c r="G424" s="16"/>
      <c r="H424" s="16"/>
      <c r="I424" s="16"/>
      <c r="J424" s="16"/>
      <c r="K424" s="86"/>
      <c r="L424" s="16"/>
      <c r="M424" s="15"/>
      <c r="N424" s="15"/>
      <c r="O424" s="20"/>
      <c r="P424" s="15"/>
      <c r="Q424" s="20"/>
      <c r="R424" s="15"/>
      <c r="S424" s="15"/>
      <c r="T424" s="15"/>
      <c r="U424" s="15"/>
      <c r="V424" s="17" t="str">
        <f>IF(U424="","",VLOOKUP(U424,References!C:D,2,0))</f>
        <v/>
      </c>
      <c r="W424" s="17" t="str">
        <f>IF(U424="","",VLOOKUP(U424,References!C:F,4,0))</f>
        <v/>
      </c>
      <c r="X424" s="16"/>
      <c r="Y424" s="20"/>
      <c r="Z424" s="15"/>
      <c r="AA424" s="22"/>
      <c r="AB424" s="90"/>
      <c r="AC424" s="22"/>
      <c r="AD424" s="25" t="str">
        <f t="shared" si="89"/>
        <v/>
      </c>
      <c r="AE424" s="25" t="str">
        <f t="shared" si="78"/>
        <v/>
      </c>
      <c r="AF424" s="17" t="str">
        <f t="shared" ca="1" si="79"/>
        <v/>
      </c>
      <c r="AG424" s="17" t="str">
        <f t="shared" si="80"/>
        <v/>
      </c>
      <c r="AH424" s="17" t="str">
        <f t="shared" si="81"/>
        <v/>
      </c>
      <c r="AI424" s="17" t="str">
        <f t="shared" ca="1" si="82"/>
        <v/>
      </c>
      <c r="AJ424" s="17" t="str">
        <f t="shared" ca="1" si="69"/>
        <v/>
      </c>
      <c r="AK424" s="17" t="str">
        <f t="shared" si="70"/>
        <v/>
      </c>
      <c r="AL424" s="17" t="str">
        <f t="shared" si="71"/>
        <v/>
      </c>
      <c r="AM424" s="17" t="str">
        <f t="shared" si="72"/>
        <v/>
      </c>
      <c r="AN424" s="17">
        <f t="shared" si="73"/>
        <v>0</v>
      </c>
      <c r="AO424" s="17" t="str">
        <f t="shared" ca="1" si="74"/>
        <v/>
      </c>
      <c r="AP424" s="17" t="str">
        <f t="shared" ca="1" si="75"/>
        <v/>
      </c>
      <c r="AQ424" s="17" t="str">
        <f t="shared" si="76"/>
        <v/>
      </c>
      <c r="AR424" s="17" t="str">
        <f t="shared" ca="1" si="77"/>
        <v/>
      </c>
      <c r="AS424" s="18"/>
      <c r="AT424" s="24">
        <f t="shared" si="83"/>
        <v>0</v>
      </c>
      <c r="AU424" s="24">
        <f t="shared" si="84"/>
        <v>0</v>
      </c>
      <c r="AV424" s="24">
        <f t="shared" si="85"/>
        <v>0</v>
      </c>
      <c r="AW424" s="24">
        <f t="shared" si="86"/>
        <v>0</v>
      </c>
      <c r="AX424" s="24">
        <f t="shared" si="87"/>
        <v>0</v>
      </c>
      <c r="AY424" s="24">
        <f t="shared" si="88"/>
        <v>0</v>
      </c>
      <c r="AZ424" s="18"/>
    </row>
    <row r="425" spans="1:52" x14ac:dyDescent="0.25">
      <c r="A425" s="16"/>
      <c r="B425" s="16"/>
      <c r="C425" s="65"/>
      <c r="D425" s="15"/>
      <c r="E425" s="15"/>
      <c r="F425" s="15"/>
      <c r="G425" s="16"/>
      <c r="H425" s="16"/>
      <c r="I425" s="16"/>
      <c r="J425" s="16"/>
      <c r="K425" s="86"/>
      <c r="L425" s="16"/>
      <c r="M425" s="15"/>
      <c r="N425" s="15"/>
      <c r="O425" s="20"/>
      <c r="P425" s="15"/>
      <c r="Q425" s="20"/>
      <c r="R425" s="15"/>
      <c r="S425" s="15"/>
      <c r="T425" s="15"/>
      <c r="U425" s="15"/>
      <c r="V425" s="17" t="str">
        <f>IF(U425="","",VLOOKUP(U425,References!C:D,2,0))</f>
        <v/>
      </c>
      <c r="W425" s="17" t="str">
        <f>IF(U425="","",VLOOKUP(U425,References!C:F,4,0))</f>
        <v/>
      </c>
      <c r="X425" s="16"/>
      <c r="Y425" s="20"/>
      <c r="Z425" s="15"/>
      <c r="AA425" s="22"/>
      <c r="AB425" s="90"/>
      <c r="AC425" s="22"/>
      <c r="AD425" s="25" t="str">
        <f t="shared" si="89"/>
        <v/>
      </c>
      <c r="AE425" s="25" t="str">
        <f t="shared" si="78"/>
        <v/>
      </c>
      <c r="AF425" s="17" t="str">
        <f t="shared" ca="1" si="79"/>
        <v/>
      </c>
      <c r="AG425" s="17" t="str">
        <f t="shared" si="80"/>
        <v/>
      </c>
      <c r="AH425" s="17" t="str">
        <f t="shared" si="81"/>
        <v/>
      </c>
      <c r="AI425" s="17" t="str">
        <f t="shared" ca="1" si="82"/>
        <v/>
      </c>
      <c r="AJ425" s="17" t="str">
        <f t="shared" ca="1" si="69"/>
        <v/>
      </c>
      <c r="AK425" s="17" t="str">
        <f t="shared" si="70"/>
        <v/>
      </c>
      <c r="AL425" s="17" t="str">
        <f t="shared" si="71"/>
        <v/>
      </c>
      <c r="AM425" s="17" t="str">
        <f t="shared" si="72"/>
        <v/>
      </c>
      <c r="AN425" s="17">
        <f t="shared" si="73"/>
        <v>0</v>
      </c>
      <c r="AO425" s="17" t="str">
        <f t="shared" ca="1" si="74"/>
        <v/>
      </c>
      <c r="AP425" s="17" t="str">
        <f t="shared" ca="1" si="75"/>
        <v/>
      </c>
      <c r="AQ425" s="17" t="str">
        <f t="shared" si="76"/>
        <v/>
      </c>
      <c r="AR425" s="17" t="str">
        <f t="shared" ca="1" si="77"/>
        <v/>
      </c>
      <c r="AS425" s="18"/>
      <c r="AT425" s="24">
        <f t="shared" si="83"/>
        <v>0</v>
      </c>
      <c r="AU425" s="24">
        <f t="shared" si="84"/>
        <v>0</v>
      </c>
      <c r="AV425" s="24">
        <f t="shared" si="85"/>
        <v>0</v>
      </c>
      <c r="AW425" s="24">
        <f t="shared" si="86"/>
        <v>0</v>
      </c>
      <c r="AX425" s="24">
        <f t="shared" si="87"/>
        <v>0</v>
      </c>
      <c r="AY425" s="24">
        <f t="shared" si="88"/>
        <v>0</v>
      </c>
      <c r="AZ425" s="18"/>
    </row>
    <row r="426" spans="1:52" x14ac:dyDescent="0.25">
      <c r="A426" s="16"/>
      <c r="B426" s="16"/>
      <c r="C426" s="65"/>
      <c r="D426" s="15"/>
      <c r="E426" s="15"/>
      <c r="F426" s="15"/>
      <c r="G426" s="16"/>
      <c r="H426" s="16"/>
      <c r="I426" s="16"/>
      <c r="J426" s="16"/>
      <c r="K426" s="86"/>
      <c r="L426" s="16"/>
      <c r="M426" s="15"/>
      <c r="N426" s="15"/>
      <c r="O426" s="20"/>
      <c r="P426" s="15"/>
      <c r="Q426" s="20"/>
      <c r="R426" s="15"/>
      <c r="S426" s="15"/>
      <c r="T426" s="15"/>
      <c r="U426" s="15"/>
      <c r="V426" s="17" t="str">
        <f>IF(U426="","",VLOOKUP(U426,References!C:D,2,0))</f>
        <v/>
      </c>
      <c r="W426" s="17" t="str">
        <f>IF(U426="","",VLOOKUP(U426,References!C:F,4,0))</f>
        <v/>
      </c>
      <c r="X426" s="16"/>
      <c r="Y426" s="20"/>
      <c r="Z426" s="15"/>
      <c r="AA426" s="22"/>
      <c r="AB426" s="90"/>
      <c r="AC426" s="22"/>
      <c r="AD426" s="25" t="str">
        <f t="shared" si="89"/>
        <v/>
      </c>
      <c r="AE426" s="25" t="str">
        <f t="shared" si="78"/>
        <v/>
      </c>
      <c r="AF426" s="17" t="str">
        <f t="shared" ca="1" si="79"/>
        <v/>
      </c>
      <c r="AG426" s="17" t="str">
        <f t="shared" si="80"/>
        <v/>
      </c>
      <c r="AH426" s="17" t="str">
        <f t="shared" si="81"/>
        <v/>
      </c>
      <c r="AI426" s="17" t="str">
        <f t="shared" ca="1" si="82"/>
        <v/>
      </c>
      <c r="AJ426" s="17" t="str">
        <f t="shared" ca="1" si="69"/>
        <v/>
      </c>
      <c r="AK426" s="17" t="str">
        <f t="shared" si="70"/>
        <v/>
      </c>
      <c r="AL426" s="17" t="str">
        <f t="shared" si="71"/>
        <v/>
      </c>
      <c r="AM426" s="17" t="str">
        <f t="shared" si="72"/>
        <v/>
      </c>
      <c r="AN426" s="17">
        <f t="shared" si="73"/>
        <v>0</v>
      </c>
      <c r="AO426" s="17" t="str">
        <f t="shared" ca="1" si="74"/>
        <v/>
      </c>
      <c r="AP426" s="17" t="str">
        <f t="shared" ca="1" si="75"/>
        <v/>
      </c>
      <c r="AQ426" s="17" t="str">
        <f t="shared" si="76"/>
        <v/>
      </c>
      <c r="AR426" s="17" t="str">
        <f t="shared" ca="1" si="77"/>
        <v/>
      </c>
      <c r="AS426" s="18"/>
      <c r="AT426" s="24">
        <f t="shared" si="83"/>
        <v>0</v>
      </c>
      <c r="AU426" s="24">
        <f t="shared" si="84"/>
        <v>0</v>
      </c>
      <c r="AV426" s="24">
        <f t="shared" si="85"/>
        <v>0</v>
      </c>
      <c r="AW426" s="24">
        <f t="shared" si="86"/>
        <v>0</v>
      </c>
      <c r="AX426" s="24">
        <f t="shared" si="87"/>
        <v>0</v>
      </c>
      <c r="AY426" s="24">
        <f t="shared" si="88"/>
        <v>0</v>
      </c>
      <c r="AZ426" s="18"/>
    </row>
    <row r="427" spans="1:52" x14ac:dyDescent="0.25">
      <c r="A427" s="16"/>
      <c r="B427" s="16"/>
      <c r="C427" s="65"/>
      <c r="D427" s="15"/>
      <c r="E427" s="15"/>
      <c r="F427" s="15"/>
      <c r="G427" s="16"/>
      <c r="H427" s="16"/>
      <c r="I427" s="16"/>
      <c r="J427" s="16"/>
      <c r="K427" s="86"/>
      <c r="L427" s="16"/>
      <c r="M427" s="15"/>
      <c r="N427" s="15"/>
      <c r="O427" s="20"/>
      <c r="P427" s="15"/>
      <c r="Q427" s="20"/>
      <c r="R427" s="15"/>
      <c r="S427" s="15"/>
      <c r="T427" s="15"/>
      <c r="U427" s="15"/>
      <c r="V427" s="17" t="str">
        <f>IF(U427="","",VLOOKUP(U427,References!C:D,2,0))</f>
        <v/>
      </c>
      <c r="W427" s="17" t="str">
        <f>IF(U427="","",VLOOKUP(U427,References!C:F,4,0))</f>
        <v/>
      </c>
      <c r="X427" s="16"/>
      <c r="Y427" s="20"/>
      <c r="Z427" s="15"/>
      <c r="AA427" s="22"/>
      <c r="AB427" s="90"/>
      <c r="AC427" s="22"/>
      <c r="AD427" s="25" t="str">
        <f t="shared" si="89"/>
        <v/>
      </c>
      <c r="AE427" s="25" t="str">
        <f t="shared" si="78"/>
        <v/>
      </c>
      <c r="AF427" s="17" t="str">
        <f t="shared" ca="1" si="79"/>
        <v/>
      </c>
      <c r="AG427" s="17" t="str">
        <f t="shared" si="80"/>
        <v/>
      </c>
      <c r="AH427" s="17" t="str">
        <f t="shared" si="81"/>
        <v/>
      </c>
      <c r="AI427" s="17" t="str">
        <f t="shared" ca="1" si="82"/>
        <v/>
      </c>
      <c r="AJ427" s="17" t="str">
        <f t="shared" ca="1" si="69"/>
        <v/>
      </c>
      <c r="AK427" s="17" t="str">
        <f t="shared" si="70"/>
        <v/>
      </c>
      <c r="AL427" s="17" t="str">
        <f t="shared" si="71"/>
        <v/>
      </c>
      <c r="AM427" s="17" t="str">
        <f t="shared" si="72"/>
        <v/>
      </c>
      <c r="AN427" s="17">
        <f t="shared" si="73"/>
        <v>0</v>
      </c>
      <c r="AO427" s="17" t="str">
        <f t="shared" ca="1" si="74"/>
        <v/>
      </c>
      <c r="AP427" s="17" t="str">
        <f t="shared" ca="1" si="75"/>
        <v/>
      </c>
      <c r="AQ427" s="17" t="str">
        <f t="shared" si="76"/>
        <v/>
      </c>
      <c r="AR427" s="17" t="str">
        <f t="shared" ca="1" si="77"/>
        <v/>
      </c>
      <c r="AS427" s="18"/>
      <c r="AT427" s="24">
        <f t="shared" si="83"/>
        <v>0</v>
      </c>
      <c r="AU427" s="24">
        <f t="shared" si="84"/>
        <v>0</v>
      </c>
      <c r="AV427" s="24">
        <f t="shared" si="85"/>
        <v>0</v>
      </c>
      <c r="AW427" s="24">
        <f t="shared" si="86"/>
        <v>0</v>
      </c>
      <c r="AX427" s="24">
        <f t="shared" si="87"/>
        <v>0</v>
      </c>
      <c r="AY427" s="24">
        <f t="shared" si="88"/>
        <v>0</v>
      </c>
      <c r="AZ427" s="18"/>
    </row>
    <row r="428" spans="1:52" x14ac:dyDescent="0.25">
      <c r="A428" s="16"/>
      <c r="B428" s="16"/>
      <c r="C428" s="65"/>
      <c r="D428" s="15"/>
      <c r="E428" s="15"/>
      <c r="F428" s="15"/>
      <c r="G428" s="16"/>
      <c r="H428" s="16"/>
      <c r="I428" s="16"/>
      <c r="J428" s="16"/>
      <c r="K428" s="86"/>
      <c r="L428" s="16"/>
      <c r="M428" s="15"/>
      <c r="N428" s="15"/>
      <c r="O428" s="20"/>
      <c r="P428" s="15"/>
      <c r="Q428" s="20"/>
      <c r="R428" s="15"/>
      <c r="S428" s="15"/>
      <c r="T428" s="15"/>
      <c r="U428" s="15"/>
      <c r="V428" s="17" t="str">
        <f>IF(U428="","",VLOOKUP(U428,References!C:D,2,0))</f>
        <v/>
      </c>
      <c r="W428" s="17" t="str">
        <f>IF(U428="","",VLOOKUP(U428,References!C:F,4,0))</f>
        <v/>
      </c>
      <c r="X428" s="16"/>
      <c r="Y428" s="20"/>
      <c r="Z428" s="15"/>
      <c r="AA428" s="22"/>
      <c r="AB428" s="90"/>
      <c r="AC428" s="22"/>
      <c r="AD428" s="25" t="str">
        <f t="shared" si="89"/>
        <v/>
      </c>
      <c r="AE428" s="25" t="str">
        <f t="shared" si="78"/>
        <v/>
      </c>
      <c r="AF428" s="17" t="str">
        <f t="shared" ca="1" si="79"/>
        <v/>
      </c>
      <c r="AG428" s="17" t="str">
        <f t="shared" si="80"/>
        <v/>
      </c>
      <c r="AH428" s="17" t="str">
        <f t="shared" si="81"/>
        <v/>
      </c>
      <c r="AI428" s="17" t="str">
        <f t="shared" ca="1" si="82"/>
        <v/>
      </c>
      <c r="AJ428" s="17" t="str">
        <f t="shared" ca="1" si="69"/>
        <v/>
      </c>
      <c r="AK428" s="17" t="str">
        <f t="shared" si="70"/>
        <v/>
      </c>
      <c r="AL428" s="17" t="str">
        <f t="shared" si="71"/>
        <v/>
      </c>
      <c r="AM428" s="17" t="str">
        <f t="shared" si="72"/>
        <v/>
      </c>
      <c r="AN428" s="17">
        <f t="shared" si="73"/>
        <v>0</v>
      </c>
      <c r="AO428" s="17" t="str">
        <f t="shared" ca="1" si="74"/>
        <v/>
      </c>
      <c r="AP428" s="17" t="str">
        <f t="shared" ca="1" si="75"/>
        <v/>
      </c>
      <c r="AQ428" s="17" t="str">
        <f t="shared" si="76"/>
        <v/>
      </c>
      <c r="AR428" s="17" t="str">
        <f t="shared" ca="1" si="77"/>
        <v/>
      </c>
      <c r="AS428" s="18"/>
      <c r="AT428" s="24">
        <f t="shared" si="83"/>
        <v>0</v>
      </c>
      <c r="AU428" s="24">
        <f t="shared" si="84"/>
        <v>0</v>
      </c>
      <c r="AV428" s="24">
        <f t="shared" si="85"/>
        <v>0</v>
      </c>
      <c r="AW428" s="24">
        <f t="shared" si="86"/>
        <v>0</v>
      </c>
      <c r="AX428" s="24">
        <f t="shared" si="87"/>
        <v>0</v>
      </c>
      <c r="AY428" s="24">
        <f t="shared" si="88"/>
        <v>0</v>
      </c>
      <c r="AZ428" s="18"/>
    </row>
    <row r="429" spans="1:52" x14ac:dyDescent="0.25">
      <c r="A429" s="16"/>
      <c r="B429" s="16"/>
      <c r="C429" s="65"/>
      <c r="D429" s="15"/>
      <c r="E429" s="15"/>
      <c r="F429" s="15"/>
      <c r="G429" s="16"/>
      <c r="H429" s="16"/>
      <c r="I429" s="16"/>
      <c r="J429" s="16"/>
      <c r="K429" s="86"/>
      <c r="L429" s="16"/>
      <c r="M429" s="15"/>
      <c r="N429" s="15"/>
      <c r="O429" s="20"/>
      <c r="P429" s="15"/>
      <c r="Q429" s="20"/>
      <c r="R429" s="15"/>
      <c r="S429" s="15"/>
      <c r="T429" s="15"/>
      <c r="U429" s="15"/>
      <c r="V429" s="17" t="str">
        <f>IF(U429="","",VLOOKUP(U429,References!C:D,2,0))</f>
        <v/>
      </c>
      <c r="W429" s="17" t="str">
        <f>IF(U429="","",VLOOKUP(U429,References!C:F,4,0))</f>
        <v/>
      </c>
      <c r="X429" s="16"/>
      <c r="Y429" s="20"/>
      <c r="Z429" s="15"/>
      <c r="AA429" s="22"/>
      <c r="AB429" s="90"/>
      <c r="AC429" s="22"/>
      <c r="AD429" s="25" t="str">
        <f t="shared" si="89"/>
        <v/>
      </c>
      <c r="AE429" s="25" t="str">
        <f t="shared" si="78"/>
        <v/>
      </c>
      <c r="AF429" s="17" t="str">
        <f t="shared" ca="1" si="79"/>
        <v/>
      </c>
      <c r="AG429" s="17" t="str">
        <f t="shared" si="80"/>
        <v/>
      </c>
      <c r="AH429" s="17" t="str">
        <f t="shared" si="81"/>
        <v/>
      </c>
      <c r="AI429" s="17" t="str">
        <f t="shared" ca="1" si="82"/>
        <v/>
      </c>
      <c r="AJ429" s="17" t="str">
        <f t="shared" ca="1" si="69"/>
        <v/>
      </c>
      <c r="AK429" s="17" t="str">
        <f t="shared" si="70"/>
        <v/>
      </c>
      <c r="AL429" s="17" t="str">
        <f t="shared" si="71"/>
        <v/>
      </c>
      <c r="AM429" s="17" t="str">
        <f t="shared" si="72"/>
        <v/>
      </c>
      <c r="AN429" s="17">
        <f t="shared" si="73"/>
        <v>0</v>
      </c>
      <c r="AO429" s="17" t="str">
        <f t="shared" ca="1" si="74"/>
        <v/>
      </c>
      <c r="AP429" s="17" t="str">
        <f t="shared" ca="1" si="75"/>
        <v/>
      </c>
      <c r="AQ429" s="17" t="str">
        <f t="shared" si="76"/>
        <v/>
      </c>
      <c r="AR429" s="17" t="str">
        <f t="shared" ca="1" si="77"/>
        <v/>
      </c>
      <c r="AS429" s="18"/>
      <c r="AT429" s="24">
        <f t="shared" si="83"/>
        <v>0</v>
      </c>
      <c r="AU429" s="24">
        <f t="shared" si="84"/>
        <v>0</v>
      </c>
      <c r="AV429" s="24">
        <f t="shared" si="85"/>
        <v>0</v>
      </c>
      <c r="AW429" s="24">
        <f t="shared" si="86"/>
        <v>0</v>
      </c>
      <c r="AX429" s="24">
        <f t="shared" si="87"/>
        <v>0</v>
      </c>
      <c r="AY429" s="24">
        <f t="shared" si="88"/>
        <v>0</v>
      </c>
      <c r="AZ429" s="18"/>
    </row>
    <row r="430" spans="1:52" x14ac:dyDescent="0.25">
      <c r="A430" s="16"/>
      <c r="B430" s="16"/>
      <c r="C430" s="65"/>
      <c r="D430" s="15"/>
      <c r="E430" s="15"/>
      <c r="F430" s="15"/>
      <c r="G430" s="16"/>
      <c r="H430" s="16"/>
      <c r="I430" s="16"/>
      <c r="J430" s="16"/>
      <c r="K430" s="86"/>
      <c r="L430" s="16"/>
      <c r="M430" s="15"/>
      <c r="N430" s="15"/>
      <c r="O430" s="20"/>
      <c r="P430" s="15"/>
      <c r="Q430" s="20"/>
      <c r="R430" s="15"/>
      <c r="S430" s="15"/>
      <c r="T430" s="15"/>
      <c r="U430" s="15"/>
      <c r="V430" s="17" t="str">
        <f>IF(U430="","",VLOOKUP(U430,References!C:D,2,0))</f>
        <v/>
      </c>
      <c r="W430" s="17" t="str">
        <f>IF(U430="","",VLOOKUP(U430,References!C:F,4,0))</f>
        <v/>
      </c>
      <c r="X430" s="16"/>
      <c r="Y430" s="20"/>
      <c r="Z430" s="15"/>
      <c r="AA430" s="22"/>
      <c r="AB430" s="90"/>
      <c r="AC430" s="22"/>
      <c r="AD430" s="25" t="str">
        <f t="shared" si="89"/>
        <v/>
      </c>
      <c r="AE430" s="25" t="str">
        <f t="shared" si="78"/>
        <v/>
      </c>
      <c r="AF430" s="17" t="str">
        <f t="shared" ca="1" si="79"/>
        <v/>
      </c>
      <c r="AG430" s="17" t="str">
        <f t="shared" si="80"/>
        <v/>
      </c>
      <c r="AH430" s="17" t="str">
        <f t="shared" si="81"/>
        <v/>
      </c>
      <c r="AI430" s="17" t="str">
        <f t="shared" ca="1" si="82"/>
        <v/>
      </c>
      <c r="AJ430" s="17" t="str">
        <f t="shared" ca="1" si="69"/>
        <v/>
      </c>
      <c r="AK430" s="17" t="str">
        <f t="shared" si="70"/>
        <v/>
      </c>
      <c r="AL430" s="17" t="str">
        <f t="shared" si="71"/>
        <v/>
      </c>
      <c r="AM430" s="17" t="str">
        <f t="shared" si="72"/>
        <v/>
      </c>
      <c r="AN430" s="17">
        <f t="shared" si="73"/>
        <v>0</v>
      </c>
      <c r="AO430" s="17" t="str">
        <f t="shared" ca="1" si="74"/>
        <v/>
      </c>
      <c r="AP430" s="17" t="str">
        <f t="shared" ca="1" si="75"/>
        <v/>
      </c>
      <c r="AQ430" s="17" t="str">
        <f t="shared" si="76"/>
        <v/>
      </c>
      <c r="AR430" s="17" t="str">
        <f t="shared" ca="1" si="77"/>
        <v/>
      </c>
      <c r="AS430" s="18"/>
      <c r="AT430" s="24">
        <f t="shared" si="83"/>
        <v>0</v>
      </c>
      <c r="AU430" s="24">
        <f t="shared" si="84"/>
        <v>0</v>
      </c>
      <c r="AV430" s="24">
        <f t="shared" si="85"/>
        <v>0</v>
      </c>
      <c r="AW430" s="24">
        <f t="shared" si="86"/>
        <v>0</v>
      </c>
      <c r="AX430" s="24">
        <f t="shared" si="87"/>
        <v>0</v>
      </c>
      <c r="AY430" s="24">
        <f t="shared" si="88"/>
        <v>0</v>
      </c>
      <c r="AZ430" s="18"/>
    </row>
    <row r="431" spans="1:52" x14ac:dyDescent="0.25">
      <c r="A431" s="16"/>
      <c r="B431" s="16"/>
      <c r="C431" s="65"/>
      <c r="D431" s="15"/>
      <c r="E431" s="15"/>
      <c r="F431" s="15"/>
      <c r="G431" s="16"/>
      <c r="H431" s="16"/>
      <c r="I431" s="16"/>
      <c r="J431" s="16"/>
      <c r="K431" s="86"/>
      <c r="L431" s="16"/>
      <c r="M431" s="15"/>
      <c r="N431" s="15"/>
      <c r="O431" s="20"/>
      <c r="P431" s="15"/>
      <c r="Q431" s="20"/>
      <c r="R431" s="15"/>
      <c r="S431" s="15"/>
      <c r="T431" s="15"/>
      <c r="U431" s="15"/>
      <c r="V431" s="17" t="str">
        <f>IF(U431="","",VLOOKUP(U431,References!C:D,2,0))</f>
        <v/>
      </c>
      <c r="W431" s="17" t="str">
        <f>IF(U431="","",VLOOKUP(U431,References!C:F,4,0))</f>
        <v/>
      </c>
      <c r="X431" s="16"/>
      <c r="Y431" s="20"/>
      <c r="Z431" s="15"/>
      <c r="AA431" s="22"/>
      <c r="AB431" s="90"/>
      <c r="AC431" s="22"/>
      <c r="AD431" s="25" t="str">
        <f t="shared" si="89"/>
        <v/>
      </c>
      <c r="AE431" s="25" t="str">
        <f t="shared" si="78"/>
        <v/>
      </c>
      <c r="AF431" s="17" t="str">
        <f t="shared" ca="1" si="79"/>
        <v/>
      </c>
      <c r="AG431" s="17" t="str">
        <f t="shared" si="80"/>
        <v/>
      </c>
      <c r="AH431" s="17" t="str">
        <f t="shared" si="81"/>
        <v/>
      </c>
      <c r="AI431" s="17" t="str">
        <f t="shared" ca="1" si="82"/>
        <v/>
      </c>
      <c r="AJ431" s="17" t="str">
        <f t="shared" ca="1" si="69"/>
        <v/>
      </c>
      <c r="AK431" s="17" t="str">
        <f t="shared" si="70"/>
        <v/>
      </c>
      <c r="AL431" s="17" t="str">
        <f t="shared" si="71"/>
        <v/>
      </c>
      <c r="AM431" s="17" t="str">
        <f t="shared" si="72"/>
        <v/>
      </c>
      <c r="AN431" s="17">
        <f t="shared" si="73"/>
        <v>0</v>
      </c>
      <c r="AO431" s="17" t="str">
        <f t="shared" ca="1" si="74"/>
        <v/>
      </c>
      <c r="AP431" s="17" t="str">
        <f t="shared" ca="1" si="75"/>
        <v/>
      </c>
      <c r="AQ431" s="17" t="str">
        <f t="shared" si="76"/>
        <v/>
      </c>
      <c r="AR431" s="17" t="str">
        <f t="shared" ca="1" si="77"/>
        <v/>
      </c>
      <c r="AS431" s="18"/>
      <c r="AT431" s="24">
        <f t="shared" si="83"/>
        <v>0</v>
      </c>
      <c r="AU431" s="24">
        <f t="shared" si="84"/>
        <v>0</v>
      </c>
      <c r="AV431" s="24">
        <f t="shared" si="85"/>
        <v>0</v>
      </c>
      <c r="AW431" s="24">
        <f t="shared" si="86"/>
        <v>0</v>
      </c>
      <c r="AX431" s="24">
        <f t="shared" si="87"/>
        <v>0</v>
      </c>
      <c r="AY431" s="24">
        <f t="shared" si="88"/>
        <v>0</v>
      </c>
      <c r="AZ431" s="18"/>
    </row>
    <row r="432" spans="1:52" x14ac:dyDescent="0.25">
      <c r="A432" s="16"/>
      <c r="B432" s="16"/>
      <c r="C432" s="65"/>
      <c r="D432" s="15"/>
      <c r="E432" s="15"/>
      <c r="F432" s="15"/>
      <c r="G432" s="16"/>
      <c r="H432" s="16"/>
      <c r="I432" s="16"/>
      <c r="J432" s="16"/>
      <c r="K432" s="86"/>
      <c r="L432" s="16"/>
      <c r="M432" s="15"/>
      <c r="N432" s="15"/>
      <c r="O432" s="20"/>
      <c r="P432" s="15"/>
      <c r="Q432" s="20"/>
      <c r="R432" s="15"/>
      <c r="S432" s="15"/>
      <c r="T432" s="15"/>
      <c r="U432" s="15"/>
      <c r="V432" s="17" t="str">
        <f>IF(U432="","",VLOOKUP(U432,References!C:D,2,0))</f>
        <v/>
      </c>
      <c r="W432" s="17" t="str">
        <f>IF(U432="","",VLOOKUP(U432,References!C:F,4,0))</f>
        <v/>
      </c>
      <c r="X432" s="16"/>
      <c r="Y432" s="20"/>
      <c r="Z432" s="15"/>
      <c r="AA432" s="22"/>
      <c r="AB432" s="90"/>
      <c r="AC432" s="22"/>
      <c r="AD432" s="25" t="str">
        <f t="shared" si="89"/>
        <v/>
      </c>
      <c r="AE432" s="25" t="str">
        <f t="shared" si="78"/>
        <v/>
      </c>
      <c r="AF432" s="17" t="str">
        <f t="shared" ca="1" si="79"/>
        <v/>
      </c>
      <c r="AG432" s="17" t="str">
        <f t="shared" si="80"/>
        <v/>
      </c>
      <c r="AH432" s="17" t="str">
        <f t="shared" si="81"/>
        <v/>
      </c>
      <c r="AI432" s="17" t="str">
        <f t="shared" ca="1" si="82"/>
        <v/>
      </c>
      <c r="AJ432" s="17" t="str">
        <f t="shared" ca="1" si="69"/>
        <v/>
      </c>
      <c r="AK432" s="17" t="str">
        <f t="shared" si="70"/>
        <v/>
      </c>
      <c r="AL432" s="17" t="str">
        <f t="shared" si="71"/>
        <v/>
      </c>
      <c r="AM432" s="17" t="str">
        <f t="shared" si="72"/>
        <v/>
      </c>
      <c r="AN432" s="17">
        <f t="shared" si="73"/>
        <v>0</v>
      </c>
      <c r="AO432" s="17" t="str">
        <f t="shared" ca="1" si="74"/>
        <v/>
      </c>
      <c r="AP432" s="17" t="str">
        <f t="shared" ca="1" si="75"/>
        <v/>
      </c>
      <c r="AQ432" s="17" t="str">
        <f t="shared" si="76"/>
        <v/>
      </c>
      <c r="AR432" s="17" t="str">
        <f t="shared" ca="1" si="77"/>
        <v/>
      </c>
      <c r="AS432" s="18"/>
      <c r="AT432" s="24">
        <f t="shared" si="83"/>
        <v>0</v>
      </c>
      <c r="AU432" s="24">
        <f t="shared" si="84"/>
        <v>0</v>
      </c>
      <c r="AV432" s="24">
        <f t="shared" si="85"/>
        <v>0</v>
      </c>
      <c r="AW432" s="24">
        <f t="shared" si="86"/>
        <v>0</v>
      </c>
      <c r="AX432" s="24">
        <f t="shared" si="87"/>
        <v>0</v>
      </c>
      <c r="AY432" s="24">
        <f t="shared" si="88"/>
        <v>0</v>
      </c>
      <c r="AZ432" s="18"/>
    </row>
    <row r="433" spans="1:52" x14ac:dyDescent="0.25">
      <c r="A433" s="16"/>
      <c r="B433" s="16"/>
      <c r="C433" s="65"/>
      <c r="D433" s="15"/>
      <c r="E433" s="15"/>
      <c r="F433" s="15"/>
      <c r="G433" s="16"/>
      <c r="H433" s="16"/>
      <c r="I433" s="16"/>
      <c r="J433" s="16"/>
      <c r="K433" s="86"/>
      <c r="L433" s="16"/>
      <c r="M433" s="15"/>
      <c r="N433" s="15"/>
      <c r="O433" s="20"/>
      <c r="P433" s="15"/>
      <c r="Q433" s="20"/>
      <c r="R433" s="15"/>
      <c r="S433" s="15"/>
      <c r="T433" s="15"/>
      <c r="U433" s="15"/>
      <c r="V433" s="17" t="str">
        <f>IF(U433="","",VLOOKUP(U433,References!C:D,2,0))</f>
        <v/>
      </c>
      <c r="W433" s="17" t="str">
        <f>IF(U433="","",VLOOKUP(U433,References!C:F,4,0))</f>
        <v/>
      </c>
      <c r="X433" s="16"/>
      <c r="Y433" s="20"/>
      <c r="Z433" s="15"/>
      <c r="AA433" s="22"/>
      <c r="AB433" s="90"/>
      <c r="AC433" s="22"/>
      <c r="AD433" s="25" t="str">
        <f t="shared" si="89"/>
        <v/>
      </c>
      <c r="AE433" s="25" t="str">
        <f t="shared" si="78"/>
        <v/>
      </c>
      <c r="AF433" s="17" t="str">
        <f t="shared" ca="1" si="79"/>
        <v/>
      </c>
      <c r="AG433" s="17" t="str">
        <f t="shared" si="80"/>
        <v/>
      </c>
      <c r="AH433" s="17" t="str">
        <f t="shared" si="81"/>
        <v/>
      </c>
      <c r="AI433" s="17" t="str">
        <f t="shared" ca="1" si="82"/>
        <v/>
      </c>
      <c r="AJ433" s="17" t="str">
        <f t="shared" ca="1" si="69"/>
        <v/>
      </c>
      <c r="AK433" s="17" t="str">
        <f t="shared" si="70"/>
        <v/>
      </c>
      <c r="AL433" s="17" t="str">
        <f t="shared" si="71"/>
        <v/>
      </c>
      <c r="AM433" s="17" t="str">
        <f t="shared" si="72"/>
        <v/>
      </c>
      <c r="AN433" s="17">
        <f t="shared" si="73"/>
        <v>0</v>
      </c>
      <c r="AO433" s="17" t="str">
        <f t="shared" ca="1" si="74"/>
        <v/>
      </c>
      <c r="AP433" s="17" t="str">
        <f t="shared" ca="1" si="75"/>
        <v/>
      </c>
      <c r="AQ433" s="17" t="str">
        <f t="shared" si="76"/>
        <v/>
      </c>
      <c r="AR433" s="17" t="str">
        <f t="shared" ca="1" si="77"/>
        <v/>
      </c>
      <c r="AS433" s="18"/>
      <c r="AT433" s="24">
        <f t="shared" si="83"/>
        <v>0</v>
      </c>
      <c r="AU433" s="24">
        <f t="shared" si="84"/>
        <v>0</v>
      </c>
      <c r="AV433" s="24">
        <f t="shared" si="85"/>
        <v>0</v>
      </c>
      <c r="AW433" s="24">
        <f t="shared" si="86"/>
        <v>0</v>
      </c>
      <c r="AX433" s="24">
        <f t="shared" si="87"/>
        <v>0</v>
      </c>
      <c r="AY433" s="24">
        <f t="shared" si="88"/>
        <v>0</v>
      </c>
      <c r="AZ433" s="18"/>
    </row>
    <row r="434" spans="1:52" x14ac:dyDescent="0.25">
      <c r="A434" s="16"/>
      <c r="B434" s="16"/>
      <c r="C434" s="65"/>
      <c r="D434" s="15"/>
      <c r="E434" s="15"/>
      <c r="F434" s="15"/>
      <c r="G434" s="16"/>
      <c r="H434" s="16"/>
      <c r="I434" s="16"/>
      <c r="J434" s="16"/>
      <c r="K434" s="86"/>
      <c r="L434" s="16"/>
      <c r="M434" s="15"/>
      <c r="N434" s="15"/>
      <c r="O434" s="20"/>
      <c r="P434" s="15"/>
      <c r="Q434" s="20"/>
      <c r="R434" s="15"/>
      <c r="S434" s="15"/>
      <c r="T434" s="15"/>
      <c r="U434" s="15"/>
      <c r="V434" s="17" t="str">
        <f>IF(U434="","",VLOOKUP(U434,References!C:D,2,0))</f>
        <v/>
      </c>
      <c r="W434" s="17" t="str">
        <f>IF(U434="","",VLOOKUP(U434,References!C:F,4,0))</f>
        <v/>
      </c>
      <c r="X434" s="16"/>
      <c r="Y434" s="20"/>
      <c r="Z434" s="15"/>
      <c r="AA434" s="22"/>
      <c r="AB434" s="90"/>
      <c r="AC434" s="22"/>
      <c r="AD434" s="25" t="str">
        <f t="shared" si="89"/>
        <v/>
      </c>
      <c r="AE434" s="25" t="str">
        <f t="shared" si="78"/>
        <v/>
      </c>
      <c r="AF434" s="17" t="str">
        <f t="shared" ca="1" si="79"/>
        <v/>
      </c>
      <c r="AG434" s="17" t="str">
        <f t="shared" si="80"/>
        <v/>
      </c>
      <c r="AH434" s="17" t="str">
        <f t="shared" si="81"/>
        <v/>
      </c>
      <c r="AI434" s="17" t="str">
        <f t="shared" ca="1" si="82"/>
        <v/>
      </c>
      <c r="AJ434" s="17" t="str">
        <f t="shared" ca="1" si="69"/>
        <v/>
      </c>
      <c r="AK434" s="17" t="str">
        <f t="shared" si="70"/>
        <v/>
      </c>
      <c r="AL434" s="17" t="str">
        <f t="shared" si="71"/>
        <v/>
      </c>
      <c r="AM434" s="17" t="str">
        <f t="shared" si="72"/>
        <v/>
      </c>
      <c r="AN434" s="17">
        <f t="shared" si="73"/>
        <v>0</v>
      </c>
      <c r="AO434" s="17" t="str">
        <f t="shared" ca="1" si="74"/>
        <v/>
      </c>
      <c r="AP434" s="17" t="str">
        <f t="shared" ca="1" si="75"/>
        <v/>
      </c>
      <c r="AQ434" s="17" t="str">
        <f t="shared" si="76"/>
        <v/>
      </c>
      <c r="AR434" s="17" t="str">
        <f t="shared" ca="1" si="77"/>
        <v/>
      </c>
      <c r="AS434" s="18"/>
      <c r="AT434" s="24">
        <f t="shared" si="83"/>
        <v>0</v>
      </c>
      <c r="AU434" s="24">
        <f t="shared" si="84"/>
        <v>0</v>
      </c>
      <c r="AV434" s="24">
        <f t="shared" si="85"/>
        <v>0</v>
      </c>
      <c r="AW434" s="24">
        <f t="shared" si="86"/>
        <v>0</v>
      </c>
      <c r="AX434" s="24">
        <f t="shared" si="87"/>
        <v>0</v>
      </c>
      <c r="AY434" s="24">
        <f t="shared" si="88"/>
        <v>0</v>
      </c>
      <c r="AZ434" s="18"/>
    </row>
    <row r="435" spans="1:52" x14ac:dyDescent="0.25">
      <c r="A435" s="16"/>
      <c r="B435" s="16"/>
      <c r="C435" s="65"/>
      <c r="D435" s="15"/>
      <c r="E435" s="15"/>
      <c r="F435" s="15"/>
      <c r="G435" s="16"/>
      <c r="H435" s="16"/>
      <c r="I435" s="16"/>
      <c r="J435" s="16"/>
      <c r="K435" s="86"/>
      <c r="L435" s="16"/>
      <c r="M435" s="15"/>
      <c r="N435" s="15"/>
      <c r="O435" s="20"/>
      <c r="P435" s="15"/>
      <c r="Q435" s="20"/>
      <c r="R435" s="15"/>
      <c r="S435" s="15"/>
      <c r="T435" s="15"/>
      <c r="U435" s="15"/>
      <c r="V435" s="17" t="str">
        <f>IF(U435="","",VLOOKUP(U435,References!C:D,2,0))</f>
        <v/>
      </c>
      <c r="W435" s="17" t="str">
        <f>IF(U435="","",VLOOKUP(U435,References!C:F,4,0))</f>
        <v/>
      </c>
      <c r="X435" s="16"/>
      <c r="Y435" s="20"/>
      <c r="Z435" s="15"/>
      <c r="AA435" s="22"/>
      <c r="AB435" s="90"/>
      <c r="AC435" s="22"/>
      <c r="AD435" s="25" t="str">
        <f t="shared" si="89"/>
        <v/>
      </c>
      <c r="AE435" s="25" t="str">
        <f t="shared" si="78"/>
        <v/>
      </c>
      <c r="AF435" s="17" t="str">
        <f t="shared" ca="1" si="79"/>
        <v/>
      </c>
      <c r="AG435" s="17" t="str">
        <f t="shared" si="80"/>
        <v/>
      </c>
      <c r="AH435" s="17" t="str">
        <f t="shared" si="81"/>
        <v/>
      </c>
      <c r="AI435" s="17" t="str">
        <f t="shared" ca="1" si="82"/>
        <v/>
      </c>
      <c r="AJ435" s="17" t="str">
        <f t="shared" ca="1" si="69"/>
        <v/>
      </c>
      <c r="AK435" s="17" t="str">
        <f t="shared" si="70"/>
        <v/>
      </c>
      <c r="AL435" s="17" t="str">
        <f t="shared" si="71"/>
        <v/>
      </c>
      <c r="AM435" s="17" t="str">
        <f t="shared" si="72"/>
        <v/>
      </c>
      <c r="AN435" s="17">
        <f t="shared" si="73"/>
        <v>0</v>
      </c>
      <c r="AO435" s="17" t="str">
        <f t="shared" ca="1" si="74"/>
        <v/>
      </c>
      <c r="AP435" s="17" t="str">
        <f t="shared" ca="1" si="75"/>
        <v/>
      </c>
      <c r="AQ435" s="17" t="str">
        <f t="shared" si="76"/>
        <v/>
      </c>
      <c r="AR435" s="17" t="str">
        <f t="shared" ca="1" si="77"/>
        <v/>
      </c>
      <c r="AS435" s="18"/>
      <c r="AT435" s="24">
        <f t="shared" si="83"/>
        <v>0</v>
      </c>
      <c r="AU435" s="24">
        <f t="shared" si="84"/>
        <v>0</v>
      </c>
      <c r="AV435" s="24">
        <f t="shared" si="85"/>
        <v>0</v>
      </c>
      <c r="AW435" s="24">
        <f t="shared" si="86"/>
        <v>0</v>
      </c>
      <c r="AX435" s="24">
        <f t="shared" si="87"/>
        <v>0</v>
      </c>
      <c r="AY435" s="24">
        <f t="shared" si="88"/>
        <v>0</v>
      </c>
      <c r="AZ435" s="18"/>
    </row>
    <row r="436" spans="1:52" x14ac:dyDescent="0.25">
      <c r="A436" s="16"/>
      <c r="B436" s="16"/>
      <c r="C436" s="65"/>
      <c r="D436" s="15"/>
      <c r="E436" s="15"/>
      <c r="F436" s="15"/>
      <c r="G436" s="16"/>
      <c r="H436" s="16"/>
      <c r="I436" s="16"/>
      <c r="J436" s="16"/>
      <c r="K436" s="86"/>
      <c r="L436" s="16"/>
      <c r="M436" s="15"/>
      <c r="N436" s="15"/>
      <c r="O436" s="20"/>
      <c r="P436" s="15"/>
      <c r="Q436" s="20"/>
      <c r="R436" s="15"/>
      <c r="S436" s="15"/>
      <c r="T436" s="15"/>
      <c r="U436" s="15"/>
      <c r="V436" s="17" t="str">
        <f>IF(U436="","",VLOOKUP(U436,References!C:D,2,0))</f>
        <v/>
      </c>
      <c r="W436" s="17" t="str">
        <f>IF(U436="","",VLOOKUP(U436,References!C:F,4,0))</f>
        <v/>
      </c>
      <c r="X436" s="16"/>
      <c r="Y436" s="20"/>
      <c r="Z436" s="15"/>
      <c r="AA436" s="22"/>
      <c r="AB436" s="90"/>
      <c r="AC436" s="22"/>
      <c r="AD436" s="25" t="str">
        <f t="shared" si="89"/>
        <v/>
      </c>
      <c r="AE436" s="25" t="str">
        <f t="shared" si="78"/>
        <v/>
      </c>
      <c r="AF436" s="17" t="str">
        <f t="shared" ca="1" si="79"/>
        <v/>
      </c>
      <c r="AG436" s="17" t="str">
        <f t="shared" si="80"/>
        <v/>
      </c>
      <c r="AH436" s="17" t="str">
        <f t="shared" si="81"/>
        <v/>
      </c>
      <c r="AI436" s="17" t="str">
        <f t="shared" ca="1" si="82"/>
        <v/>
      </c>
      <c r="AJ436" s="17" t="str">
        <f t="shared" ca="1" si="69"/>
        <v/>
      </c>
      <c r="AK436" s="17" t="str">
        <f t="shared" si="70"/>
        <v/>
      </c>
      <c r="AL436" s="17" t="str">
        <f t="shared" si="71"/>
        <v/>
      </c>
      <c r="AM436" s="17" t="str">
        <f t="shared" si="72"/>
        <v/>
      </c>
      <c r="AN436" s="17">
        <f t="shared" si="73"/>
        <v>0</v>
      </c>
      <c r="AO436" s="17" t="str">
        <f t="shared" ca="1" si="74"/>
        <v/>
      </c>
      <c r="AP436" s="17" t="str">
        <f t="shared" ca="1" si="75"/>
        <v/>
      </c>
      <c r="AQ436" s="17" t="str">
        <f t="shared" si="76"/>
        <v/>
      </c>
      <c r="AR436" s="17" t="str">
        <f t="shared" ca="1" si="77"/>
        <v/>
      </c>
      <c r="AS436" s="18"/>
      <c r="AT436" s="24">
        <f t="shared" si="83"/>
        <v>0</v>
      </c>
      <c r="AU436" s="24">
        <f t="shared" si="84"/>
        <v>0</v>
      </c>
      <c r="AV436" s="24">
        <f t="shared" si="85"/>
        <v>0</v>
      </c>
      <c r="AW436" s="24">
        <f t="shared" si="86"/>
        <v>0</v>
      </c>
      <c r="AX436" s="24">
        <f t="shared" si="87"/>
        <v>0</v>
      </c>
      <c r="AY436" s="24">
        <f t="shared" si="88"/>
        <v>0</v>
      </c>
      <c r="AZ436" s="18"/>
    </row>
    <row r="437" spans="1:52" x14ac:dyDescent="0.25">
      <c r="A437" s="16"/>
      <c r="B437" s="16"/>
      <c r="C437" s="65"/>
      <c r="D437" s="15"/>
      <c r="E437" s="15"/>
      <c r="F437" s="15"/>
      <c r="G437" s="16"/>
      <c r="H437" s="16"/>
      <c r="I437" s="16"/>
      <c r="J437" s="16"/>
      <c r="K437" s="86"/>
      <c r="L437" s="16"/>
      <c r="M437" s="15"/>
      <c r="N437" s="15"/>
      <c r="O437" s="20"/>
      <c r="P437" s="15"/>
      <c r="Q437" s="20"/>
      <c r="R437" s="15"/>
      <c r="S437" s="15"/>
      <c r="T437" s="15"/>
      <c r="U437" s="15"/>
      <c r="V437" s="17" t="str">
        <f>IF(U437="","",VLOOKUP(U437,References!C:D,2,0))</f>
        <v/>
      </c>
      <c r="W437" s="17" t="str">
        <f>IF(U437="","",VLOOKUP(U437,References!C:F,4,0))</f>
        <v/>
      </c>
      <c r="X437" s="16"/>
      <c r="Y437" s="20"/>
      <c r="Z437" s="15"/>
      <c r="AA437" s="22"/>
      <c r="AB437" s="90"/>
      <c r="AC437" s="22"/>
      <c r="AD437" s="25" t="str">
        <f t="shared" si="89"/>
        <v/>
      </c>
      <c r="AE437" s="25" t="str">
        <f t="shared" si="78"/>
        <v/>
      </c>
      <c r="AF437" s="17" t="str">
        <f t="shared" ca="1" si="79"/>
        <v/>
      </c>
      <c r="AG437" s="17" t="str">
        <f t="shared" si="80"/>
        <v/>
      </c>
      <c r="AH437" s="17" t="str">
        <f t="shared" si="81"/>
        <v/>
      </c>
      <c r="AI437" s="17" t="str">
        <f t="shared" ca="1" si="82"/>
        <v/>
      </c>
      <c r="AJ437" s="17" t="str">
        <f t="shared" ca="1" si="69"/>
        <v/>
      </c>
      <c r="AK437" s="17" t="str">
        <f t="shared" si="70"/>
        <v/>
      </c>
      <c r="AL437" s="17" t="str">
        <f t="shared" si="71"/>
        <v/>
      </c>
      <c r="AM437" s="17" t="str">
        <f t="shared" si="72"/>
        <v/>
      </c>
      <c r="AN437" s="17">
        <f t="shared" si="73"/>
        <v>0</v>
      </c>
      <c r="AO437" s="17" t="str">
        <f t="shared" ca="1" si="74"/>
        <v/>
      </c>
      <c r="AP437" s="17" t="str">
        <f t="shared" ca="1" si="75"/>
        <v/>
      </c>
      <c r="AQ437" s="17" t="str">
        <f t="shared" si="76"/>
        <v/>
      </c>
      <c r="AR437" s="17" t="str">
        <f t="shared" ca="1" si="77"/>
        <v/>
      </c>
      <c r="AS437" s="18"/>
      <c r="AT437" s="24">
        <f t="shared" si="83"/>
        <v>0</v>
      </c>
      <c r="AU437" s="24">
        <f t="shared" si="84"/>
        <v>0</v>
      </c>
      <c r="AV437" s="24">
        <f t="shared" si="85"/>
        <v>0</v>
      </c>
      <c r="AW437" s="24">
        <f t="shared" si="86"/>
        <v>0</v>
      </c>
      <c r="AX437" s="24">
        <f t="shared" si="87"/>
        <v>0</v>
      </c>
      <c r="AY437" s="24">
        <f t="shared" si="88"/>
        <v>0</v>
      </c>
      <c r="AZ437" s="18"/>
    </row>
    <row r="438" spans="1:52" x14ac:dyDescent="0.25">
      <c r="A438" s="16"/>
      <c r="B438" s="16"/>
      <c r="C438" s="65"/>
      <c r="D438" s="15"/>
      <c r="E438" s="15"/>
      <c r="F438" s="15"/>
      <c r="G438" s="16"/>
      <c r="H438" s="16"/>
      <c r="I438" s="16"/>
      <c r="J438" s="16"/>
      <c r="K438" s="86"/>
      <c r="L438" s="16"/>
      <c r="M438" s="15"/>
      <c r="N438" s="15"/>
      <c r="O438" s="20"/>
      <c r="P438" s="15"/>
      <c r="Q438" s="20"/>
      <c r="R438" s="15"/>
      <c r="S438" s="15"/>
      <c r="T438" s="15"/>
      <c r="U438" s="15"/>
      <c r="V438" s="17" t="str">
        <f>IF(U438="","",VLOOKUP(U438,References!C:D,2,0))</f>
        <v/>
      </c>
      <c r="W438" s="17" t="str">
        <f>IF(U438="","",VLOOKUP(U438,References!C:F,4,0))</f>
        <v/>
      </c>
      <c r="X438" s="16"/>
      <c r="Y438" s="20"/>
      <c r="Z438" s="15"/>
      <c r="AA438" s="22"/>
      <c r="AB438" s="90"/>
      <c r="AC438" s="22"/>
      <c r="AD438" s="25" t="str">
        <f t="shared" si="89"/>
        <v/>
      </c>
      <c r="AE438" s="25" t="str">
        <f t="shared" si="78"/>
        <v/>
      </c>
      <c r="AF438" s="17" t="str">
        <f t="shared" ca="1" si="79"/>
        <v/>
      </c>
      <c r="AG438" s="17" t="str">
        <f t="shared" si="80"/>
        <v/>
      </c>
      <c r="AH438" s="17" t="str">
        <f t="shared" si="81"/>
        <v/>
      </c>
      <c r="AI438" s="17" t="str">
        <f t="shared" ca="1" si="82"/>
        <v/>
      </c>
      <c r="AJ438" s="17" t="str">
        <f t="shared" ca="1" si="69"/>
        <v/>
      </c>
      <c r="AK438" s="17" t="str">
        <f t="shared" si="70"/>
        <v/>
      </c>
      <c r="AL438" s="17" t="str">
        <f t="shared" si="71"/>
        <v/>
      </c>
      <c r="AM438" s="17" t="str">
        <f t="shared" si="72"/>
        <v/>
      </c>
      <c r="AN438" s="17">
        <f t="shared" si="73"/>
        <v>0</v>
      </c>
      <c r="AO438" s="17" t="str">
        <f t="shared" ca="1" si="74"/>
        <v/>
      </c>
      <c r="AP438" s="17" t="str">
        <f t="shared" ca="1" si="75"/>
        <v/>
      </c>
      <c r="AQ438" s="17" t="str">
        <f t="shared" si="76"/>
        <v/>
      </c>
      <c r="AR438" s="17" t="str">
        <f t="shared" ca="1" si="77"/>
        <v/>
      </c>
      <c r="AS438" s="18"/>
      <c r="AT438" s="24">
        <f t="shared" si="83"/>
        <v>0</v>
      </c>
      <c r="AU438" s="24">
        <f t="shared" si="84"/>
        <v>0</v>
      </c>
      <c r="AV438" s="24">
        <f t="shared" si="85"/>
        <v>0</v>
      </c>
      <c r="AW438" s="24">
        <f t="shared" si="86"/>
        <v>0</v>
      </c>
      <c r="AX438" s="24">
        <f t="shared" si="87"/>
        <v>0</v>
      </c>
      <c r="AY438" s="24">
        <f t="shared" si="88"/>
        <v>0</v>
      </c>
      <c r="AZ438" s="18"/>
    </row>
    <row r="439" spans="1:52" x14ac:dyDescent="0.25">
      <c r="A439" s="16"/>
      <c r="B439" s="16"/>
      <c r="C439" s="65"/>
      <c r="D439" s="15"/>
      <c r="E439" s="15"/>
      <c r="F439" s="15"/>
      <c r="G439" s="16"/>
      <c r="H439" s="16"/>
      <c r="I439" s="16"/>
      <c r="J439" s="16"/>
      <c r="K439" s="86"/>
      <c r="L439" s="16"/>
      <c r="M439" s="15"/>
      <c r="N439" s="15"/>
      <c r="O439" s="20"/>
      <c r="P439" s="15"/>
      <c r="Q439" s="20"/>
      <c r="R439" s="15"/>
      <c r="S439" s="15"/>
      <c r="T439" s="15"/>
      <c r="U439" s="15"/>
      <c r="V439" s="17" t="str">
        <f>IF(U439="","",VLOOKUP(U439,References!C:D,2,0))</f>
        <v/>
      </c>
      <c r="W439" s="17" t="str">
        <f>IF(U439="","",VLOOKUP(U439,References!C:F,4,0))</f>
        <v/>
      </c>
      <c r="X439" s="16"/>
      <c r="Y439" s="20"/>
      <c r="Z439" s="15"/>
      <c r="AA439" s="22"/>
      <c r="AB439" s="90"/>
      <c r="AC439" s="22"/>
      <c r="AD439" s="25" t="str">
        <f t="shared" si="89"/>
        <v/>
      </c>
      <c r="AE439" s="25" t="str">
        <f t="shared" si="78"/>
        <v/>
      </c>
      <c r="AF439" s="17" t="str">
        <f t="shared" ca="1" si="79"/>
        <v/>
      </c>
      <c r="AG439" s="17" t="str">
        <f t="shared" si="80"/>
        <v/>
      </c>
      <c r="AH439" s="17" t="str">
        <f t="shared" si="81"/>
        <v/>
      </c>
      <c r="AI439" s="17" t="str">
        <f t="shared" ca="1" si="82"/>
        <v/>
      </c>
      <c r="AJ439" s="17" t="str">
        <f t="shared" ca="1" si="69"/>
        <v/>
      </c>
      <c r="AK439" s="17" t="str">
        <f t="shared" si="70"/>
        <v/>
      </c>
      <c r="AL439" s="17" t="str">
        <f t="shared" si="71"/>
        <v/>
      </c>
      <c r="AM439" s="17" t="str">
        <f t="shared" si="72"/>
        <v/>
      </c>
      <c r="AN439" s="17">
        <f t="shared" si="73"/>
        <v>0</v>
      </c>
      <c r="AO439" s="17" t="str">
        <f t="shared" ca="1" si="74"/>
        <v/>
      </c>
      <c r="AP439" s="17" t="str">
        <f t="shared" ca="1" si="75"/>
        <v/>
      </c>
      <c r="AQ439" s="17" t="str">
        <f t="shared" si="76"/>
        <v/>
      </c>
      <c r="AR439" s="17" t="str">
        <f t="shared" ca="1" si="77"/>
        <v/>
      </c>
      <c r="AS439" s="18"/>
      <c r="AT439" s="24">
        <f t="shared" si="83"/>
        <v>0</v>
      </c>
      <c r="AU439" s="24">
        <f t="shared" si="84"/>
        <v>0</v>
      </c>
      <c r="AV439" s="24">
        <f t="shared" si="85"/>
        <v>0</v>
      </c>
      <c r="AW439" s="24">
        <f t="shared" si="86"/>
        <v>0</v>
      </c>
      <c r="AX439" s="24">
        <f t="shared" si="87"/>
        <v>0</v>
      </c>
      <c r="AY439" s="24">
        <f t="shared" si="88"/>
        <v>0</v>
      </c>
      <c r="AZ439" s="18"/>
    </row>
    <row r="440" spans="1:52" x14ac:dyDescent="0.25">
      <c r="A440" s="16"/>
      <c r="B440" s="16"/>
      <c r="C440" s="65"/>
      <c r="D440" s="15"/>
      <c r="E440" s="15"/>
      <c r="F440" s="15"/>
      <c r="G440" s="16"/>
      <c r="H440" s="16"/>
      <c r="I440" s="16"/>
      <c r="J440" s="16"/>
      <c r="K440" s="86"/>
      <c r="L440" s="16"/>
      <c r="M440" s="15"/>
      <c r="N440" s="15"/>
      <c r="O440" s="20"/>
      <c r="P440" s="15"/>
      <c r="Q440" s="20"/>
      <c r="R440" s="15"/>
      <c r="S440" s="15"/>
      <c r="T440" s="15"/>
      <c r="U440" s="15"/>
      <c r="V440" s="17" t="str">
        <f>IF(U440="","",VLOOKUP(U440,References!C:D,2,0))</f>
        <v/>
      </c>
      <c r="W440" s="17" t="str">
        <f>IF(U440="","",VLOOKUP(U440,References!C:F,4,0))</f>
        <v/>
      </c>
      <c r="X440" s="16"/>
      <c r="Y440" s="20"/>
      <c r="Z440" s="15"/>
      <c r="AA440" s="22"/>
      <c r="AB440" s="90"/>
      <c r="AC440" s="22"/>
      <c r="AD440" s="25" t="str">
        <f t="shared" si="89"/>
        <v/>
      </c>
      <c r="AE440" s="25" t="str">
        <f t="shared" si="78"/>
        <v/>
      </c>
      <c r="AF440" s="17" t="str">
        <f t="shared" ca="1" si="79"/>
        <v/>
      </c>
      <c r="AG440" s="17" t="str">
        <f t="shared" si="80"/>
        <v/>
      </c>
      <c r="AH440" s="17" t="str">
        <f t="shared" si="81"/>
        <v/>
      </c>
      <c r="AI440" s="17" t="str">
        <f t="shared" ca="1" si="82"/>
        <v/>
      </c>
      <c r="AJ440" s="17" t="str">
        <f t="shared" ca="1" si="69"/>
        <v/>
      </c>
      <c r="AK440" s="17" t="str">
        <f t="shared" si="70"/>
        <v/>
      </c>
      <c r="AL440" s="17" t="str">
        <f t="shared" si="71"/>
        <v/>
      </c>
      <c r="AM440" s="17" t="str">
        <f t="shared" si="72"/>
        <v/>
      </c>
      <c r="AN440" s="17">
        <f t="shared" si="73"/>
        <v>0</v>
      </c>
      <c r="AO440" s="17" t="str">
        <f t="shared" ca="1" si="74"/>
        <v/>
      </c>
      <c r="AP440" s="17" t="str">
        <f t="shared" ca="1" si="75"/>
        <v/>
      </c>
      <c r="AQ440" s="17" t="str">
        <f t="shared" si="76"/>
        <v/>
      </c>
      <c r="AR440" s="17" t="str">
        <f t="shared" ca="1" si="77"/>
        <v/>
      </c>
      <c r="AS440" s="18"/>
      <c r="AT440" s="24">
        <f t="shared" si="83"/>
        <v>0</v>
      </c>
      <c r="AU440" s="24">
        <f t="shared" si="84"/>
        <v>0</v>
      </c>
      <c r="AV440" s="24">
        <f t="shared" si="85"/>
        <v>0</v>
      </c>
      <c r="AW440" s="24">
        <f t="shared" si="86"/>
        <v>0</v>
      </c>
      <c r="AX440" s="24">
        <f t="shared" si="87"/>
        <v>0</v>
      </c>
      <c r="AY440" s="24">
        <f t="shared" si="88"/>
        <v>0</v>
      </c>
      <c r="AZ440" s="18"/>
    </row>
    <row r="441" spans="1:52" x14ac:dyDescent="0.25">
      <c r="A441" s="16"/>
      <c r="B441" s="16"/>
      <c r="C441" s="65"/>
      <c r="D441" s="15"/>
      <c r="E441" s="15"/>
      <c r="F441" s="15"/>
      <c r="G441" s="16"/>
      <c r="H441" s="16"/>
      <c r="I441" s="16"/>
      <c r="J441" s="16"/>
      <c r="K441" s="86"/>
      <c r="L441" s="16"/>
      <c r="M441" s="15"/>
      <c r="N441" s="15"/>
      <c r="O441" s="20"/>
      <c r="P441" s="15"/>
      <c r="Q441" s="20"/>
      <c r="R441" s="15"/>
      <c r="S441" s="15"/>
      <c r="T441" s="15"/>
      <c r="U441" s="15"/>
      <c r="V441" s="17" t="str">
        <f>IF(U441="","",VLOOKUP(U441,References!C:D,2,0))</f>
        <v/>
      </c>
      <c r="W441" s="17" t="str">
        <f>IF(U441="","",VLOOKUP(U441,References!C:F,4,0))</f>
        <v/>
      </c>
      <c r="X441" s="16"/>
      <c r="Y441" s="20"/>
      <c r="Z441" s="15"/>
      <c r="AA441" s="22"/>
      <c r="AB441" s="90"/>
      <c r="AC441" s="22"/>
      <c r="AD441" s="25" t="str">
        <f t="shared" si="89"/>
        <v/>
      </c>
      <c r="AE441" s="25" t="str">
        <f t="shared" si="78"/>
        <v/>
      </c>
      <c r="AF441" s="17" t="str">
        <f t="shared" ca="1" si="79"/>
        <v/>
      </c>
      <c r="AG441" s="17" t="str">
        <f t="shared" si="80"/>
        <v/>
      </c>
      <c r="AH441" s="17" t="str">
        <f t="shared" si="81"/>
        <v/>
      </c>
      <c r="AI441" s="17" t="str">
        <f t="shared" ca="1" si="82"/>
        <v/>
      </c>
      <c r="AJ441" s="17" t="str">
        <f t="shared" ca="1" si="69"/>
        <v/>
      </c>
      <c r="AK441" s="17" t="str">
        <f t="shared" si="70"/>
        <v/>
      </c>
      <c r="AL441" s="17" t="str">
        <f t="shared" si="71"/>
        <v/>
      </c>
      <c r="AM441" s="17" t="str">
        <f t="shared" si="72"/>
        <v/>
      </c>
      <c r="AN441" s="17">
        <f t="shared" si="73"/>
        <v>0</v>
      </c>
      <c r="AO441" s="17" t="str">
        <f t="shared" ca="1" si="74"/>
        <v/>
      </c>
      <c r="AP441" s="17" t="str">
        <f t="shared" ca="1" si="75"/>
        <v/>
      </c>
      <c r="AQ441" s="17" t="str">
        <f t="shared" si="76"/>
        <v/>
      </c>
      <c r="AR441" s="17" t="str">
        <f t="shared" ca="1" si="77"/>
        <v/>
      </c>
      <c r="AS441" s="18"/>
      <c r="AT441" s="24">
        <f t="shared" si="83"/>
        <v>0</v>
      </c>
      <c r="AU441" s="24">
        <f t="shared" si="84"/>
        <v>0</v>
      </c>
      <c r="AV441" s="24">
        <f t="shared" si="85"/>
        <v>0</v>
      </c>
      <c r="AW441" s="24">
        <f t="shared" si="86"/>
        <v>0</v>
      </c>
      <c r="AX441" s="24">
        <f t="shared" si="87"/>
        <v>0</v>
      </c>
      <c r="AY441" s="24">
        <f t="shared" si="88"/>
        <v>0</v>
      </c>
      <c r="AZ441" s="18"/>
    </row>
    <row r="442" spans="1:52" x14ac:dyDescent="0.25">
      <c r="A442" s="16"/>
      <c r="B442" s="16"/>
      <c r="C442" s="65"/>
      <c r="D442" s="15"/>
      <c r="E442" s="15"/>
      <c r="F442" s="15"/>
      <c r="G442" s="16"/>
      <c r="H442" s="16"/>
      <c r="I442" s="16"/>
      <c r="J442" s="16"/>
      <c r="K442" s="86"/>
      <c r="L442" s="16"/>
      <c r="M442" s="15"/>
      <c r="N442" s="15"/>
      <c r="O442" s="20"/>
      <c r="P442" s="15"/>
      <c r="Q442" s="20"/>
      <c r="R442" s="15"/>
      <c r="S442" s="15"/>
      <c r="T442" s="15"/>
      <c r="U442" s="15"/>
      <c r="V442" s="17" t="str">
        <f>IF(U442="","",VLOOKUP(U442,References!C:D,2,0))</f>
        <v/>
      </c>
      <c r="W442" s="17" t="str">
        <f>IF(U442="","",VLOOKUP(U442,References!C:F,4,0))</f>
        <v/>
      </c>
      <c r="X442" s="16"/>
      <c r="Y442" s="20"/>
      <c r="Z442" s="15"/>
      <c r="AA442" s="22"/>
      <c r="AB442" s="90"/>
      <c r="AC442" s="22"/>
      <c r="AD442" s="25" t="str">
        <f t="shared" si="89"/>
        <v/>
      </c>
      <c r="AE442" s="25" t="str">
        <f t="shared" si="78"/>
        <v/>
      </c>
      <c r="AF442" s="17" t="str">
        <f t="shared" ca="1" si="79"/>
        <v/>
      </c>
      <c r="AG442" s="17" t="str">
        <f t="shared" si="80"/>
        <v/>
      </c>
      <c r="AH442" s="17" t="str">
        <f t="shared" si="81"/>
        <v/>
      </c>
      <c r="AI442" s="17" t="str">
        <f t="shared" ca="1" si="82"/>
        <v/>
      </c>
      <c r="AJ442" s="17" t="str">
        <f t="shared" ca="1" si="69"/>
        <v/>
      </c>
      <c r="AK442" s="17" t="str">
        <f t="shared" si="70"/>
        <v/>
      </c>
      <c r="AL442" s="17" t="str">
        <f t="shared" si="71"/>
        <v/>
      </c>
      <c r="AM442" s="17" t="str">
        <f t="shared" si="72"/>
        <v/>
      </c>
      <c r="AN442" s="17">
        <f t="shared" si="73"/>
        <v>0</v>
      </c>
      <c r="AO442" s="17" t="str">
        <f t="shared" ca="1" si="74"/>
        <v/>
      </c>
      <c r="AP442" s="17" t="str">
        <f t="shared" ca="1" si="75"/>
        <v/>
      </c>
      <c r="AQ442" s="17" t="str">
        <f t="shared" si="76"/>
        <v/>
      </c>
      <c r="AR442" s="17" t="str">
        <f t="shared" ca="1" si="77"/>
        <v/>
      </c>
      <c r="AS442" s="18"/>
      <c r="AT442" s="24">
        <f t="shared" si="83"/>
        <v>0</v>
      </c>
      <c r="AU442" s="24">
        <f t="shared" si="84"/>
        <v>0</v>
      </c>
      <c r="AV442" s="24">
        <f t="shared" si="85"/>
        <v>0</v>
      </c>
      <c r="AW442" s="24">
        <f t="shared" si="86"/>
        <v>0</v>
      </c>
      <c r="AX442" s="24">
        <f t="shared" si="87"/>
        <v>0</v>
      </c>
      <c r="AY442" s="24">
        <f t="shared" si="88"/>
        <v>0</v>
      </c>
      <c r="AZ442" s="18"/>
    </row>
    <row r="443" spans="1:52" x14ac:dyDescent="0.25">
      <c r="A443" s="16"/>
      <c r="B443" s="16"/>
      <c r="C443" s="65"/>
      <c r="D443" s="15"/>
      <c r="E443" s="15"/>
      <c r="F443" s="15"/>
      <c r="G443" s="16"/>
      <c r="H443" s="16"/>
      <c r="I443" s="16"/>
      <c r="J443" s="16"/>
      <c r="K443" s="86"/>
      <c r="L443" s="16"/>
      <c r="M443" s="15"/>
      <c r="N443" s="15"/>
      <c r="O443" s="20"/>
      <c r="P443" s="15"/>
      <c r="Q443" s="20"/>
      <c r="R443" s="15"/>
      <c r="S443" s="15"/>
      <c r="T443" s="15"/>
      <c r="U443" s="15"/>
      <c r="V443" s="17" t="str">
        <f>IF(U443="","",VLOOKUP(U443,References!C:D,2,0))</f>
        <v/>
      </c>
      <c r="W443" s="17" t="str">
        <f>IF(U443="","",VLOOKUP(U443,References!C:F,4,0))</f>
        <v/>
      </c>
      <c r="X443" s="16"/>
      <c r="Y443" s="20"/>
      <c r="Z443" s="15"/>
      <c r="AA443" s="22"/>
      <c r="AB443" s="90"/>
      <c r="AC443" s="22"/>
      <c r="AD443" s="25" t="str">
        <f t="shared" si="89"/>
        <v/>
      </c>
      <c r="AE443" s="25" t="str">
        <f t="shared" si="78"/>
        <v/>
      </c>
      <c r="AF443" s="17" t="str">
        <f t="shared" ca="1" si="79"/>
        <v/>
      </c>
      <c r="AG443" s="17" t="str">
        <f t="shared" si="80"/>
        <v/>
      </c>
      <c r="AH443" s="17" t="str">
        <f t="shared" si="81"/>
        <v/>
      </c>
      <c r="AI443" s="17" t="str">
        <f t="shared" ca="1" si="82"/>
        <v/>
      </c>
      <c r="AJ443" s="17" t="str">
        <f t="shared" ca="1" si="69"/>
        <v/>
      </c>
      <c r="AK443" s="17" t="str">
        <f t="shared" si="70"/>
        <v/>
      </c>
      <c r="AL443" s="17" t="str">
        <f t="shared" si="71"/>
        <v/>
      </c>
      <c r="AM443" s="17" t="str">
        <f t="shared" si="72"/>
        <v/>
      </c>
      <c r="AN443" s="17">
        <f t="shared" si="73"/>
        <v>0</v>
      </c>
      <c r="AO443" s="17" t="str">
        <f t="shared" ca="1" si="74"/>
        <v/>
      </c>
      <c r="AP443" s="17" t="str">
        <f t="shared" ca="1" si="75"/>
        <v/>
      </c>
      <c r="AQ443" s="17" t="str">
        <f t="shared" si="76"/>
        <v/>
      </c>
      <c r="AR443" s="17" t="str">
        <f t="shared" ca="1" si="77"/>
        <v/>
      </c>
      <c r="AS443" s="18"/>
      <c r="AT443" s="24">
        <f t="shared" si="83"/>
        <v>0</v>
      </c>
      <c r="AU443" s="24">
        <f t="shared" si="84"/>
        <v>0</v>
      </c>
      <c r="AV443" s="24">
        <f t="shared" si="85"/>
        <v>0</v>
      </c>
      <c r="AW443" s="24">
        <f t="shared" si="86"/>
        <v>0</v>
      </c>
      <c r="AX443" s="24">
        <f t="shared" si="87"/>
        <v>0</v>
      </c>
      <c r="AY443" s="24">
        <f t="shared" si="88"/>
        <v>0</v>
      </c>
      <c r="AZ443" s="18"/>
    </row>
    <row r="444" spans="1:52" x14ac:dyDescent="0.25">
      <c r="A444" s="16"/>
      <c r="B444" s="16"/>
      <c r="C444" s="65"/>
      <c r="D444" s="15"/>
      <c r="E444" s="15"/>
      <c r="F444" s="15"/>
      <c r="G444" s="16"/>
      <c r="H444" s="16"/>
      <c r="I444" s="16"/>
      <c r="J444" s="16"/>
      <c r="K444" s="86"/>
      <c r="L444" s="16"/>
      <c r="M444" s="15"/>
      <c r="N444" s="15"/>
      <c r="O444" s="20"/>
      <c r="P444" s="15"/>
      <c r="Q444" s="20"/>
      <c r="R444" s="15"/>
      <c r="S444" s="15"/>
      <c r="T444" s="15"/>
      <c r="U444" s="15"/>
      <c r="V444" s="17" t="str">
        <f>IF(U444="","",VLOOKUP(U444,References!C:D,2,0))</f>
        <v/>
      </c>
      <c r="W444" s="17" t="str">
        <f>IF(U444="","",VLOOKUP(U444,References!C:F,4,0))</f>
        <v/>
      </c>
      <c r="X444" s="16"/>
      <c r="Y444" s="20"/>
      <c r="Z444" s="15"/>
      <c r="AA444" s="22"/>
      <c r="AB444" s="90"/>
      <c r="AC444" s="22"/>
      <c r="AD444" s="25" t="str">
        <f t="shared" si="89"/>
        <v/>
      </c>
      <c r="AE444" s="25" t="str">
        <f t="shared" si="78"/>
        <v/>
      </c>
      <c r="AF444" s="17" t="str">
        <f t="shared" ca="1" si="79"/>
        <v/>
      </c>
      <c r="AG444" s="17" t="str">
        <f t="shared" si="80"/>
        <v/>
      </c>
      <c r="AH444" s="17" t="str">
        <f t="shared" si="81"/>
        <v/>
      </c>
      <c r="AI444" s="17" t="str">
        <f t="shared" ca="1" si="82"/>
        <v/>
      </c>
      <c r="AJ444" s="17" t="str">
        <f t="shared" ca="1" si="69"/>
        <v/>
      </c>
      <c r="AK444" s="17" t="str">
        <f t="shared" si="70"/>
        <v/>
      </c>
      <c r="AL444" s="17" t="str">
        <f t="shared" si="71"/>
        <v/>
      </c>
      <c r="AM444" s="17" t="str">
        <f t="shared" si="72"/>
        <v/>
      </c>
      <c r="AN444" s="17">
        <f t="shared" si="73"/>
        <v>0</v>
      </c>
      <c r="AO444" s="17" t="str">
        <f t="shared" ca="1" si="74"/>
        <v/>
      </c>
      <c r="AP444" s="17" t="str">
        <f t="shared" ca="1" si="75"/>
        <v/>
      </c>
      <c r="AQ444" s="17" t="str">
        <f t="shared" si="76"/>
        <v/>
      </c>
      <c r="AR444" s="17" t="str">
        <f t="shared" ca="1" si="77"/>
        <v/>
      </c>
      <c r="AS444" s="18"/>
      <c r="AT444" s="24">
        <f t="shared" si="83"/>
        <v>0</v>
      </c>
      <c r="AU444" s="24">
        <f t="shared" si="84"/>
        <v>0</v>
      </c>
      <c r="AV444" s="24">
        <f t="shared" si="85"/>
        <v>0</v>
      </c>
      <c r="AW444" s="24">
        <f t="shared" si="86"/>
        <v>0</v>
      </c>
      <c r="AX444" s="24">
        <f t="shared" si="87"/>
        <v>0</v>
      </c>
      <c r="AY444" s="24">
        <f t="shared" si="88"/>
        <v>0</v>
      </c>
      <c r="AZ444" s="18"/>
    </row>
    <row r="445" spans="1:52" x14ac:dyDescent="0.25">
      <c r="A445" s="16"/>
      <c r="B445" s="16"/>
      <c r="C445" s="65"/>
      <c r="D445" s="15"/>
      <c r="E445" s="15"/>
      <c r="F445" s="15"/>
      <c r="G445" s="16"/>
      <c r="H445" s="16"/>
      <c r="I445" s="16"/>
      <c r="J445" s="16"/>
      <c r="K445" s="86"/>
      <c r="L445" s="16"/>
      <c r="M445" s="15"/>
      <c r="N445" s="15"/>
      <c r="O445" s="20"/>
      <c r="P445" s="15"/>
      <c r="Q445" s="20"/>
      <c r="R445" s="15"/>
      <c r="S445" s="15"/>
      <c r="T445" s="15"/>
      <c r="U445" s="15"/>
      <c r="V445" s="17" t="str">
        <f>IF(U445="","",VLOOKUP(U445,References!C:D,2,0))</f>
        <v/>
      </c>
      <c r="W445" s="17" t="str">
        <f>IF(U445="","",VLOOKUP(U445,References!C:F,4,0))</f>
        <v/>
      </c>
      <c r="X445" s="16"/>
      <c r="Y445" s="20"/>
      <c r="Z445" s="15"/>
      <c r="AA445" s="22"/>
      <c r="AB445" s="90"/>
      <c r="AC445" s="22"/>
      <c r="AD445" s="25" t="str">
        <f t="shared" ref="AD445:AD496" si="90">IF(B445="","",IF(AT445=1,$AT$2,IF(AU445=1,$AU$2,IF(AV445=1,$AV$2,IF(AW445=1,$AW$2,IF(AX445=1,$AX$2,IF(AY445=1,$AY$2,"INCORRECT DATA INPUT")))))))</f>
        <v/>
      </c>
      <c r="AE445" s="25" t="str">
        <f t="shared" si="78"/>
        <v/>
      </c>
      <c r="AF445" s="17" t="str">
        <f t="shared" ca="1" si="79"/>
        <v/>
      </c>
      <c r="AG445" s="17" t="str">
        <f t="shared" si="80"/>
        <v/>
      </c>
      <c r="AH445" s="17" t="str">
        <f t="shared" si="81"/>
        <v/>
      </c>
      <c r="AI445" s="17" t="str">
        <f t="shared" ca="1" si="82"/>
        <v/>
      </c>
      <c r="AJ445" s="17" t="str">
        <f t="shared" ref="AJ445:AJ496" ca="1" si="91">IF(O445="","",IF(AA445="",TODAY()-O445,AA445-O445))</f>
        <v/>
      </c>
      <c r="AK445" s="17" t="str">
        <f t="shared" ref="AK445:AK496" si="92">IF(O445="","",IF(W445="WFM",AJ445,AJ445-1))</f>
        <v/>
      </c>
      <c r="AL445" s="17" t="str">
        <f t="shared" ref="AL445:AL496" si="93">IF(AK445&lt;0,0,AK445)</f>
        <v/>
      </c>
      <c r="AM445" s="17" t="str">
        <f t="shared" ref="AM445:AM496" si="94">IF(O445="","",IF(W445="WFM","WFM SLA",IF(AK445&gt;0,"EXCEEDED SLA","WITHIN SLA")))</f>
        <v/>
      </c>
      <c r="AN445" s="17">
        <f t="shared" ref="AN445:AN496" si="95">AC445-AA445</f>
        <v>0</v>
      </c>
      <c r="AO445" s="17" t="str">
        <f t="shared" ref="AO445:AO496" ca="1" si="96">IF(AA445="","",IF(AC445="",TODAY()-AA445-V445,AC445-AA445-V445))</f>
        <v/>
      </c>
      <c r="AP445" s="17" t="str">
        <f t="shared" ref="AP445:AP496" ca="1" si="97">IF(AO445&lt;=0,0,AO445)</f>
        <v/>
      </c>
      <c r="AQ445" s="17" t="str">
        <f t="shared" ref="AQ445:AQ496" si="98">IF(AA445="","",IF(AP445&lt;1,"WITHIN SLA","EXCEEDED SLA"))</f>
        <v/>
      </c>
      <c r="AR445" s="17" t="str">
        <f t="shared" ref="AR445:AR496" ca="1" si="99">IF(B445="","",IF(L445="DONE",AC445-J445,TODAY()-J445))</f>
        <v/>
      </c>
      <c r="AS445" s="18"/>
      <c r="AT445" s="24">
        <f t="shared" si="83"/>
        <v>0</v>
      </c>
      <c r="AU445" s="24">
        <f t="shared" si="84"/>
        <v>0</v>
      </c>
      <c r="AV445" s="24">
        <f t="shared" si="85"/>
        <v>0</v>
      </c>
      <c r="AW445" s="24">
        <f t="shared" si="86"/>
        <v>0</v>
      </c>
      <c r="AX445" s="24">
        <f t="shared" si="87"/>
        <v>0</v>
      </c>
      <c r="AY445" s="24">
        <f t="shared" si="88"/>
        <v>0</v>
      </c>
      <c r="AZ445" s="18"/>
    </row>
    <row r="446" spans="1:52" x14ac:dyDescent="0.25">
      <c r="A446" s="16"/>
      <c r="B446" s="16"/>
      <c r="C446" s="65"/>
      <c r="D446" s="15"/>
      <c r="E446" s="15"/>
      <c r="F446" s="15"/>
      <c r="G446" s="16"/>
      <c r="H446" s="16"/>
      <c r="I446" s="16"/>
      <c r="J446" s="16"/>
      <c r="K446" s="86"/>
      <c r="L446" s="16"/>
      <c r="M446" s="15"/>
      <c r="N446" s="15"/>
      <c r="O446" s="20"/>
      <c r="P446" s="15"/>
      <c r="Q446" s="20"/>
      <c r="R446" s="15"/>
      <c r="S446" s="15"/>
      <c r="T446" s="15"/>
      <c r="U446" s="15"/>
      <c r="V446" s="17" t="str">
        <f>IF(U446="","",VLOOKUP(U446,References!C:D,2,0))</f>
        <v/>
      </c>
      <c r="W446" s="17" t="str">
        <f>IF(U446="","",VLOOKUP(U446,References!C:F,4,0))</f>
        <v/>
      </c>
      <c r="X446" s="16"/>
      <c r="Y446" s="20"/>
      <c r="Z446" s="15"/>
      <c r="AA446" s="22"/>
      <c r="AB446" s="90"/>
      <c r="AC446" s="22"/>
      <c r="AD446" s="25" t="str">
        <f t="shared" si="90"/>
        <v/>
      </c>
      <c r="AE446" s="25" t="str">
        <f t="shared" si="78"/>
        <v/>
      </c>
      <c r="AF446" s="17" t="str">
        <f t="shared" ca="1" si="79"/>
        <v/>
      </c>
      <c r="AG446" s="17" t="str">
        <f t="shared" si="80"/>
        <v/>
      </c>
      <c r="AH446" s="17" t="str">
        <f t="shared" si="81"/>
        <v/>
      </c>
      <c r="AI446" s="17" t="str">
        <f t="shared" ca="1" si="82"/>
        <v/>
      </c>
      <c r="AJ446" s="17" t="str">
        <f t="shared" ca="1" si="91"/>
        <v/>
      </c>
      <c r="AK446" s="17" t="str">
        <f t="shared" si="92"/>
        <v/>
      </c>
      <c r="AL446" s="17" t="str">
        <f t="shared" si="93"/>
        <v/>
      </c>
      <c r="AM446" s="17" t="str">
        <f t="shared" si="94"/>
        <v/>
      </c>
      <c r="AN446" s="17">
        <f t="shared" si="95"/>
        <v>0</v>
      </c>
      <c r="AO446" s="17" t="str">
        <f t="shared" ca="1" si="96"/>
        <v/>
      </c>
      <c r="AP446" s="17" t="str">
        <f t="shared" ca="1" si="97"/>
        <v/>
      </c>
      <c r="AQ446" s="17" t="str">
        <f t="shared" si="98"/>
        <v/>
      </c>
      <c r="AR446" s="17" t="str">
        <f t="shared" ca="1" si="99"/>
        <v/>
      </c>
      <c r="AS446" s="18"/>
      <c r="AT446" s="24">
        <f t="shared" si="83"/>
        <v>0</v>
      </c>
      <c r="AU446" s="24">
        <f t="shared" si="84"/>
        <v>0</v>
      </c>
      <c r="AV446" s="24">
        <f t="shared" si="85"/>
        <v>0</v>
      </c>
      <c r="AW446" s="24">
        <f t="shared" si="86"/>
        <v>0</v>
      </c>
      <c r="AX446" s="24">
        <f t="shared" si="87"/>
        <v>0</v>
      </c>
      <c r="AY446" s="24">
        <f t="shared" si="88"/>
        <v>0</v>
      </c>
      <c r="AZ446" s="18"/>
    </row>
    <row r="447" spans="1:52" x14ac:dyDescent="0.25">
      <c r="A447" s="16"/>
      <c r="B447" s="16"/>
      <c r="C447" s="65"/>
      <c r="D447" s="15"/>
      <c r="E447" s="15"/>
      <c r="F447" s="15"/>
      <c r="G447" s="16"/>
      <c r="H447" s="16"/>
      <c r="I447" s="16"/>
      <c r="J447" s="16"/>
      <c r="K447" s="86"/>
      <c r="L447" s="16"/>
      <c r="M447" s="15"/>
      <c r="N447" s="15"/>
      <c r="O447" s="20"/>
      <c r="P447" s="15"/>
      <c r="Q447" s="20"/>
      <c r="R447" s="15"/>
      <c r="S447" s="15"/>
      <c r="T447" s="15"/>
      <c r="U447" s="15"/>
      <c r="V447" s="17" t="str">
        <f>IF(U447="","",VLOOKUP(U447,References!C:D,2,0))</f>
        <v/>
      </c>
      <c r="W447" s="17" t="str">
        <f>IF(U447="","",VLOOKUP(U447,References!C:F,4,0))</f>
        <v/>
      </c>
      <c r="X447" s="16"/>
      <c r="Y447" s="20"/>
      <c r="Z447" s="15"/>
      <c r="AA447" s="22"/>
      <c r="AB447" s="90"/>
      <c r="AC447" s="22"/>
      <c r="AD447" s="25" t="str">
        <f t="shared" si="90"/>
        <v/>
      </c>
      <c r="AE447" s="25" t="str">
        <f t="shared" si="78"/>
        <v/>
      </c>
      <c r="AF447" s="17" t="str">
        <f t="shared" ca="1" si="79"/>
        <v/>
      </c>
      <c r="AG447" s="17" t="str">
        <f t="shared" si="80"/>
        <v/>
      </c>
      <c r="AH447" s="17" t="str">
        <f t="shared" si="81"/>
        <v/>
      </c>
      <c r="AI447" s="17" t="str">
        <f t="shared" ca="1" si="82"/>
        <v/>
      </c>
      <c r="AJ447" s="17" t="str">
        <f t="shared" ca="1" si="91"/>
        <v/>
      </c>
      <c r="AK447" s="17" t="str">
        <f t="shared" si="92"/>
        <v/>
      </c>
      <c r="AL447" s="17" t="str">
        <f t="shared" si="93"/>
        <v/>
      </c>
      <c r="AM447" s="17" t="str">
        <f t="shared" si="94"/>
        <v/>
      </c>
      <c r="AN447" s="17">
        <f t="shared" si="95"/>
        <v>0</v>
      </c>
      <c r="AO447" s="17" t="str">
        <f t="shared" ca="1" si="96"/>
        <v/>
      </c>
      <c r="AP447" s="17" t="str">
        <f t="shared" ca="1" si="97"/>
        <v/>
      </c>
      <c r="AQ447" s="17" t="str">
        <f t="shared" si="98"/>
        <v/>
      </c>
      <c r="AR447" s="17" t="str">
        <f t="shared" ca="1" si="99"/>
        <v/>
      </c>
      <c r="AS447" s="18"/>
      <c r="AT447" s="24">
        <f t="shared" si="83"/>
        <v>0</v>
      </c>
      <c r="AU447" s="24">
        <f t="shared" si="84"/>
        <v>0</v>
      </c>
      <c r="AV447" s="24">
        <f t="shared" si="85"/>
        <v>0</v>
      </c>
      <c r="AW447" s="24">
        <f t="shared" si="86"/>
        <v>0</v>
      </c>
      <c r="AX447" s="24">
        <f t="shared" si="87"/>
        <v>0</v>
      </c>
      <c r="AY447" s="24">
        <f t="shared" si="88"/>
        <v>0</v>
      </c>
      <c r="AZ447" s="18"/>
    </row>
    <row r="448" spans="1:52" x14ac:dyDescent="0.25">
      <c r="A448" s="16"/>
      <c r="B448" s="16"/>
      <c r="C448" s="65"/>
      <c r="D448" s="15"/>
      <c r="E448" s="15"/>
      <c r="F448" s="15"/>
      <c r="G448" s="16"/>
      <c r="H448" s="16"/>
      <c r="I448" s="16"/>
      <c r="J448" s="16"/>
      <c r="K448" s="86"/>
      <c r="L448" s="16"/>
      <c r="M448" s="15"/>
      <c r="N448" s="15"/>
      <c r="O448" s="20"/>
      <c r="P448" s="15"/>
      <c r="Q448" s="20"/>
      <c r="R448" s="15"/>
      <c r="S448" s="15"/>
      <c r="T448" s="15"/>
      <c r="U448" s="15"/>
      <c r="V448" s="17" t="str">
        <f>IF(U448="","",VLOOKUP(U448,References!C:D,2,0))</f>
        <v/>
      </c>
      <c r="W448" s="17" t="str">
        <f>IF(U448="","",VLOOKUP(U448,References!C:F,4,0))</f>
        <v/>
      </c>
      <c r="X448" s="16"/>
      <c r="Y448" s="20"/>
      <c r="Z448" s="15"/>
      <c r="AA448" s="22"/>
      <c r="AB448" s="90"/>
      <c r="AC448" s="22"/>
      <c r="AD448" s="25" t="str">
        <f t="shared" si="90"/>
        <v/>
      </c>
      <c r="AE448" s="25" t="str">
        <f t="shared" si="78"/>
        <v/>
      </c>
      <c r="AF448" s="17" t="str">
        <f t="shared" ca="1" si="79"/>
        <v/>
      </c>
      <c r="AG448" s="17" t="str">
        <f t="shared" si="80"/>
        <v/>
      </c>
      <c r="AH448" s="17" t="str">
        <f t="shared" si="81"/>
        <v/>
      </c>
      <c r="AI448" s="17" t="str">
        <f t="shared" ca="1" si="82"/>
        <v/>
      </c>
      <c r="AJ448" s="17" t="str">
        <f t="shared" ca="1" si="91"/>
        <v/>
      </c>
      <c r="AK448" s="17" t="str">
        <f t="shared" si="92"/>
        <v/>
      </c>
      <c r="AL448" s="17" t="str">
        <f t="shared" si="93"/>
        <v/>
      </c>
      <c r="AM448" s="17" t="str">
        <f t="shared" si="94"/>
        <v/>
      </c>
      <c r="AN448" s="17">
        <f t="shared" si="95"/>
        <v>0</v>
      </c>
      <c r="AO448" s="17" t="str">
        <f t="shared" ca="1" si="96"/>
        <v/>
      </c>
      <c r="AP448" s="17" t="str">
        <f t="shared" ca="1" si="97"/>
        <v/>
      </c>
      <c r="AQ448" s="17" t="str">
        <f t="shared" si="98"/>
        <v/>
      </c>
      <c r="AR448" s="17" t="str">
        <f t="shared" ca="1" si="99"/>
        <v/>
      </c>
      <c r="AS448" s="18"/>
      <c r="AT448" s="24">
        <f t="shared" si="83"/>
        <v>0</v>
      </c>
      <c r="AU448" s="24">
        <f t="shared" si="84"/>
        <v>0</v>
      </c>
      <c r="AV448" s="24">
        <f t="shared" si="85"/>
        <v>0</v>
      </c>
      <c r="AW448" s="24">
        <f t="shared" si="86"/>
        <v>0</v>
      </c>
      <c r="AX448" s="24">
        <f t="shared" si="87"/>
        <v>0</v>
      </c>
      <c r="AY448" s="24">
        <f t="shared" si="88"/>
        <v>0</v>
      </c>
      <c r="AZ448" s="18"/>
    </row>
    <row r="449" spans="1:52" x14ac:dyDescent="0.25">
      <c r="A449" s="16"/>
      <c r="B449" s="16"/>
      <c r="C449" s="65"/>
      <c r="D449" s="15"/>
      <c r="E449" s="15"/>
      <c r="F449" s="15"/>
      <c r="G449" s="16"/>
      <c r="H449" s="16"/>
      <c r="I449" s="16"/>
      <c r="J449" s="16"/>
      <c r="K449" s="86"/>
      <c r="L449" s="16"/>
      <c r="M449" s="15"/>
      <c r="N449" s="15"/>
      <c r="O449" s="20"/>
      <c r="P449" s="15"/>
      <c r="Q449" s="20"/>
      <c r="R449" s="15"/>
      <c r="S449" s="15"/>
      <c r="T449" s="15"/>
      <c r="U449" s="15"/>
      <c r="V449" s="17" t="str">
        <f>IF(U449="","",VLOOKUP(U449,References!C:D,2,0))</f>
        <v/>
      </c>
      <c r="W449" s="17" t="str">
        <f>IF(U449="","",VLOOKUP(U449,References!C:F,4,0))</f>
        <v/>
      </c>
      <c r="X449" s="16"/>
      <c r="Y449" s="20"/>
      <c r="Z449" s="15"/>
      <c r="AA449" s="22"/>
      <c r="AB449" s="90"/>
      <c r="AC449" s="22"/>
      <c r="AD449" s="25" t="str">
        <f t="shared" si="90"/>
        <v/>
      </c>
      <c r="AE449" s="25" t="str">
        <f t="shared" si="78"/>
        <v/>
      </c>
      <c r="AF449" s="17" t="str">
        <f t="shared" ca="1" si="79"/>
        <v/>
      </c>
      <c r="AG449" s="17" t="str">
        <f t="shared" si="80"/>
        <v/>
      </c>
      <c r="AH449" s="17" t="str">
        <f t="shared" si="81"/>
        <v/>
      </c>
      <c r="AI449" s="17" t="str">
        <f t="shared" ca="1" si="82"/>
        <v/>
      </c>
      <c r="AJ449" s="17" t="str">
        <f t="shared" ca="1" si="91"/>
        <v/>
      </c>
      <c r="AK449" s="17" t="str">
        <f t="shared" si="92"/>
        <v/>
      </c>
      <c r="AL449" s="17" t="str">
        <f t="shared" si="93"/>
        <v/>
      </c>
      <c r="AM449" s="17" t="str">
        <f t="shared" si="94"/>
        <v/>
      </c>
      <c r="AN449" s="17">
        <f t="shared" si="95"/>
        <v>0</v>
      </c>
      <c r="AO449" s="17" t="str">
        <f t="shared" ca="1" si="96"/>
        <v/>
      </c>
      <c r="AP449" s="17" t="str">
        <f t="shared" ca="1" si="97"/>
        <v/>
      </c>
      <c r="AQ449" s="17" t="str">
        <f t="shared" si="98"/>
        <v/>
      </c>
      <c r="AR449" s="17" t="str">
        <f t="shared" ca="1" si="99"/>
        <v/>
      </c>
      <c r="AS449" s="18"/>
      <c r="AT449" s="24">
        <f t="shared" si="83"/>
        <v>0</v>
      </c>
      <c r="AU449" s="24">
        <f t="shared" si="84"/>
        <v>0</v>
      </c>
      <c r="AV449" s="24">
        <f t="shared" si="85"/>
        <v>0</v>
      </c>
      <c r="AW449" s="24">
        <f t="shared" si="86"/>
        <v>0</v>
      </c>
      <c r="AX449" s="24">
        <f t="shared" si="87"/>
        <v>0</v>
      </c>
      <c r="AY449" s="24">
        <f t="shared" si="88"/>
        <v>0</v>
      </c>
      <c r="AZ449" s="18"/>
    </row>
    <row r="450" spans="1:52" x14ac:dyDescent="0.25">
      <c r="A450" s="16"/>
      <c r="B450" s="16"/>
      <c r="C450" s="65"/>
      <c r="D450" s="15"/>
      <c r="E450" s="15"/>
      <c r="F450" s="15"/>
      <c r="G450" s="16"/>
      <c r="H450" s="16"/>
      <c r="I450" s="16"/>
      <c r="J450" s="16"/>
      <c r="K450" s="86"/>
      <c r="L450" s="16"/>
      <c r="M450" s="15"/>
      <c r="N450" s="15"/>
      <c r="O450" s="20"/>
      <c r="P450" s="15"/>
      <c r="Q450" s="20"/>
      <c r="R450" s="15"/>
      <c r="S450" s="15"/>
      <c r="T450" s="15"/>
      <c r="U450" s="15"/>
      <c r="V450" s="17" t="str">
        <f>IF(U450="","",VLOOKUP(U450,References!C:D,2,0))</f>
        <v/>
      </c>
      <c r="W450" s="17" t="str">
        <f>IF(U450="","",VLOOKUP(U450,References!C:F,4,0))</f>
        <v/>
      </c>
      <c r="X450" s="16"/>
      <c r="Y450" s="20"/>
      <c r="Z450" s="15"/>
      <c r="AA450" s="22"/>
      <c r="AB450" s="90"/>
      <c r="AC450" s="22"/>
      <c r="AD450" s="25" t="str">
        <f t="shared" si="90"/>
        <v/>
      </c>
      <c r="AE450" s="25" t="str">
        <f t="shared" si="78"/>
        <v/>
      </c>
      <c r="AF450" s="17" t="str">
        <f t="shared" ca="1" si="79"/>
        <v/>
      </c>
      <c r="AG450" s="17" t="str">
        <f t="shared" si="80"/>
        <v/>
      </c>
      <c r="AH450" s="17" t="str">
        <f t="shared" si="81"/>
        <v/>
      </c>
      <c r="AI450" s="17" t="str">
        <f t="shared" ca="1" si="82"/>
        <v/>
      </c>
      <c r="AJ450" s="17" t="str">
        <f t="shared" ca="1" si="91"/>
        <v/>
      </c>
      <c r="AK450" s="17" t="str">
        <f t="shared" si="92"/>
        <v/>
      </c>
      <c r="AL450" s="17" t="str">
        <f t="shared" si="93"/>
        <v/>
      </c>
      <c r="AM450" s="17" t="str">
        <f t="shared" si="94"/>
        <v/>
      </c>
      <c r="AN450" s="17">
        <f t="shared" si="95"/>
        <v>0</v>
      </c>
      <c r="AO450" s="17" t="str">
        <f t="shared" ca="1" si="96"/>
        <v/>
      </c>
      <c r="AP450" s="17" t="str">
        <f t="shared" ca="1" si="97"/>
        <v/>
      </c>
      <c r="AQ450" s="17" t="str">
        <f t="shared" si="98"/>
        <v/>
      </c>
      <c r="AR450" s="17" t="str">
        <f t="shared" ca="1" si="99"/>
        <v/>
      </c>
      <c r="AS450" s="18"/>
      <c r="AT450" s="24">
        <f t="shared" si="83"/>
        <v>0</v>
      </c>
      <c r="AU450" s="24">
        <f t="shared" si="84"/>
        <v>0</v>
      </c>
      <c r="AV450" s="24">
        <f t="shared" si="85"/>
        <v>0</v>
      </c>
      <c r="AW450" s="24">
        <f t="shared" si="86"/>
        <v>0</v>
      </c>
      <c r="AX450" s="24">
        <f t="shared" si="87"/>
        <v>0</v>
      </c>
      <c r="AY450" s="24">
        <f t="shared" si="88"/>
        <v>0</v>
      </c>
      <c r="AZ450" s="18"/>
    </row>
    <row r="451" spans="1:52" x14ac:dyDescent="0.25">
      <c r="A451" s="16"/>
      <c r="B451" s="16"/>
      <c r="C451" s="65"/>
      <c r="D451" s="15"/>
      <c r="E451" s="15"/>
      <c r="F451" s="15"/>
      <c r="G451" s="16"/>
      <c r="H451" s="16"/>
      <c r="I451" s="16"/>
      <c r="J451" s="16"/>
      <c r="K451" s="86"/>
      <c r="L451" s="16"/>
      <c r="M451" s="15"/>
      <c r="N451" s="15"/>
      <c r="O451" s="20"/>
      <c r="P451" s="15"/>
      <c r="Q451" s="20"/>
      <c r="R451" s="15"/>
      <c r="S451" s="15"/>
      <c r="T451" s="15"/>
      <c r="U451" s="15"/>
      <c r="V451" s="17" t="str">
        <f>IF(U451="","",VLOOKUP(U451,References!C:D,2,0))</f>
        <v/>
      </c>
      <c r="W451" s="17" t="str">
        <f>IF(U451="","",VLOOKUP(U451,References!C:F,4,0))</f>
        <v/>
      </c>
      <c r="X451" s="16"/>
      <c r="Y451" s="20"/>
      <c r="Z451" s="15"/>
      <c r="AA451" s="22"/>
      <c r="AB451" s="90"/>
      <c r="AC451" s="22"/>
      <c r="AD451" s="25" t="str">
        <f t="shared" si="90"/>
        <v/>
      </c>
      <c r="AE451" s="25" t="str">
        <f t="shared" si="78"/>
        <v/>
      </c>
      <c r="AF451" s="17" t="str">
        <f t="shared" ca="1" si="79"/>
        <v/>
      </c>
      <c r="AG451" s="17" t="str">
        <f t="shared" si="80"/>
        <v/>
      </c>
      <c r="AH451" s="17" t="str">
        <f t="shared" si="81"/>
        <v/>
      </c>
      <c r="AI451" s="17" t="str">
        <f t="shared" ca="1" si="82"/>
        <v/>
      </c>
      <c r="AJ451" s="17" t="str">
        <f t="shared" ca="1" si="91"/>
        <v/>
      </c>
      <c r="AK451" s="17" t="str">
        <f t="shared" si="92"/>
        <v/>
      </c>
      <c r="AL451" s="17" t="str">
        <f t="shared" si="93"/>
        <v/>
      </c>
      <c r="AM451" s="17" t="str">
        <f t="shared" si="94"/>
        <v/>
      </c>
      <c r="AN451" s="17">
        <f t="shared" si="95"/>
        <v>0</v>
      </c>
      <c r="AO451" s="17" t="str">
        <f t="shared" ca="1" si="96"/>
        <v/>
      </c>
      <c r="AP451" s="17" t="str">
        <f t="shared" ca="1" si="97"/>
        <v/>
      </c>
      <c r="AQ451" s="17" t="str">
        <f t="shared" si="98"/>
        <v/>
      </c>
      <c r="AR451" s="17" t="str">
        <f t="shared" ca="1" si="99"/>
        <v/>
      </c>
      <c r="AS451" s="18"/>
      <c r="AT451" s="24">
        <f t="shared" si="83"/>
        <v>0</v>
      </c>
      <c r="AU451" s="24">
        <f t="shared" si="84"/>
        <v>0</v>
      </c>
      <c r="AV451" s="24">
        <f t="shared" si="85"/>
        <v>0</v>
      </c>
      <c r="AW451" s="24">
        <f t="shared" si="86"/>
        <v>0</v>
      </c>
      <c r="AX451" s="24">
        <f t="shared" si="87"/>
        <v>0</v>
      </c>
      <c r="AY451" s="24">
        <f t="shared" si="88"/>
        <v>0</v>
      </c>
      <c r="AZ451" s="18"/>
    </row>
    <row r="452" spans="1:52" x14ac:dyDescent="0.25">
      <c r="A452" s="16"/>
      <c r="B452" s="16"/>
      <c r="C452" s="65"/>
      <c r="D452" s="15"/>
      <c r="E452" s="15"/>
      <c r="F452" s="15"/>
      <c r="G452" s="16"/>
      <c r="H452" s="16"/>
      <c r="I452" s="16"/>
      <c r="J452" s="16"/>
      <c r="K452" s="86"/>
      <c r="L452" s="16"/>
      <c r="M452" s="15"/>
      <c r="N452" s="15"/>
      <c r="O452" s="20"/>
      <c r="P452" s="15"/>
      <c r="Q452" s="20"/>
      <c r="R452" s="15"/>
      <c r="S452" s="15"/>
      <c r="T452" s="15"/>
      <c r="U452" s="15"/>
      <c r="V452" s="17" t="str">
        <f>IF(U452="","",VLOOKUP(U452,References!C:D,2,0))</f>
        <v/>
      </c>
      <c r="W452" s="17" t="str">
        <f>IF(U452="","",VLOOKUP(U452,References!C:F,4,0))</f>
        <v/>
      </c>
      <c r="X452" s="16"/>
      <c r="Y452" s="20"/>
      <c r="Z452" s="15"/>
      <c r="AA452" s="22"/>
      <c r="AB452" s="90"/>
      <c r="AC452" s="22"/>
      <c r="AD452" s="25" t="str">
        <f t="shared" si="90"/>
        <v/>
      </c>
      <c r="AE452" s="25" t="str">
        <f t="shared" ref="AE452:AE496" si="100">IF(F452="","",IF(F452="PMR",3,1))</f>
        <v/>
      </c>
      <c r="AF452" s="17" t="str">
        <f t="shared" ref="AF452:AF496" ca="1" si="101">IF(J452="","",IF(O452="",TODAY()-J452,O452-J452))</f>
        <v/>
      </c>
      <c r="AG452" s="17" t="str">
        <f t="shared" ref="AG452:AG496" si="102">IF(AE452="","",IF(AF452="","",AF452-AE452))</f>
        <v/>
      </c>
      <c r="AH452" s="17" t="str">
        <f t="shared" ref="AH452:AH496" si="103">IF(AG452&lt;0,0,AG452)</f>
        <v/>
      </c>
      <c r="AI452" s="17" t="str">
        <f t="shared" ref="AI452:AI496" ca="1" si="104">IF(AF452="","",IF(F452="","",IF(AG452&lt;1,"WITHIN SLA","EXCEEDED SLA")))</f>
        <v/>
      </c>
      <c r="AJ452" s="17" t="str">
        <f t="shared" ca="1" si="91"/>
        <v/>
      </c>
      <c r="AK452" s="17" t="str">
        <f t="shared" si="92"/>
        <v/>
      </c>
      <c r="AL452" s="17" t="str">
        <f t="shared" si="93"/>
        <v/>
      </c>
      <c r="AM452" s="17" t="str">
        <f t="shared" si="94"/>
        <v/>
      </c>
      <c r="AN452" s="17">
        <f t="shared" si="95"/>
        <v>0</v>
      </c>
      <c r="AO452" s="17" t="str">
        <f t="shared" ca="1" si="96"/>
        <v/>
      </c>
      <c r="AP452" s="17" t="str">
        <f t="shared" ca="1" si="97"/>
        <v/>
      </c>
      <c r="AQ452" s="17" t="str">
        <f t="shared" si="98"/>
        <v/>
      </c>
      <c r="AR452" s="17" t="str">
        <f t="shared" ca="1" si="99"/>
        <v/>
      </c>
      <c r="AS452" s="18"/>
      <c r="AT452" s="24">
        <f t="shared" si="83"/>
        <v>0</v>
      </c>
      <c r="AU452" s="24">
        <f t="shared" si="84"/>
        <v>0</v>
      </c>
      <c r="AV452" s="24">
        <f t="shared" si="85"/>
        <v>0</v>
      </c>
      <c r="AW452" s="24">
        <f t="shared" si="86"/>
        <v>0</v>
      </c>
      <c r="AX452" s="24">
        <f t="shared" si="87"/>
        <v>0</v>
      </c>
      <c r="AY452" s="24">
        <f t="shared" si="88"/>
        <v>0</v>
      </c>
      <c r="AZ452" s="18"/>
    </row>
    <row r="453" spans="1:52" x14ac:dyDescent="0.25">
      <c r="A453" s="16"/>
      <c r="B453" s="16"/>
      <c r="C453" s="65"/>
      <c r="D453" s="15"/>
      <c r="E453" s="15"/>
      <c r="F453" s="15"/>
      <c r="G453" s="16"/>
      <c r="H453" s="16"/>
      <c r="I453" s="16"/>
      <c r="J453" s="16"/>
      <c r="K453" s="86"/>
      <c r="L453" s="16"/>
      <c r="M453" s="15"/>
      <c r="N453" s="15"/>
      <c r="O453" s="20"/>
      <c r="P453" s="15"/>
      <c r="Q453" s="20"/>
      <c r="R453" s="15"/>
      <c r="S453" s="15"/>
      <c r="T453" s="15"/>
      <c r="U453" s="15"/>
      <c r="V453" s="17" t="str">
        <f>IF(U453="","",VLOOKUP(U453,References!C:D,2,0))</f>
        <v/>
      </c>
      <c r="W453" s="17" t="str">
        <f>IF(U453="","",VLOOKUP(U453,References!C:F,4,0))</f>
        <v/>
      </c>
      <c r="X453" s="16"/>
      <c r="Y453" s="20"/>
      <c r="Z453" s="15"/>
      <c r="AA453" s="22"/>
      <c r="AB453" s="90"/>
      <c r="AC453" s="22"/>
      <c r="AD453" s="25" t="str">
        <f t="shared" si="90"/>
        <v/>
      </c>
      <c r="AE453" s="25" t="str">
        <f t="shared" si="100"/>
        <v/>
      </c>
      <c r="AF453" s="17" t="str">
        <f t="shared" ca="1" si="101"/>
        <v/>
      </c>
      <c r="AG453" s="17" t="str">
        <f t="shared" si="102"/>
        <v/>
      </c>
      <c r="AH453" s="17" t="str">
        <f t="shared" si="103"/>
        <v/>
      </c>
      <c r="AI453" s="17" t="str">
        <f t="shared" ca="1" si="104"/>
        <v/>
      </c>
      <c r="AJ453" s="17" t="str">
        <f t="shared" ca="1" si="91"/>
        <v/>
      </c>
      <c r="AK453" s="17" t="str">
        <f t="shared" si="92"/>
        <v/>
      </c>
      <c r="AL453" s="17" t="str">
        <f t="shared" si="93"/>
        <v/>
      </c>
      <c r="AM453" s="17" t="str">
        <f t="shared" si="94"/>
        <v/>
      </c>
      <c r="AN453" s="17">
        <f t="shared" si="95"/>
        <v>0</v>
      </c>
      <c r="AO453" s="17" t="str">
        <f t="shared" ca="1" si="96"/>
        <v/>
      </c>
      <c r="AP453" s="17" t="str">
        <f t="shared" ca="1" si="97"/>
        <v/>
      </c>
      <c r="AQ453" s="17" t="str">
        <f t="shared" si="98"/>
        <v/>
      </c>
      <c r="AR453" s="17" t="str">
        <f t="shared" ca="1" si="99"/>
        <v/>
      </c>
      <c r="AS453" s="18"/>
      <c r="AT453" s="24">
        <f t="shared" si="83"/>
        <v>0</v>
      </c>
      <c r="AU453" s="24">
        <f t="shared" si="84"/>
        <v>0</v>
      </c>
      <c r="AV453" s="24">
        <f t="shared" si="85"/>
        <v>0</v>
      </c>
      <c r="AW453" s="24">
        <f t="shared" si="86"/>
        <v>0</v>
      </c>
      <c r="AX453" s="24">
        <f t="shared" si="87"/>
        <v>0</v>
      </c>
      <c r="AY453" s="24">
        <f t="shared" si="88"/>
        <v>0</v>
      </c>
      <c r="AZ453" s="18"/>
    </row>
    <row r="454" spans="1:52" x14ac:dyDescent="0.25">
      <c r="A454" s="16"/>
      <c r="B454" s="16"/>
      <c r="C454" s="65"/>
      <c r="D454" s="15"/>
      <c r="E454" s="15"/>
      <c r="F454" s="15"/>
      <c r="G454" s="16"/>
      <c r="H454" s="16"/>
      <c r="I454" s="16"/>
      <c r="J454" s="16"/>
      <c r="K454" s="86"/>
      <c r="L454" s="16"/>
      <c r="M454" s="15"/>
      <c r="N454" s="15"/>
      <c r="O454" s="20"/>
      <c r="P454" s="15"/>
      <c r="Q454" s="20"/>
      <c r="R454" s="15"/>
      <c r="S454" s="15"/>
      <c r="T454" s="15"/>
      <c r="U454" s="15"/>
      <c r="V454" s="17" t="str">
        <f>IF(U454="","",VLOOKUP(U454,References!C:D,2,0))</f>
        <v/>
      </c>
      <c r="W454" s="17" t="str">
        <f>IF(U454="","",VLOOKUP(U454,References!C:F,4,0))</f>
        <v/>
      </c>
      <c r="X454" s="16"/>
      <c r="Y454" s="20"/>
      <c r="Z454" s="15"/>
      <c r="AA454" s="22"/>
      <c r="AB454" s="90"/>
      <c r="AC454" s="22"/>
      <c r="AD454" s="25" t="str">
        <f t="shared" si="90"/>
        <v/>
      </c>
      <c r="AE454" s="25" t="str">
        <f t="shared" si="100"/>
        <v/>
      </c>
      <c r="AF454" s="17" t="str">
        <f t="shared" ca="1" si="101"/>
        <v/>
      </c>
      <c r="AG454" s="17" t="str">
        <f t="shared" si="102"/>
        <v/>
      </c>
      <c r="AH454" s="17" t="str">
        <f t="shared" si="103"/>
        <v/>
      </c>
      <c r="AI454" s="17" t="str">
        <f t="shared" ca="1" si="104"/>
        <v/>
      </c>
      <c r="AJ454" s="17" t="str">
        <f t="shared" ca="1" si="91"/>
        <v/>
      </c>
      <c r="AK454" s="17" t="str">
        <f t="shared" si="92"/>
        <v/>
      </c>
      <c r="AL454" s="17" t="str">
        <f t="shared" si="93"/>
        <v/>
      </c>
      <c r="AM454" s="17" t="str">
        <f t="shared" si="94"/>
        <v/>
      </c>
      <c r="AN454" s="17">
        <f t="shared" si="95"/>
        <v>0</v>
      </c>
      <c r="AO454" s="17" t="str">
        <f t="shared" ca="1" si="96"/>
        <v/>
      </c>
      <c r="AP454" s="17" t="str">
        <f t="shared" ca="1" si="97"/>
        <v/>
      </c>
      <c r="AQ454" s="17" t="str">
        <f t="shared" si="98"/>
        <v/>
      </c>
      <c r="AR454" s="17" t="str">
        <f t="shared" ca="1" si="99"/>
        <v/>
      </c>
      <c r="AS454" s="18"/>
      <c r="AT454" s="24">
        <f t="shared" si="83"/>
        <v>0</v>
      </c>
      <c r="AU454" s="24">
        <f t="shared" si="84"/>
        <v>0</v>
      </c>
      <c r="AV454" s="24">
        <f t="shared" si="85"/>
        <v>0</v>
      </c>
      <c r="AW454" s="24">
        <f t="shared" si="86"/>
        <v>0</v>
      </c>
      <c r="AX454" s="24">
        <f t="shared" si="87"/>
        <v>0</v>
      </c>
      <c r="AY454" s="24">
        <f t="shared" si="88"/>
        <v>0</v>
      </c>
      <c r="AZ454" s="18"/>
    </row>
    <row r="455" spans="1:52" x14ac:dyDescent="0.25">
      <c r="A455" s="16"/>
      <c r="B455" s="16"/>
      <c r="C455" s="65"/>
      <c r="D455" s="15"/>
      <c r="E455" s="15"/>
      <c r="F455" s="15"/>
      <c r="G455" s="16"/>
      <c r="H455" s="16"/>
      <c r="I455" s="16"/>
      <c r="J455" s="16"/>
      <c r="K455" s="86"/>
      <c r="L455" s="16"/>
      <c r="M455" s="15"/>
      <c r="N455" s="15"/>
      <c r="O455" s="20"/>
      <c r="P455" s="15"/>
      <c r="Q455" s="20"/>
      <c r="R455" s="15"/>
      <c r="S455" s="15"/>
      <c r="T455" s="15"/>
      <c r="U455" s="15"/>
      <c r="V455" s="17" t="str">
        <f>IF(U455="","",VLOOKUP(U455,References!C:D,2,0))</f>
        <v/>
      </c>
      <c r="W455" s="17" t="str">
        <f>IF(U455="","",VLOOKUP(U455,References!C:F,4,0))</f>
        <v/>
      </c>
      <c r="X455" s="16"/>
      <c r="Y455" s="20"/>
      <c r="Z455" s="15"/>
      <c r="AA455" s="22"/>
      <c r="AB455" s="90"/>
      <c r="AC455" s="22"/>
      <c r="AD455" s="25" t="str">
        <f t="shared" si="90"/>
        <v/>
      </c>
      <c r="AE455" s="25" t="str">
        <f t="shared" si="100"/>
        <v/>
      </c>
      <c r="AF455" s="17" t="str">
        <f t="shared" ca="1" si="101"/>
        <v/>
      </c>
      <c r="AG455" s="17" t="str">
        <f t="shared" si="102"/>
        <v/>
      </c>
      <c r="AH455" s="17" t="str">
        <f t="shared" si="103"/>
        <v/>
      </c>
      <c r="AI455" s="17" t="str">
        <f t="shared" ca="1" si="104"/>
        <v/>
      </c>
      <c r="AJ455" s="17" t="str">
        <f t="shared" ca="1" si="91"/>
        <v/>
      </c>
      <c r="AK455" s="17" t="str">
        <f t="shared" si="92"/>
        <v/>
      </c>
      <c r="AL455" s="17" t="str">
        <f t="shared" si="93"/>
        <v/>
      </c>
      <c r="AM455" s="17" t="str">
        <f t="shared" si="94"/>
        <v/>
      </c>
      <c r="AN455" s="17">
        <f t="shared" si="95"/>
        <v>0</v>
      </c>
      <c r="AO455" s="17" t="str">
        <f t="shared" ca="1" si="96"/>
        <v/>
      </c>
      <c r="AP455" s="17" t="str">
        <f t="shared" ca="1" si="97"/>
        <v/>
      </c>
      <c r="AQ455" s="17" t="str">
        <f t="shared" si="98"/>
        <v/>
      </c>
      <c r="AR455" s="17" t="str">
        <f t="shared" ca="1" si="99"/>
        <v/>
      </c>
      <c r="AS455" s="18"/>
      <c r="AT455" s="24">
        <f t="shared" si="83"/>
        <v>0</v>
      </c>
      <c r="AU455" s="24">
        <f t="shared" si="84"/>
        <v>0</v>
      </c>
      <c r="AV455" s="24">
        <f t="shared" si="85"/>
        <v>0</v>
      </c>
      <c r="AW455" s="24">
        <f t="shared" si="86"/>
        <v>0</v>
      </c>
      <c r="AX455" s="24">
        <f t="shared" si="87"/>
        <v>0</v>
      </c>
      <c r="AY455" s="24">
        <f t="shared" si="88"/>
        <v>0</v>
      </c>
      <c r="AZ455" s="18"/>
    </row>
    <row r="456" spans="1:52" x14ac:dyDescent="0.25">
      <c r="A456" s="16"/>
      <c r="B456" s="16"/>
      <c r="C456" s="65"/>
      <c r="D456" s="15"/>
      <c r="E456" s="15"/>
      <c r="F456" s="15"/>
      <c r="G456" s="16"/>
      <c r="H456" s="16"/>
      <c r="I456" s="16"/>
      <c r="J456" s="16"/>
      <c r="K456" s="86"/>
      <c r="L456" s="16"/>
      <c r="M456" s="15"/>
      <c r="N456" s="15"/>
      <c r="O456" s="20"/>
      <c r="P456" s="15"/>
      <c r="Q456" s="20"/>
      <c r="R456" s="15"/>
      <c r="S456" s="15"/>
      <c r="T456" s="15"/>
      <c r="U456" s="15"/>
      <c r="V456" s="17" t="str">
        <f>IF(U456="","",VLOOKUP(U456,References!C:D,2,0))</f>
        <v/>
      </c>
      <c r="W456" s="17" t="str">
        <f>IF(U456="","",VLOOKUP(U456,References!C:F,4,0))</f>
        <v/>
      </c>
      <c r="X456" s="16"/>
      <c r="Y456" s="20"/>
      <c r="Z456" s="15"/>
      <c r="AA456" s="22"/>
      <c r="AB456" s="90"/>
      <c r="AC456" s="22"/>
      <c r="AD456" s="25" t="str">
        <f t="shared" si="90"/>
        <v/>
      </c>
      <c r="AE456" s="25" t="str">
        <f t="shared" si="100"/>
        <v/>
      </c>
      <c r="AF456" s="17" t="str">
        <f t="shared" ca="1" si="101"/>
        <v/>
      </c>
      <c r="AG456" s="17" t="str">
        <f t="shared" si="102"/>
        <v/>
      </c>
      <c r="AH456" s="17" t="str">
        <f t="shared" si="103"/>
        <v/>
      </c>
      <c r="AI456" s="17" t="str">
        <f t="shared" ca="1" si="104"/>
        <v/>
      </c>
      <c r="AJ456" s="17" t="str">
        <f t="shared" ca="1" si="91"/>
        <v/>
      </c>
      <c r="AK456" s="17" t="str">
        <f t="shared" si="92"/>
        <v/>
      </c>
      <c r="AL456" s="17" t="str">
        <f t="shared" si="93"/>
        <v/>
      </c>
      <c r="AM456" s="17" t="str">
        <f t="shared" si="94"/>
        <v/>
      </c>
      <c r="AN456" s="17">
        <f t="shared" si="95"/>
        <v>0</v>
      </c>
      <c r="AO456" s="17" t="str">
        <f t="shared" ca="1" si="96"/>
        <v/>
      </c>
      <c r="AP456" s="17" t="str">
        <f t="shared" ca="1" si="97"/>
        <v/>
      </c>
      <c r="AQ456" s="17" t="str">
        <f t="shared" si="98"/>
        <v/>
      </c>
      <c r="AR456" s="17" t="str">
        <f t="shared" ca="1" si="99"/>
        <v/>
      </c>
      <c r="AS456" s="18"/>
      <c r="AT456" s="24">
        <f t="shared" ref="AT456:AT496" si="105">IF(AND(L456="DONE",AC456&gt;0,AQ456="WITHIN SLA"),1,0)</f>
        <v>0</v>
      </c>
      <c r="AU456" s="24">
        <f t="shared" ref="AU456:AU496" si="106">IF(AND(L456="DONE",AC456&gt;0,AQ456="EXCEEDED SLA"),1,0)</f>
        <v>0</v>
      </c>
      <c r="AV456" s="24">
        <f t="shared" ref="AV456:AV496" si="107">IF(AND(L456="PENDING",M456="AWAITING FROM CSMP"),1,0)</f>
        <v>0</v>
      </c>
      <c r="AW456" s="24">
        <f t="shared" ref="AW456:AW496" si="108">IF(AND(L456="PENDING",M456="WATO ON-HAND",O456&gt;0,W456="WATO",AA456=0),1,0)</f>
        <v>0</v>
      </c>
      <c r="AX456" s="24">
        <f t="shared" ref="AX456:AX496" si="109">IF(AND(L456="PENDING",M456="SUBMITTED TO WFM",O456&gt;0,W456="WFM",AA456=0),1,0)</f>
        <v>0</v>
      </c>
      <c r="AY456" s="24">
        <f t="shared" ref="AY456:AY496" si="110">IF(AND(L456="PENDING",AA456&gt;0),1,0)</f>
        <v>0</v>
      </c>
      <c r="AZ456" s="18"/>
    </row>
    <row r="457" spans="1:52" x14ac:dyDescent="0.25">
      <c r="A457" s="16"/>
      <c r="B457" s="16"/>
      <c r="C457" s="65"/>
      <c r="D457" s="15"/>
      <c r="E457" s="15"/>
      <c r="F457" s="15"/>
      <c r="G457" s="16"/>
      <c r="H457" s="16"/>
      <c r="I457" s="16"/>
      <c r="J457" s="16"/>
      <c r="K457" s="86"/>
      <c r="L457" s="16"/>
      <c r="M457" s="15"/>
      <c r="N457" s="15"/>
      <c r="O457" s="20"/>
      <c r="P457" s="15"/>
      <c r="Q457" s="20"/>
      <c r="R457" s="15"/>
      <c r="S457" s="15"/>
      <c r="T457" s="15"/>
      <c r="U457" s="15"/>
      <c r="V457" s="17" t="str">
        <f>IF(U457="","",VLOOKUP(U457,References!C:D,2,0))</f>
        <v/>
      </c>
      <c r="W457" s="17" t="str">
        <f>IF(U457="","",VLOOKUP(U457,References!C:F,4,0))</f>
        <v/>
      </c>
      <c r="X457" s="16"/>
      <c r="Y457" s="20"/>
      <c r="Z457" s="15"/>
      <c r="AA457" s="22"/>
      <c r="AB457" s="90"/>
      <c r="AC457" s="22"/>
      <c r="AD457" s="25" t="str">
        <f t="shared" si="90"/>
        <v/>
      </c>
      <c r="AE457" s="25" t="str">
        <f t="shared" si="100"/>
        <v/>
      </c>
      <c r="AF457" s="17" t="str">
        <f t="shared" ca="1" si="101"/>
        <v/>
      </c>
      <c r="AG457" s="17" t="str">
        <f t="shared" si="102"/>
        <v/>
      </c>
      <c r="AH457" s="17" t="str">
        <f t="shared" si="103"/>
        <v/>
      </c>
      <c r="AI457" s="17" t="str">
        <f t="shared" ca="1" si="104"/>
        <v/>
      </c>
      <c r="AJ457" s="17" t="str">
        <f t="shared" ca="1" si="91"/>
        <v/>
      </c>
      <c r="AK457" s="17" t="str">
        <f t="shared" si="92"/>
        <v/>
      </c>
      <c r="AL457" s="17" t="str">
        <f t="shared" si="93"/>
        <v/>
      </c>
      <c r="AM457" s="17" t="str">
        <f t="shared" si="94"/>
        <v/>
      </c>
      <c r="AN457" s="17">
        <f t="shared" si="95"/>
        <v>0</v>
      </c>
      <c r="AO457" s="17" t="str">
        <f t="shared" ca="1" si="96"/>
        <v/>
      </c>
      <c r="AP457" s="17" t="str">
        <f t="shared" ca="1" si="97"/>
        <v/>
      </c>
      <c r="AQ457" s="17" t="str">
        <f t="shared" si="98"/>
        <v/>
      </c>
      <c r="AR457" s="17" t="str">
        <f t="shared" ca="1" si="99"/>
        <v/>
      </c>
      <c r="AS457" s="18"/>
      <c r="AT457" s="24">
        <f t="shared" si="105"/>
        <v>0</v>
      </c>
      <c r="AU457" s="24">
        <f t="shared" si="106"/>
        <v>0</v>
      </c>
      <c r="AV457" s="24">
        <f t="shared" si="107"/>
        <v>0</v>
      </c>
      <c r="AW457" s="24">
        <f t="shared" si="108"/>
        <v>0</v>
      </c>
      <c r="AX457" s="24">
        <f t="shared" si="109"/>
        <v>0</v>
      </c>
      <c r="AY457" s="24">
        <f t="shared" si="110"/>
        <v>0</v>
      </c>
      <c r="AZ457" s="18"/>
    </row>
    <row r="458" spans="1:52" x14ac:dyDescent="0.25">
      <c r="A458" s="16"/>
      <c r="B458" s="16"/>
      <c r="C458" s="65"/>
      <c r="D458" s="15"/>
      <c r="E458" s="15"/>
      <c r="F458" s="15"/>
      <c r="G458" s="16"/>
      <c r="H458" s="16"/>
      <c r="I458" s="16"/>
      <c r="J458" s="16"/>
      <c r="K458" s="86"/>
      <c r="L458" s="16"/>
      <c r="M458" s="15"/>
      <c r="N458" s="15"/>
      <c r="O458" s="20"/>
      <c r="P458" s="15"/>
      <c r="Q458" s="20"/>
      <c r="R458" s="15"/>
      <c r="S458" s="15"/>
      <c r="T458" s="15"/>
      <c r="U458" s="15"/>
      <c r="V458" s="17" t="str">
        <f>IF(U458="","",VLOOKUP(U458,References!C:D,2,0))</f>
        <v/>
      </c>
      <c r="W458" s="17" t="str">
        <f>IF(U458="","",VLOOKUP(U458,References!C:F,4,0))</f>
        <v/>
      </c>
      <c r="X458" s="16"/>
      <c r="Y458" s="20"/>
      <c r="Z458" s="15"/>
      <c r="AA458" s="22"/>
      <c r="AB458" s="90"/>
      <c r="AC458" s="22"/>
      <c r="AD458" s="25" t="str">
        <f t="shared" si="90"/>
        <v/>
      </c>
      <c r="AE458" s="25" t="str">
        <f t="shared" si="100"/>
        <v/>
      </c>
      <c r="AF458" s="17" t="str">
        <f t="shared" ca="1" si="101"/>
        <v/>
      </c>
      <c r="AG458" s="17" t="str">
        <f t="shared" si="102"/>
        <v/>
      </c>
      <c r="AH458" s="17" t="str">
        <f t="shared" si="103"/>
        <v/>
      </c>
      <c r="AI458" s="17" t="str">
        <f t="shared" ca="1" si="104"/>
        <v/>
      </c>
      <c r="AJ458" s="17" t="str">
        <f t="shared" ca="1" si="91"/>
        <v/>
      </c>
      <c r="AK458" s="17" t="str">
        <f t="shared" si="92"/>
        <v/>
      </c>
      <c r="AL458" s="17" t="str">
        <f t="shared" si="93"/>
        <v/>
      </c>
      <c r="AM458" s="17" t="str">
        <f t="shared" si="94"/>
        <v/>
      </c>
      <c r="AN458" s="17">
        <f t="shared" si="95"/>
        <v>0</v>
      </c>
      <c r="AO458" s="17" t="str">
        <f t="shared" ca="1" si="96"/>
        <v/>
      </c>
      <c r="AP458" s="17" t="str">
        <f t="shared" ca="1" si="97"/>
        <v/>
      </c>
      <c r="AQ458" s="17" t="str">
        <f t="shared" si="98"/>
        <v/>
      </c>
      <c r="AR458" s="17" t="str">
        <f t="shared" ca="1" si="99"/>
        <v/>
      </c>
      <c r="AS458" s="18"/>
      <c r="AT458" s="24">
        <f t="shared" si="105"/>
        <v>0</v>
      </c>
      <c r="AU458" s="24">
        <f t="shared" si="106"/>
        <v>0</v>
      </c>
      <c r="AV458" s="24">
        <f t="shared" si="107"/>
        <v>0</v>
      </c>
      <c r="AW458" s="24">
        <f t="shared" si="108"/>
        <v>0</v>
      </c>
      <c r="AX458" s="24">
        <f t="shared" si="109"/>
        <v>0</v>
      </c>
      <c r="AY458" s="24">
        <f t="shared" si="110"/>
        <v>0</v>
      </c>
      <c r="AZ458" s="18"/>
    </row>
    <row r="459" spans="1:52" x14ac:dyDescent="0.25">
      <c r="A459" s="16"/>
      <c r="B459" s="16"/>
      <c r="C459" s="65"/>
      <c r="D459" s="15"/>
      <c r="E459" s="15"/>
      <c r="F459" s="15"/>
      <c r="G459" s="16"/>
      <c r="H459" s="16"/>
      <c r="I459" s="16"/>
      <c r="J459" s="16"/>
      <c r="K459" s="86"/>
      <c r="L459" s="16"/>
      <c r="M459" s="15"/>
      <c r="N459" s="15"/>
      <c r="O459" s="20"/>
      <c r="P459" s="15"/>
      <c r="Q459" s="20"/>
      <c r="R459" s="15"/>
      <c r="S459" s="15"/>
      <c r="T459" s="15"/>
      <c r="U459" s="15"/>
      <c r="V459" s="17" t="str">
        <f>IF(U459="","",VLOOKUP(U459,References!C:D,2,0))</f>
        <v/>
      </c>
      <c r="W459" s="17" t="str">
        <f>IF(U459="","",VLOOKUP(U459,References!C:F,4,0))</f>
        <v/>
      </c>
      <c r="X459" s="16"/>
      <c r="Y459" s="20"/>
      <c r="Z459" s="15"/>
      <c r="AA459" s="22"/>
      <c r="AB459" s="90"/>
      <c r="AC459" s="22"/>
      <c r="AD459" s="25" t="str">
        <f t="shared" si="90"/>
        <v/>
      </c>
      <c r="AE459" s="25" t="str">
        <f t="shared" si="100"/>
        <v/>
      </c>
      <c r="AF459" s="17" t="str">
        <f t="shared" ca="1" si="101"/>
        <v/>
      </c>
      <c r="AG459" s="17" t="str">
        <f t="shared" si="102"/>
        <v/>
      </c>
      <c r="AH459" s="17" t="str">
        <f t="shared" si="103"/>
        <v/>
      </c>
      <c r="AI459" s="17" t="str">
        <f t="shared" ca="1" si="104"/>
        <v/>
      </c>
      <c r="AJ459" s="17" t="str">
        <f t="shared" ca="1" si="91"/>
        <v/>
      </c>
      <c r="AK459" s="17" t="str">
        <f t="shared" si="92"/>
        <v/>
      </c>
      <c r="AL459" s="17" t="str">
        <f t="shared" si="93"/>
        <v/>
      </c>
      <c r="AM459" s="17" t="str">
        <f t="shared" si="94"/>
        <v/>
      </c>
      <c r="AN459" s="17">
        <f t="shared" si="95"/>
        <v>0</v>
      </c>
      <c r="AO459" s="17" t="str">
        <f t="shared" ca="1" si="96"/>
        <v/>
      </c>
      <c r="AP459" s="17" t="str">
        <f t="shared" ca="1" si="97"/>
        <v/>
      </c>
      <c r="AQ459" s="17" t="str">
        <f t="shared" si="98"/>
        <v/>
      </c>
      <c r="AR459" s="17" t="str">
        <f t="shared" ca="1" si="99"/>
        <v/>
      </c>
      <c r="AS459" s="18"/>
      <c r="AT459" s="24">
        <f t="shared" si="105"/>
        <v>0</v>
      </c>
      <c r="AU459" s="24">
        <f t="shared" si="106"/>
        <v>0</v>
      </c>
      <c r="AV459" s="24">
        <f t="shared" si="107"/>
        <v>0</v>
      </c>
      <c r="AW459" s="24">
        <f t="shared" si="108"/>
        <v>0</v>
      </c>
      <c r="AX459" s="24">
        <f t="shared" si="109"/>
        <v>0</v>
      </c>
      <c r="AY459" s="24">
        <f t="shared" si="110"/>
        <v>0</v>
      </c>
      <c r="AZ459" s="18"/>
    </row>
    <row r="460" spans="1:52" x14ac:dyDescent="0.25">
      <c r="A460" s="16"/>
      <c r="B460" s="16"/>
      <c r="C460" s="65"/>
      <c r="D460" s="15"/>
      <c r="E460" s="15"/>
      <c r="F460" s="15"/>
      <c r="G460" s="16"/>
      <c r="H460" s="16"/>
      <c r="I460" s="16"/>
      <c r="J460" s="16"/>
      <c r="K460" s="86"/>
      <c r="L460" s="16"/>
      <c r="M460" s="15"/>
      <c r="N460" s="15"/>
      <c r="O460" s="20"/>
      <c r="P460" s="15"/>
      <c r="Q460" s="20"/>
      <c r="R460" s="15"/>
      <c r="S460" s="15"/>
      <c r="T460" s="15"/>
      <c r="U460" s="15"/>
      <c r="V460" s="17" t="str">
        <f>IF(U460="","",VLOOKUP(U460,References!C:D,2,0))</f>
        <v/>
      </c>
      <c r="W460" s="17" t="str">
        <f>IF(U460="","",VLOOKUP(U460,References!C:F,4,0))</f>
        <v/>
      </c>
      <c r="X460" s="16"/>
      <c r="Y460" s="20"/>
      <c r="Z460" s="15"/>
      <c r="AA460" s="22"/>
      <c r="AB460" s="90"/>
      <c r="AC460" s="22"/>
      <c r="AD460" s="25" t="str">
        <f t="shared" si="90"/>
        <v/>
      </c>
      <c r="AE460" s="25" t="str">
        <f t="shared" si="100"/>
        <v/>
      </c>
      <c r="AF460" s="17" t="str">
        <f t="shared" ca="1" si="101"/>
        <v/>
      </c>
      <c r="AG460" s="17" t="str">
        <f t="shared" si="102"/>
        <v/>
      </c>
      <c r="AH460" s="17" t="str">
        <f t="shared" si="103"/>
        <v/>
      </c>
      <c r="AI460" s="17" t="str">
        <f t="shared" ca="1" si="104"/>
        <v/>
      </c>
      <c r="AJ460" s="17" t="str">
        <f t="shared" ca="1" si="91"/>
        <v/>
      </c>
      <c r="AK460" s="17" t="str">
        <f t="shared" si="92"/>
        <v/>
      </c>
      <c r="AL460" s="17" t="str">
        <f t="shared" si="93"/>
        <v/>
      </c>
      <c r="AM460" s="17" t="str">
        <f t="shared" si="94"/>
        <v/>
      </c>
      <c r="AN460" s="17">
        <f t="shared" si="95"/>
        <v>0</v>
      </c>
      <c r="AO460" s="17" t="str">
        <f t="shared" ca="1" si="96"/>
        <v/>
      </c>
      <c r="AP460" s="17" t="str">
        <f t="shared" ca="1" si="97"/>
        <v/>
      </c>
      <c r="AQ460" s="17" t="str">
        <f t="shared" si="98"/>
        <v/>
      </c>
      <c r="AR460" s="17" t="str">
        <f t="shared" ca="1" si="99"/>
        <v/>
      </c>
      <c r="AS460" s="18"/>
      <c r="AT460" s="24">
        <f t="shared" si="105"/>
        <v>0</v>
      </c>
      <c r="AU460" s="24">
        <f t="shared" si="106"/>
        <v>0</v>
      </c>
      <c r="AV460" s="24">
        <f t="shared" si="107"/>
        <v>0</v>
      </c>
      <c r="AW460" s="24">
        <f t="shared" si="108"/>
        <v>0</v>
      </c>
      <c r="AX460" s="24">
        <f t="shared" si="109"/>
        <v>0</v>
      </c>
      <c r="AY460" s="24">
        <f t="shared" si="110"/>
        <v>0</v>
      </c>
      <c r="AZ460" s="18"/>
    </row>
    <row r="461" spans="1:52" x14ac:dyDescent="0.25">
      <c r="A461" s="16"/>
      <c r="B461" s="16"/>
      <c r="C461" s="65"/>
      <c r="D461" s="15"/>
      <c r="E461" s="15"/>
      <c r="F461" s="15"/>
      <c r="G461" s="16"/>
      <c r="H461" s="16"/>
      <c r="I461" s="16"/>
      <c r="J461" s="16"/>
      <c r="K461" s="86"/>
      <c r="L461" s="16"/>
      <c r="M461" s="15"/>
      <c r="N461" s="15"/>
      <c r="O461" s="20"/>
      <c r="P461" s="15"/>
      <c r="Q461" s="20"/>
      <c r="R461" s="15"/>
      <c r="S461" s="15"/>
      <c r="T461" s="15"/>
      <c r="U461" s="15"/>
      <c r="V461" s="17" t="str">
        <f>IF(U461="","",VLOOKUP(U461,References!C:D,2,0))</f>
        <v/>
      </c>
      <c r="W461" s="17" t="str">
        <f>IF(U461="","",VLOOKUP(U461,References!C:F,4,0))</f>
        <v/>
      </c>
      <c r="X461" s="16"/>
      <c r="Y461" s="20"/>
      <c r="Z461" s="15"/>
      <c r="AA461" s="22"/>
      <c r="AB461" s="90"/>
      <c r="AC461" s="22"/>
      <c r="AD461" s="25" t="str">
        <f t="shared" si="90"/>
        <v/>
      </c>
      <c r="AE461" s="25" t="str">
        <f t="shared" si="100"/>
        <v/>
      </c>
      <c r="AF461" s="17" t="str">
        <f t="shared" ca="1" si="101"/>
        <v/>
      </c>
      <c r="AG461" s="17" t="str">
        <f t="shared" si="102"/>
        <v/>
      </c>
      <c r="AH461" s="17" t="str">
        <f t="shared" si="103"/>
        <v/>
      </c>
      <c r="AI461" s="17" t="str">
        <f t="shared" ca="1" si="104"/>
        <v/>
      </c>
      <c r="AJ461" s="17" t="str">
        <f t="shared" ca="1" si="91"/>
        <v/>
      </c>
      <c r="AK461" s="17" t="str">
        <f t="shared" si="92"/>
        <v/>
      </c>
      <c r="AL461" s="17" t="str">
        <f t="shared" si="93"/>
        <v/>
      </c>
      <c r="AM461" s="17" t="str">
        <f t="shared" si="94"/>
        <v/>
      </c>
      <c r="AN461" s="17">
        <f t="shared" si="95"/>
        <v>0</v>
      </c>
      <c r="AO461" s="17" t="str">
        <f t="shared" ca="1" si="96"/>
        <v/>
      </c>
      <c r="AP461" s="17" t="str">
        <f t="shared" ca="1" si="97"/>
        <v/>
      </c>
      <c r="AQ461" s="17" t="str">
        <f t="shared" si="98"/>
        <v/>
      </c>
      <c r="AR461" s="17" t="str">
        <f t="shared" ca="1" si="99"/>
        <v/>
      </c>
      <c r="AS461" s="18"/>
      <c r="AT461" s="24">
        <f t="shared" si="105"/>
        <v>0</v>
      </c>
      <c r="AU461" s="24">
        <f t="shared" si="106"/>
        <v>0</v>
      </c>
      <c r="AV461" s="24">
        <f t="shared" si="107"/>
        <v>0</v>
      </c>
      <c r="AW461" s="24">
        <f t="shared" si="108"/>
        <v>0</v>
      </c>
      <c r="AX461" s="24">
        <f t="shared" si="109"/>
        <v>0</v>
      </c>
      <c r="AY461" s="24">
        <f t="shared" si="110"/>
        <v>0</v>
      </c>
      <c r="AZ461" s="18"/>
    </row>
    <row r="462" spans="1:52" x14ac:dyDescent="0.25">
      <c r="A462" s="16"/>
      <c r="B462" s="16"/>
      <c r="C462" s="65"/>
      <c r="D462" s="15"/>
      <c r="E462" s="15"/>
      <c r="F462" s="15"/>
      <c r="G462" s="16"/>
      <c r="H462" s="16"/>
      <c r="I462" s="16"/>
      <c r="J462" s="16"/>
      <c r="K462" s="86"/>
      <c r="L462" s="16"/>
      <c r="M462" s="15"/>
      <c r="N462" s="15"/>
      <c r="O462" s="20"/>
      <c r="P462" s="15"/>
      <c r="Q462" s="20"/>
      <c r="R462" s="15"/>
      <c r="S462" s="15"/>
      <c r="T462" s="15"/>
      <c r="U462" s="15"/>
      <c r="V462" s="17" t="str">
        <f>IF(U462="","",VLOOKUP(U462,References!C:D,2,0))</f>
        <v/>
      </c>
      <c r="W462" s="17" t="str">
        <f>IF(U462="","",VLOOKUP(U462,References!C:F,4,0))</f>
        <v/>
      </c>
      <c r="X462" s="16"/>
      <c r="Y462" s="20"/>
      <c r="Z462" s="15"/>
      <c r="AA462" s="22"/>
      <c r="AB462" s="90"/>
      <c r="AC462" s="22"/>
      <c r="AD462" s="25" t="str">
        <f t="shared" si="90"/>
        <v/>
      </c>
      <c r="AE462" s="25" t="str">
        <f t="shared" si="100"/>
        <v/>
      </c>
      <c r="AF462" s="17" t="str">
        <f t="shared" ca="1" si="101"/>
        <v/>
      </c>
      <c r="AG462" s="17" t="str">
        <f t="shared" si="102"/>
        <v/>
      </c>
      <c r="AH462" s="17" t="str">
        <f t="shared" si="103"/>
        <v/>
      </c>
      <c r="AI462" s="17" t="str">
        <f t="shared" ca="1" si="104"/>
        <v/>
      </c>
      <c r="AJ462" s="17" t="str">
        <f t="shared" ca="1" si="91"/>
        <v/>
      </c>
      <c r="AK462" s="17" t="str">
        <f t="shared" si="92"/>
        <v/>
      </c>
      <c r="AL462" s="17" t="str">
        <f t="shared" si="93"/>
        <v/>
      </c>
      <c r="AM462" s="17" t="str">
        <f t="shared" si="94"/>
        <v/>
      </c>
      <c r="AN462" s="17">
        <f t="shared" si="95"/>
        <v>0</v>
      </c>
      <c r="AO462" s="17" t="str">
        <f t="shared" ca="1" si="96"/>
        <v/>
      </c>
      <c r="AP462" s="17" t="str">
        <f t="shared" ca="1" si="97"/>
        <v/>
      </c>
      <c r="AQ462" s="17" t="str">
        <f t="shared" si="98"/>
        <v/>
      </c>
      <c r="AR462" s="17" t="str">
        <f t="shared" ca="1" si="99"/>
        <v/>
      </c>
      <c r="AS462" s="18"/>
      <c r="AT462" s="24">
        <f t="shared" si="105"/>
        <v>0</v>
      </c>
      <c r="AU462" s="24">
        <f t="shared" si="106"/>
        <v>0</v>
      </c>
      <c r="AV462" s="24">
        <f t="shared" si="107"/>
        <v>0</v>
      </c>
      <c r="AW462" s="24">
        <f t="shared" si="108"/>
        <v>0</v>
      </c>
      <c r="AX462" s="24">
        <f t="shared" si="109"/>
        <v>0</v>
      </c>
      <c r="AY462" s="24">
        <f t="shared" si="110"/>
        <v>0</v>
      </c>
      <c r="AZ462" s="18"/>
    </row>
    <row r="463" spans="1:52" x14ac:dyDescent="0.25">
      <c r="A463" s="16"/>
      <c r="B463" s="16"/>
      <c r="C463" s="65"/>
      <c r="D463" s="15"/>
      <c r="E463" s="15"/>
      <c r="F463" s="15"/>
      <c r="G463" s="16"/>
      <c r="H463" s="16"/>
      <c r="I463" s="16"/>
      <c r="J463" s="16"/>
      <c r="K463" s="86"/>
      <c r="L463" s="16"/>
      <c r="M463" s="15"/>
      <c r="N463" s="15"/>
      <c r="O463" s="20"/>
      <c r="P463" s="15"/>
      <c r="Q463" s="20"/>
      <c r="R463" s="15"/>
      <c r="S463" s="15"/>
      <c r="T463" s="15"/>
      <c r="U463" s="15"/>
      <c r="V463" s="17" t="str">
        <f>IF(U463="","",VLOOKUP(U463,References!C:D,2,0))</f>
        <v/>
      </c>
      <c r="W463" s="17" t="str">
        <f>IF(U463="","",VLOOKUP(U463,References!C:F,4,0))</f>
        <v/>
      </c>
      <c r="X463" s="16"/>
      <c r="Y463" s="20"/>
      <c r="Z463" s="15"/>
      <c r="AA463" s="22"/>
      <c r="AB463" s="90"/>
      <c r="AC463" s="22"/>
      <c r="AD463" s="25" t="str">
        <f t="shared" si="90"/>
        <v/>
      </c>
      <c r="AE463" s="25" t="str">
        <f t="shared" si="100"/>
        <v/>
      </c>
      <c r="AF463" s="17" t="str">
        <f t="shared" ca="1" si="101"/>
        <v/>
      </c>
      <c r="AG463" s="17" t="str">
        <f t="shared" si="102"/>
        <v/>
      </c>
      <c r="AH463" s="17" t="str">
        <f t="shared" si="103"/>
        <v/>
      </c>
      <c r="AI463" s="17" t="str">
        <f t="shared" ca="1" si="104"/>
        <v/>
      </c>
      <c r="AJ463" s="17" t="str">
        <f t="shared" ca="1" si="91"/>
        <v/>
      </c>
      <c r="AK463" s="17" t="str">
        <f t="shared" si="92"/>
        <v/>
      </c>
      <c r="AL463" s="17" t="str">
        <f t="shared" si="93"/>
        <v/>
      </c>
      <c r="AM463" s="17" t="str">
        <f t="shared" si="94"/>
        <v/>
      </c>
      <c r="AN463" s="17">
        <f t="shared" si="95"/>
        <v>0</v>
      </c>
      <c r="AO463" s="17" t="str">
        <f t="shared" ca="1" si="96"/>
        <v/>
      </c>
      <c r="AP463" s="17" t="str">
        <f t="shared" ca="1" si="97"/>
        <v/>
      </c>
      <c r="AQ463" s="17" t="str">
        <f t="shared" si="98"/>
        <v/>
      </c>
      <c r="AR463" s="17" t="str">
        <f t="shared" ca="1" si="99"/>
        <v/>
      </c>
      <c r="AS463" s="18"/>
      <c r="AT463" s="24">
        <f t="shared" si="105"/>
        <v>0</v>
      </c>
      <c r="AU463" s="24">
        <f t="shared" si="106"/>
        <v>0</v>
      </c>
      <c r="AV463" s="24">
        <f t="shared" si="107"/>
        <v>0</v>
      </c>
      <c r="AW463" s="24">
        <f t="shared" si="108"/>
        <v>0</v>
      </c>
      <c r="AX463" s="24">
        <f t="shared" si="109"/>
        <v>0</v>
      </c>
      <c r="AY463" s="24">
        <f t="shared" si="110"/>
        <v>0</v>
      </c>
      <c r="AZ463" s="18"/>
    </row>
    <row r="464" spans="1:52" x14ac:dyDescent="0.25">
      <c r="A464" s="16"/>
      <c r="B464" s="16"/>
      <c r="C464" s="65"/>
      <c r="D464" s="15"/>
      <c r="E464" s="15"/>
      <c r="F464" s="15"/>
      <c r="G464" s="16"/>
      <c r="H464" s="16"/>
      <c r="I464" s="16"/>
      <c r="J464" s="16"/>
      <c r="K464" s="86"/>
      <c r="L464" s="16"/>
      <c r="M464" s="15"/>
      <c r="N464" s="15"/>
      <c r="O464" s="20"/>
      <c r="P464" s="15"/>
      <c r="Q464" s="20"/>
      <c r="R464" s="15"/>
      <c r="S464" s="15"/>
      <c r="T464" s="15"/>
      <c r="U464" s="15"/>
      <c r="V464" s="17" t="str">
        <f>IF(U464="","",VLOOKUP(U464,References!C:D,2,0))</f>
        <v/>
      </c>
      <c r="W464" s="17" t="str">
        <f>IF(U464="","",VLOOKUP(U464,References!C:F,4,0))</f>
        <v/>
      </c>
      <c r="X464" s="16"/>
      <c r="Y464" s="20"/>
      <c r="Z464" s="15"/>
      <c r="AA464" s="22"/>
      <c r="AB464" s="90"/>
      <c r="AC464" s="22"/>
      <c r="AD464" s="25" t="str">
        <f t="shared" si="90"/>
        <v/>
      </c>
      <c r="AE464" s="25" t="str">
        <f t="shared" si="100"/>
        <v/>
      </c>
      <c r="AF464" s="17" t="str">
        <f t="shared" ca="1" si="101"/>
        <v/>
      </c>
      <c r="AG464" s="17" t="str">
        <f t="shared" si="102"/>
        <v/>
      </c>
      <c r="AH464" s="17" t="str">
        <f t="shared" si="103"/>
        <v/>
      </c>
      <c r="AI464" s="17" t="str">
        <f t="shared" ca="1" si="104"/>
        <v/>
      </c>
      <c r="AJ464" s="17" t="str">
        <f t="shared" ca="1" si="91"/>
        <v/>
      </c>
      <c r="AK464" s="17" t="str">
        <f t="shared" si="92"/>
        <v/>
      </c>
      <c r="AL464" s="17" t="str">
        <f t="shared" si="93"/>
        <v/>
      </c>
      <c r="AM464" s="17" t="str">
        <f t="shared" si="94"/>
        <v/>
      </c>
      <c r="AN464" s="17">
        <f t="shared" si="95"/>
        <v>0</v>
      </c>
      <c r="AO464" s="17" t="str">
        <f t="shared" ca="1" si="96"/>
        <v/>
      </c>
      <c r="AP464" s="17" t="str">
        <f t="shared" ca="1" si="97"/>
        <v/>
      </c>
      <c r="AQ464" s="17" t="str">
        <f t="shared" si="98"/>
        <v/>
      </c>
      <c r="AR464" s="17" t="str">
        <f t="shared" ca="1" si="99"/>
        <v/>
      </c>
      <c r="AS464" s="18"/>
      <c r="AT464" s="24">
        <f t="shared" si="105"/>
        <v>0</v>
      </c>
      <c r="AU464" s="24">
        <f t="shared" si="106"/>
        <v>0</v>
      </c>
      <c r="AV464" s="24">
        <f t="shared" si="107"/>
        <v>0</v>
      </c>
      <c r="AW464" s="24">
        <f t="shared" si="108"/>
        <v>0</v>
      </c>
      <c r="AX464" s="24">
        <f t="shared" si="109"/>
        <v>0</v>
      </c>
      <c r="AY464" s="24">
        <f t="shared" si="110"/>
        <v>0</v>
      </c>
      <c r="AZ464" s="18"/>
    </row>
    <row r="465" spans="1:52" x14ac:dyDescent="0.25">
      <c r="A465" s="16"/>
      <c r="B465" s="16"/>
      <c r="C465" s="65"/>
      <c r="D465" s="15"/>
      <c r="E465" s="15"/>
      <c r="F465" s="15"/>
      <c r="G465" s="16"/>
      <c r="H465" s="16"/>
      <c r="I465" s="16"/>
      <c r="J465" s="16"/>
      <c r="K465" s="86"/>
      <c r="L465" s="16"/>
      <c r="M465" s="15"/>
      <c r="N465" s="15"/>
      <c r="O465" s="20"/>
      <c r="P465" s="15"/>
      <c r="Q465" s="20"/>
      <c r="R465" s="15"/>
      <c r="S465" s="15"/>
      <c r="T465" s="15"/>
      <c r="U465" s="15"/>
      <c r="V465" s="17" t="str">
        <f>IF(U465="","",VLOOKUP(U465,References!C:D,2,0))</f>
        <v/>
      </c>
      <c r="W465" s="17" t="str">
        <f>IF(U465="","",VLOOKUP(U465,References!C:F,4,0))</f>
        <v/>
      </c>
      <c r="X465" s="16"/>
      <c r="Y465" s="20"/>
      <c r="Z465" s="15"/>
      <c r="AA465" s="22"/>
      <c r="AB465" s="90"/>
      <c r="AC465" s="22"/>
      <c r="AD465" s="25" t="str">
        <f t="shared" si="90"/>
        <v/>
      </c>
      <c r="AE465" s="25" t="str">
        <f t="shared" si="100"/>
        <v/>
      </c>
      <c r="AF465" s="17" t="str">
        <f t="shared" ca="1" si="101"/>
        <v/>
      </c>
      <c r="AG465" s="17" t="str">
        <f t="shared" si="102"/>
        <v/>
      </c>
      <c r="AH465" s="17" t="str">
        <f t="shared" si="103"/>
        <v/>
      </c>
      <c r="AI465" s="17" t="str">
        <f t="shared" ca="1" si="104"/>
        <v/>
      </c>
      <c r="AJ465" s="17" t="str">
        <f t="shared" ca="1" si="91"/>
        <v/>
      </c>
      <c r="AK465" s="17" t="str">
        <f t="shared" si="92"/>
        <v/>
      </c>
      <c r="AL465" s="17" t="str">
        <f t="shared" si="93"/>
        <v/>
      </c>
      <c r="AM465" s="17" t="str">
        <f t="shared" si="94"/>
        <v/>
      </c>
      <c r="AN465" s="17">
        <f t="shared" si="95"/>
        <v>0</v>
      </c>
      <c r="AO465" s="17" t="str">
        <f t="shared" ca="1" si="96"/>
        <v/>
      </c>
      <c r="AP465" s="17" t="str">
        <f t="shared" ca="1" si="97"/>
        <v/>
      </c>
      <c r="AQ465" s="17" t="str">
        <f t="shared" si="98"/>
        <v/>
      </c>
      <c r="AR465" s="17" t="str">
        <f t="shared" ca="1" si="99"/>
        <v/>
      </c>
      <c r="AS465" s="18"/>
      <c r="AT465" s="24">
        <f t="shared" si="105"/>
        <v>0</v>
      </c>
      <c r="AU465" s="24">
        <f t="shared" si="106"/>
        <v>0</v>
      </c>
      <c r="AV465" s="24">
        <f t="shared" si="107"/>
        <v>0</v>
      </c>
      <c r="AW465" s="24">
        <f t="shared" si="108"/>
        <v>0</v>
      </c>
      <c r="AX465" s="24">
        <f t="shared" si="109"/>
        <v>0</v>
      </c>
      <c r="AY465" s="24">
        <f t="shared" si="110"/>
        <v>0</v>
      </c>
      <c r="AZ465" s="18"/>
    </row>
    <row r="466" spans="1:52" x14ac:dyDescent="0.25">
      <c r="A466" s="16"/>
      <c r="B466" s="16"/>
      <c r="C466" s="65"/>
      <c r="D466" s="15"/>
      <c r="E466" s="15"/>
      <c r="F466" s="15"/>
      <c r="G466" s="16"/>
      <c r="H466" s="16"/>
      <c r="I466" s="16"/>
      <c r="J466" s="16"/>
      <c r="K466" s="86"/>
      <c r="L466" s="16"/>
      <c r="M466" s="15"/>
      <c r="N466" s="15"/>
      <c r="O466" s="20"/>
      <c r="P466" s="15"/>
      <c r="Q466" s="20"/>
      <c r="R466" s="15"/>
      <c r="S466" s="15"/>
      <c r="T466" s="15"/>
      <c r="U466" s="15"/>
      <c r="V466" s="17" t="str">
        <f>IF(U466="","",VLOOKUP(U466,References!C:D,2,0))</f>
        <v/>
      </c>
      <c r="W466" s="17" t="str">
        <f>IF(U466="","",VLOOKUP(U466,References!C:F,4,0))</f>
        <v/>
      </c>
      <c r="X466" s="16"/>
      <c r="Y466" s="20"/>
      <c r="Z466" s="15"/>
      <c r="AA466" s="22"/>
      <c r="AB466" s="90"/>
      <c r="AC466" s="22"/>
      <c r="AD466" s="25" t="str">
        <f t="shared" si="90"/>
        <v/>
      </c>
      <c r="AE466" s="25" t="str">
        <f t="shared" si="100"/>
        <v/>
      </c>
      <c r="AF466" s="17" t="str">
        <f t="shared" ca="1" si="101"/>
        <v/>
      </c>
      <c r="AG466" s="17" t="str">
        <f t="shared" si="102"/>
        <v/>
      </c>
      <c r="AH466" s="17" t="str">
        <f t="shared" si="103"/>
        <v/>
      </c>
      <c r="AI466" s="17" t="str">
        <f t="shared" ca="1" si="104"/>
        <v/>
      </c>
      <c r="AJ466" s="17" t="str">
        <f t="shared" ca="1" si="91"/>
        <v/>
      </c>
      <c r="AK466" s="17" t="str">
        <f t="shared" si="92"/>
        <v/>
      </c>
      <c r="AL466" s="17" t="str">
        <f t="shared" si="93"/>
        <v/>
      </c>
      <c r="AM466" s="17" t="str">
        <f t="shared" si="94"/>
        <v/>
      </c>
      <c r="AN466" s="17">
        <f t="shared" si="95"/>
        <v>0</v>
      </c>
      <c r="AO466" s="17" t="str">
        <f t="shared" ca="1" si="96"/>
        <v/>
      </c>
      <c r="AP466" s="17" t="str">
        <f t="shared" ca="1" si="97"/>
        <v/>
      </c>
      <c r="AQ466" s="17" t="str">
        <f t="shared" si="98"/>
        <v/>
      </c>
      <c r="AR466" s="17" t="str">
        <f t="shared" ca="1" si="99"/>
        <v/>
      </c>
      <c r="AS466" s="18"/>
      <c r="AT466" s="24">
        <f t="shared" si="105"/>
        <v>0</v>
      </c>
      <c r="AU466" s="24">
        <f t="shared" si="106"/>
        <v>0</v>
      </c>
      <c r="AV466" s="24">
        <f t="shared" si="107"/>
        <v>0</v>
      </c>
      <c r="AW466" s="24">
        <f t="shared" si="108"/>
        <v>0</v>
      </c>
      <c r="AX466" s="24">
        <f t="shared" si="109"/>
        <v>0</v>
      </c>
      <c r="AY466" s="24">
        <f t="shared" si="110"/>
        <v>0</v>
      </c>
      <c r="AZ466" s="18"/>
    </row>
    <row r="467" spans="1:52" x14ac:dyDescent="0.25">
      <c r="A467" s="16"/>
      <c r="B467" s="16"/>
      <c r="C467" s="65"/>
      <c r="D467" s="15"/>
      <c r="E467" s="15"/>
      <c r="F467" s="15"/>
      <c r="G467" s="16"/>
      <c r="H467" s="16"/>
      <c r="I467" s="16"/>
      <c r="J467" s="16"/>
      <c r="K467" s="86"/>
      <c r="L467" s="16"/>
      <c r="M467" s="15"/>
      <c r="N467" s="15"/>
      <c r="O467" s="20"/>
      <c r="P467" s="15"/>
      <c r="Q467" s="20"/>
      <c r="R467" s="15"/>
      <c r="S467" s="15"/>
      <c r="T467" s="15"/>
      <c r="U467" s="15"/>
      <c r="V467" s="17" t="str">
        <f>IF(U467="","",VLOOKUP(U467,References!C:D,2,0))</f>
        <v/>
      </c>
      <c r="W467" s="17" t="str">
        <f>IF(U467="","",VLOOKUP(U467,References!C:F,4,0))</f>
        <v/>
      </c>
      <c r="X467" s="16"/>
      <c r="Y467" s="20"/>
      <c r="Z467" s="15"/>
      <c r="AA467" s="22"/>
      <c r="AB467" s="90"/>
      <c r="AC467" s="22"/>
      <c r="AD467" s="25" t="str">
        <f t="shared" si="90"/>
        <v/>
      </c>
      <c r="AE467" s="25" t="str">
        <f t="shared" si="100"/>
        <v/>
      </c>
      <c r="AF467" s="17" t="str">
        <f t="shared" ca="1" si="101"/>
        <v/>
      </c>
      <c r="AG467" s="17" t="str">
        <f t="shared" si="102"/>
        <v/>
      </c>
      <c r="AH467" s="17" t="str">
        <f t="shared" si="103"/>
        <v/>
      </c>
      <c r="AI467" s="17" t="str">
        <f t="shared" ca="1" si="104"/>
        <v/>
      </c>
      <c r="AJ467" s="17" t="str">
        <f t="shared" ca="1" si="91"/>
        <v/>
      </c>
      <c r="AK467" s="17" t="str">
        <f t="shared" si="92"/>
        <v/>
      </c>
      <c r="AL467" s="17" t="str">
        <f t="shared" si="93"/>
        <v/>
      </c>
      <c r="AM467" s="17" t="str">
        <f t="shared" si="94"/>
        <v/>
      </c>
      <c r="AN467" s="17">
        <f t="shared" si="95"/>
        <v>0</v>
      </c>
      <c r="AO467" s="17" t="str">
        <f t="shared" ca="1" si="96"/>
        <v/>
      </c>
      <c r="AP467" s="17" t="str">
        <f t="shared" ca="1" si="97"/>
        <v/>
      </c>
      <c r="AQ467" s="17" t="str">
        <f t="shared" si="98"/>
        <v/>
      </c>
      <c r="AR467" s="17" t="str">
        <f t="shared" ca="1" si="99"/>
        <v/>
      </c>
      <c r="AS467" s="18"/>
      <c r="AT467" s="24">
        <f t="shared" si="105"/>
        <v>0</v>
      </c>
      <c r="AU467" s="24">
        <f t="shared" si="106"/>
        <v>0</v>
      </c>
      <c r="AV467" s="24">
        <f t="shared" si="107"/>
        <v>0</v>
      </c>
      <c r="AW467" s="24">
        <f t="shared" si="108"/>
        <v>0</v>
      </c>
      <c r="AX467" s="24">
        <f t="shared" si="109"/>
        <v>0</v>
      </c>
      <c r="AY467" s="24">
        <f t="shared" si="110"/>
        <v>0</v>
      </c>
      <c r="AZ467" s="18"/>
    </row>
    <row r="468" spans="1:52" x14ac:dyDescent="0.25">
      <c r="A468" s="16"/>
      <c r="B468" s="16"/>
      <c r="C468" s="65"/>
      <c r="D468" s="15"/>
      <c r="E468" s="15"/>
      <c r="F468" s="15"/>
      <c r="G468" s="16"/>
      <c r="H468" s="16"/>
      <c r="I468" s="16"/>
      <c r="J468" s="16"/>
      <c r="K468" s="86"/>
      <c r="L468" s="16"/>
      <c r="M468" s="15"/>
      <c r="N468" s="15"/>
      <c r="O468" s="20"/>
      <c r="P468" s="15"/>
      <c r="Q468" s="20"/>
      <c r="R468" s="15"/>
      <c r="S468" s="15"/>
      <c r="T468" s="15"/>
      <c r="U468" s="15"/>
      <c r="V468" s="17" t="str">
        <f>IF(U468="","",VLOOKUP(U468,References!C:D,2,0))</f>
        <v/>
      </c>
      <c r="W468" s="17" t="str">
        <f>IF(U468="","",VLOOKUP(U468,References!C:F,4,0))</f>
        <v/>
      </c>
      <c r="X468" s="16"/>
      <c r="Y468" s="20"/>
      <c r="Z468" s="15"/>
      <c r="AA468" s="22"/>
      <c r="AB468" s="90"/>
      <c r="AC468" s="22"/>
      <c r="AD468" s="25" t="str">
        <f t="shared" si="90"/>
        <v/>
      </c>
      <c r="AE468" s="25" t="str">
        <f t="shared" si="100"/>
        <v/>
      </c>
      <c r="AF468" s="17" t="str">
        <f t="shared" ca="1" si="101"/>
        <v/>
      </c>
      <c r="AG468" s="17" t="str">
        <f t="shared" si="102"/>
        <v/>
      </c>
      <c r="AH468" s="17" t="str">
        <f t="shared" si="103"/>
        <v/>
      </c>
      <c r="AI468" s="17" t="str">
        <f t="shared" ca="1" si="104"/>
        <v/>
      </c>
      <c r="AJ468" s="17" t="str">
        <f t="shared" ca="1" si="91"/>
        <v/>
      </c>
      <c r="AK468" s="17" t="str">
        <f t="shared" si="92"/>
        <v/>
      </c>
      <c r="AL468" s="17" t="str">
        <f t="shared" si="93"/>
        <v/>
      </c>
      <c r="AM468" s="17" t="str">
        <f t="shared" si="94"/>
        <v/>
      </c>
      <c r="AN468" s="17">
        <f t="shared" si="95"/>
        <v>0</v>
      </c>
      <c r="AO468" s="17" t="str">
        <f t="shared" ca="1" si="96"/>
        <v/>
      </c>
      <c r="AP468" s="17" t="str">
        <f t="shared" ca="1" si="97"/>
        <v/>
      </c>
      <c r="AQ468" s="17" t="str">
        <f t="shared" si="98"/>
        <v/>
      </c>
      <c r="AR468" s="17" t="str">
        <f t="shared" ca="1" si="99"/>
        <v/>
      </c>
      <c r="AS468" s="18"/>
      <c r="AT468" s="24">
        <f t="shared" si="105"/>
        <v>0</v>
      </c>
      <c r="AU468" s="24">
        <f t="shared" si="106"/>
        <v>0</v>
      </c>
      <c r="AV468" s="24">
        <f t="shared" si="107"/>
        <v>0</v>
      </c>
      <c r="AW468" s="24">
        <f t="shared" si="108"/>
        <v>0</v>
      </c>
      <c r="AX468" s="24">
        <f t="shared" si="109"/>
        <v>0</v>
      </c>
      <c r="AY468" s="24">
        <f t="shared" si="110"/>
        <v>0</v>
      </c>
      <c r="AZ468" s="18"/>
    </row>
    <row r="469" spans="1:52" x14ac:dyDescent="0.25">
      <c r="A469" s="16"/>
      <c r="B469" s="16"/>
      <c r="C469" s="65"/>
      <c r="D469" s="15"/>
      <c r="E469" s="15"/>
      <c r="F469" s="15"/>
      <c r="G469" s="16"/>
      <c r="H469" s="16"/>
      <c r="I469" s="16"/>
      <c r="J469" s="16"/>
      <c r="K469" s="86"/>
      <c r="L469" s="16"/>
      <c r="M469" s="15"/>
      <c r="N469" s="15"/>
      <c r="O469" s="20"/>
      <c r="P469" s="15"/>
      <c r="Q469" s="20"/>
      <c r="R469" s="15"/>
      <c r="S469" s="15"/>
      <c r="T469" s="15"/>
      <c r="U469" s="15"/>
      <c r="V469" s="17" t="str">
        <f>IF(U469="","",VLOOKUP(U469,References!C:D,2,0))</f>
        <v/>
      </c>
      <c r="W469" s="17" t="str">
        <f>IF(U469="","",VLOOKUP(U469,References!C:F,4,0))</f>
        <v/>
      </c>
      <c r="X469" s="16"/>
      <c r="Y469" s="20"/>
      <c r="Z469" s="15"/>
      <c r="AA469" s="22"/>
      <c r="AB469" s="90"/>
      <c r="AC469" s="22"/>
      <c r="AD469" s="25" t="str">
        <f t="shared" si="90"/>
        <v/>
      </c>
      <c r="AE469" s="25" t="str">
        <f t="shared" si="100"/>
        <v/>
      </c>
      <c r="AF469" s="17" t="str">
        <f t="shared" ca="1" si="101"/>
        <v/>
      </c>
      <c r="AG469" s="17" t="str">
        <f t="shared" si="102"/>
        <v/>
      </c>
      <c r="AH469" s="17" t="str">
        <f t="shared" si="103"/>
        <v/>
      </c>
      <c r="AI469" s="17" t="str">
        <f t="shared" ca="1" si="104"/>
        <v/>
      </c>
      <c r="AJ469" s="17" t="str">
        <f t="shared" ca="1" si="91"/>
        <v/>
      </c>
      <c r="AK469" s="17" t="str">
        <f t="shared" si="92"/>
        <v/>
      </c>
      <c r="AL469" s="17" t="str">
        <f t="shared" si="93"/>
        <v/>
      </c>
      <c r="AM469" s="17" t="str">
        <f t="shared" si="94"/>
        <v/>
      </c>
      <c r="AN469" s="17">
        <f t="shared" si="95"/>
        <v>0</v>
      </c>
      <c r="AO469" s="17" t="str">
        <f t="shared" ca="1" si="96"/>
        <v/>
      </c>
      <c r="AP469" s="17" t="str">
        <f t="shared" ca="1" si="97"/>
        <v/>
      </c>
      <c r="AQ469" s="17" t="str">
        <f t="shared" si="98"/>
        <v/>
      </c>
      <c r="AR469" s="17" t="str">
        <f t="shared" ca="1" si="99"/>
        <v/>
      </c>
      <c r="AS469" s="18"/>
      <c r="AT469" s="24">
        <f t="shared" si="105"/>
        <v>0</v>
      </c>
      <c r="AU469" s="24">
        <f t="shared" si="106"/>
        <v>0</v>
      </c>
      <c r="AV469" s="24">
        <f t="shared" si="107"/>
        <v>0</v>
      </c>
      <c r="AW469" s="24">
        <f t="shared" si="108"/>
        <v>0</v>
      </c>
      <c r="AX469" s="24">
        <f t="shared" si="109"/>
        <v>0</v>
      </c>
      <c r="AY469" s="24">
        <f t="shared" si="110"/>
        <v>0</v>
      </c>
      <c r="AZ469" s="18"/>
    </row>
    <row r="470" spans="1:52" x14ac:dyDescent="0.25">
      <c r="A470" s="16"/>
      <c r="B470" s="16"/>
      <c r="C470" s="65"/>
      <c r="D470" s="15"/>
      <c r="E470" s="15"/>
      <c r="F470" s="15"/>
      <c r="G470" s="16"/>
      <c r="H470" s="16"/>
      <c r="I470" s="16"/>
      <c r="J470" s="16"/>
      <c r="K470" s="86"/>
      <c r="L470" s="16"/>
      <c r="M470" s="15"/>
      <c r="N470" s="15"/>
      <c r="O470" s="20"/>
      <c r="P470" s="15"/>
      <c r="Q470" s="20"/>
      <c r="R470" s="15"/>
      <c r="S470" s="15"/>
      <c r="T470" s="15"/>
      <c r="U470" s="15"/>
      <c r="V470" s="17" t="str">
        <f>IF(U470="","",VLOOKUP(U470,References!C:D,2,0))</f>
        <v/>
      </c>
      <c r="W470" s="17" t="str">
        <f>IF(U470="","",VLOOKUP(U470,References!C:F,4,0))</f>
        <v/>
      </c>
      <c r="X470" s="16"/>
      <c r="Y470" s="20"/>
      <c r="Z470" s="15"/>
      <c r="AA470" s="22"/>
      <c r="AB470" s="90"/>
      <c r="AC470" s="22"/>
      <c r="AD470" s="25" t="str">
        <f t="shared" si="90"/>
        <v/>
      </c>
      <c r="AE470" s="25" t="str">
        <f t="shared" si="100"/>
        <v/>
      </c>
      <c r="AF470" s="17" t="str">
        <f t="shared" ca="1" si="101"/>
        <v/>
      </c>
      <c r="AG470" s="17" t="str">
        <f t="shared" si="102"/>
        <v/>
      </c>
      <c r="AH470" s="17" t="str">
        <f t="shared" si="103"/>
        <v/>
      </c>
      <c r="AI470" s="17" t="str">
        <f t="shared" ca="1" si="104"/>
        <v/>
      </c>
      <c r="AJ470" s="17" t="str">
        <f t="shared" ca="1" si="91"/>
        <v/>
      </c>
      <c r="AK470" s="17" t="str">
        <f t="shared" si="92"/>
        <v/>
      </c>
      <c r="AL470" s="17" t="str">
        <f t="shared" si="93"/>
        <v/>
      </c>
      <c r="AM470" s="17" t="str">
        <f t="shared" si="94"/>
        <v/>
      </c>
      <c r="AN470" s="17">
        <f t="shared" si="95"/>
        <v>0</v>
      </c>
      <c r="AO470" s="17" t="str">
        <f t="shared" ca="1" si="96"/>
        <v/>
      </c>
      <c r="AP470" s="17" t="str">
        <f t="shared" ca="1" si="97"/>
        <v/>
      </c>
      <c r="AQ470" s="17" t="str">
        <f t="shared" si="98"/>
        <v/>
      </c>
      <c r="AR470" s="17" t="str">
        <f t="shared" ca="1" si="99"/>
        <v/>
      </c>
      <c r="AS470" s="18"/>
      <c r="AT470" s="24">
        <f t="shared" si="105"/>
        <v>0</v>
      </c>
      <c r="AU470" s="24">
        <f t="shared" si="106"/>
        <v>0</v>
      </c>
      <c r="AV470" s="24">
        <f t="shared" si="107"/>
        <v>0</v>
      </c>
      <c r="AW470" s="24">
        <f t="shared" si="108"/>
        <v>0</v>
      </c>
      <c r="AX470" s="24">
        <f t="shared" si="109"/>
        <v>0</v>
      </c>
      <c r="AY470" s="24">
        <f t="shared" si="110"/>
        <v>0</v>
      </c>
      <c r="AZ470" s="18"/>
    </row>
    <row r="471" spans="1:52" x14ac:dyDescent="0.25">
      <c r="A471" s="16"/>
      <c r="B471" s="16"/>
      <c r="C471" s="65"/>
      <c r="D471" s="15"/>
      <c r="E471" s="15"/>
      <c r="F471" s="15"/>
      <c r="G471" s="16"/>
      <c r="H471" s="16"/>
      <c r="I471" s="16"/>
      <c r="J471" s="16"/>
      <c r="K471" s="86"/>
      <c r="L471" s="16"/>
      <c r="M471" s="15"/>
      <c r="N471" s="15"/>
      <c r="O471" s="20"/>
      <c r="P471" s="15"/>
      <c r="Q471" s="20"/>
      <c r="R471" s="15"/>
      <c r="S471" s="15"/>
      <c r="T471" s="15"/>
      <c r="U471" s="15"/>
      <c r="V471" s="17" t="str">
        <f>IF(U471="","",VLOOKUP(U471,References!C:D,2,0))</f>
        <v/>
      </c>
      <c r="W471" s="17" t="str">
        <f>IF(U471="","",VLOOKUP(U471,References!C:F,4,0))</f>
        <v/>
      </c>
      <c r="X471" s="16"/>
      <c r="Y471" s="20"/>
      <c r="Z471" s="15"/>
      <c r="AA471" s="22"/>
      <c r="AB471" s="90"/>
      <c r="AC471" s="22"/>
      <c r="AD471" s="25" t="str">
        <f t="shared" si="90"/>
        <v/>
      </c>
      <c r="AE471" s="25" t="str">
        <f t="shared" si="100"/>
        <v/>
      </c>
      <c r="AF471" s="17" t="str">
        <f t="shared" ca="1" si="101"/>
        <v/>
      </c>
      <c r="AG471" s="17" t="str">
        <f t="shared" si="102"/>
        <v/>
      </c>
      <c r="AH471" s="17" t="str">
        <f t="shared" si="103"/>
        <v/>
      </c>
      <c r="AI471" s="17" t="str">
        <f t="shared" ca="1" si="104"/>
        <v/>
      </c>
      <c r="AJ471" s="17" t="str">
        <f t="shared" ca="1" si="91"/>
        <v/>
      </c>
      <c r="AK471" s="17" t="str">
        <f t="shared" si="92"/>
        <v/>
      </c>
      <c r="AL471" s="17" t="str">
        <f t="shared" si="93"/>
        <v/>
      </c>
      <c r="AM471" s="17" t="str">
        <f t="shared" si="94"/>
        <v/>
      </c>
      <c r="AN471" s="17">
        <f t="shared" si="95"/>
        <v>0</v>
      </c>
      <c r="AO471" s="17" t="str">
        <f t="shared" ca="1" si="96"/>
        <v/>
      </c>
      <c r="AP471" s="17" t="str">
        <f t="shared" ca="1" si="97"/>
        <v/>
      </c>
      <c r="AQ471" s="17" t="str">
        <f t="shared" si="98"/>
        <v/>
      </c>
      <c r="AR471" s="17" t="str">
        <f t="shared" ca="1" si="99"/>
        <v/>
      </c>
      <c r="AS471" s="18"/>
      <c r="AT471" s="24">
        <f t="shared" si="105"/>
        <v>0</v>
      </c>
      <c r="AU471" s="24">
        <f t="shared" si="106"/>
        <v>0</v>
      </c>
      <c r="AV471" s="24">
        <f t="shared" si="107"/>
        <v>0</v>
      </c>
      <c r="AW471" s="24">
        <f t="shared" si="108"/>
        <v>0</v>
      </c>
      <c r="AX471" s="24">
        <f t="shared" si="109"/>
        <v>0</v>
      </c>
      <c r="AY471" s="24">
        <f t="shared" si="110"/>
        <v>0</v>
      </c>
      <c r="AZ471" s="18"/>
    </row>
    <row r="472" spans="1:52" x14ac:dyDescent="0.25">
      <c r="A472" s="16"/>
      <c r="B472" s="16"/>
      <c r="C472" s="65"/>
      <c r="D472" s="15"/>
      <c r="E472" s="15"/>
      <c r="F472" s="15"/>
      <c r="G472" s="16"/>
      <c r="H472" s="16"/>
      <c r="I472" s="16"/>
      <c r="J472" s="16"/>
      <c r="K472" s="86"/>
      <c r="L472" s="16"/>
      <c r="M472" s="15"/>
      <c r="N472" s="15"/>
      <c r="O472" s="20"/>
      <c r="P472" s="15"/>
      <c r="Q472" s="20"/>
      <c r="R472" s="15"/>
      <c r="S472" s="15"/>
      <c r="T472" s="15"/>
      <c r="U472" s="15"/>
      <c r="V472" s="17" t="str">
        <f>IF(U472="","",VLOOKUP(U472,References!C:D,2,0))</f>
        <v/>
      </c>
      <c r="W472" s="17" t="str">
        <f>IF(U472="","",VLOOKUP(U472,References!C:F,4,0))</f>
        <v/>
      </c>
      <c r="X472" s="16"/>
      <c r="Y472" s="20"/>
      <c r="Z472" s="15"/>
      <c r="AA472" s="22"/>
      <c r="AB472" s="90"/>
      <c r="AC472" s="22"/>
      <c r="AD472" s="25" t="str">
        <f t="shared" si="90"/>
        <v/>
      </c>
      <c r="AE472" s="25" t="str">
        <f t="shared" si="100"/>
        <v/>
      </c>
      <c r="AF472" s="17" t="str">
        <f t="shared" ca="1" si="101"/>
        <v/>
      </c>
      <c r="AG472" s="17" t="str">
        <f t="shared" si="102"/>
        <v/>
      </c>
      <c r="AH472" s="17" t="str">
        <f t="shared" si="103"/>
        <v/>
      </c>
      <c r="AI472" s="17" t="str">
        <f t="shared" ca="1" si="104"/>
        <v/>
      </c>
      <c r="AJ472" s="17" t="str">
        <f t="shared" ca="1" si="91"/>
        <v/>
      </c>
      <c r="AK472" s="17" t="str">
        <f t="shared" si="92"/>
        <v/>
      </c>
      <c r="AL472" s="17" t="str">
        <f t="shared" si="93"/>
        <v/>
      </c>
      <c r="AM472" s="17" t="str">
        <f t="shared" si="94"/>
        <v/>
      </c>
      <c r="AN472" s="17">
        <f t="shared" si="95"/>
        <v>0</v>
      </c>
      <c r="AO472" s="17" t="str">
        <f t="shared" ca="1" si="96"/>
        <v/>
      </c>
      <c r="AP472" s="17" t="str">
        <f t="shared" ca="1" si="97"/>
        <v/>
      </c>
      <c r="AQ472" s="17" t="str">
        <f t="shared" si="98"/>
        <v/>
      </c>
      <c r="AR472" s="17" t="str">
        <f t="shared" ca="1" si="99"/>
        <v/>
      </c>
      <c r="AS472" s="18"/>
      <c r="AT472" s="24">
        <f t="shared" si="105"/>
        <v>0</v>
      </c>
      <c r="AU472" s="24">
        <f t="shared" si="106"/>
        <v>0</v>
      </c>
      <c r="AV472" s="24">
        <f t="shared" si="107"/>
        <v>0</v>
      </c>
      <c r="AW472" s="24">
        <f t="shared" si="108"/>
        <v>0</v>
      </c>
      <c r="AX472" s="24">
        <f t="shared" si="109"/>
        <v>0</v>
      </c>
      <c r="AY472" s="24">
        <f t="shared" si="110"/>
        <v>0</v>
      </c>
      <c r="AZ472" s="18"/>
    </row>
    <row r="473" spans="1:52" x14ac:dyDescent="0.25">
      <c r="A473" s="16"/>
      <c r="B473" s="16"/>
      <c r="C473" s="65"/>
      <c r="D473" s="15"/>
      <c r="E473" s="15"/>
      <c r="F473" s="15"/>
      <c r="G473" s="16"/>
      <c r="H473" s="16"/>
      <c r="I473" s="16"/>
      <c r="J473" s="16"/>
      <c r="K473" s="86"/>
      <c r="L473" s="16"/>
      <c r="M473" s="15"/>
      <c r="N473" s="15"/>
      <c r="O473" s="20"/>
      <c r="P473" s="15"/>
      <c r="Q473" s="20"/>
      <c r="R473" s="15"/>
      <c r="S473" s="15"/>
      <c r="T473" s="15"/>
      <c r="U473" s="15"/>
      <c r="V473" s="17" t="str">
        <f>IF(U473="","",VLOOKUP(U473,References!C:D,2,0))</f>
        <v/>
      </c>
      <c r="W473" s="17" t="str">
        <f>IF(U473="","",VLOOKUP(U473,References!C:F,4,0))</f>
        <v/>
      </c>
      <c r="X473" s="16"/>
      <c r="Y473" s="20"/>
      <c r="Z473" s="15"/>
      <c r="AA473" s="22"/>
      <c r="AB473" s="90"/>
      <c r="AC473" s="22"/>
      <c r="AD473" s="25" t="str">
        <f t="shared" si="90"/>
        <v/>
      </c>
      <c r="AE473" s="25" t="str">
        <f t="shared" si="100"/>
        <v/>
      </c>
      <c r="AF473" s="17" t="str">
        <f t="shared" ca="1" si="101"/>
        <v/>
      </c>
      <c r="AG473" s="17" t="str">
        <f t="shared" si="102"/>
        <v/>
      </c>
      <c r="AH473" s="17" t="str">
        <f t="shared" si="103"/>
        <v/>
      </c>
      <c r="AI473" s="17" t="str">
        <f t="shared" ca="1" si="104"/>
        <v/>
      </c>
      <c r="AJ473" s="17" t="str">
        <f t="shared" ca="1" si="91"/>
        <v/>
      </c>
      <c r="AK473" s="17" t="str">
        <f t="shared" si="92"/>
        <v/>
      </c>
      <c r="AL473" s="17" t="str">
        <f t="shared" si="93"/>
        <v/>
      </c>
      <c r="AM473" s="17" t="str">
        <f t="shared" si="94"/>
        <v/>
      </c>
      <c r="AN473" s="17">
        <f t="shared" si="95"/>
        <v>0</v>
      </c>
      <c r="AO473" s="17" t="str">
        <f t="shared" ca="1" si="96"/>
        <v/>
      </c>
      <c r="AP473" s="17" t="str">
        <f t="shared" ca="1" si="97"/>
        <v/>
      </c>
      <c r="AQ473" s="17" t="str">
        <f t="shared" si="98"/>
        <v/>
      </c>
      <c r="AR473" s="17" t="str">
        <f t="shared" ca="1" si="99"/>
        <v/>
      </c>
      <c r="AS473" s="18"/>
      <c r="AT473" s="24">
        <f t="shared" si="105"/>
        <v>0</v>
      </c>
      <c r="AU473" s="24">
        <f t="shared" si="106"/>
        <v>0</v>
      </c>
      <c r="AV473" s="24">
        <f t="shared" si="107"/>
        <v>0</v>
      </c>
      <c r="AW473" s="24">
        <f t="shared" si="108"/>
        <v>0</v>
      </c>
      <c r="AX473" s="24">
        <f t="shared" si="109"/>
        <v>0</v>
      </c>
      <c r="AY473" s="24">
        <f t="shared" si="110"/>
        <v>0</v>
      </c>
      <c r="AZ473" s="18"/>
    </row>
    <row r="474" spans="1:52" x14ac:dyDescent="0.25">
      <c r="A474" s="16"/>
      <c r="B474" s="16"/>
      <c r="C474" s="65"/>
      <c r="D474" s="15"/>
      <c r="E474" s="15"/>
      <c r="F474" s="15"/>
      <c r="G474" s="16"/>
      <c r="H474" s="16"/>
      <c r="I474" s="16"/>
      <c r="J474" s="16"/>
      <c r="K474" s="86"/>
      <c r="L474" s="16"/>
      <c r="M474" s="15"/>
      <c r="N474" s="15"/>
      <c r="O474" s="20"/>
      <c r="P474" s="15"/>
      <c r="Q474" s="20"/>
      <c r="R474" s="15"/>
      <c r="S474" s="15"/>
      <c r="T474" s="15"/>
      <c r="U474" s="15"/>
      <c r="V474" s="17" t="str">
        <f>IF(U474="","",VLOOKUP(U474,References!C:D,2,0))</f>
        <v/>
      </c>
      <c r="W474" s="17" t="str">
        <f>IF(U474="","",VLOOKUP(U474,References!C:F,4,0))</f>
        <v/>
      </c>
      <c r="X474" s="16"/>
      <c r="Y474" s="20"/>
      <c r="Z474" s="15"/>
      <c r="AA474" s="22"/>
      <c r="AB474" s="90"/>
      <c r="AC474" s="22"/>
      <c r="AD474" s="25" t="str">
        <f t="shared" si="90"/>
        <v/>
      </c>
      <c r="AE474" s="25" t="str">
        <f t="shared" si="100"/>
        <v/>
      </c>
      <c r="AF474" s="17" t="str">
        <f t="shared" ca="1" si="101"/>
        <v/>
      </c>
      <c r="AG474" s="17" t="str">
        <f t="shared" si="102"/>
        <v/>
      </c>
      <c r="AH474" s="17" t="str">
        <f t="shared" si="103"/>
        <v/>
      </c>
      <c r="AI474" s="17" t="str">
        <f t="shared" ca="1" si="104"/>
        <v/>
      </c>
      <c r="AJ474" s="17" t="str">
        <f t="shared" ca="1" si="91"/>
        <v/>
      </c>
      <c r="AK474" s="17" t="str">
        <f t="shared" si="92"/>
        <v/>
      </c>
      <c r="AL474" s="17" t="str">
        <f t="shared" si="93"/>
        <v/>
      </c>
      <c r="AM474" s="17" t="str">
        <f t="shared" si="94"/>
        <v/>
      </c>
      <c r="AN474" s="17">
        <f t="shared" si="95"/>
        <v>0</v>
      </c>
      <c r="AO474" s="17" t="str">
        <f t="shared" ca="1" si="96"/>
        <v/>
      </c>
      <c r="AP474" s="17" t="str">
        <f t="shared" ca="1" si="97"/>
        <v/>
      </c>
      <c r="AQ474" s="17" t="str">
        <f t="shared" si="98"/>
        <v/>
      </c>
      <c r="AR474" s="17" t="str">
        <f t="shared" ca="1" si="99"/>
        <v/>
      </c>
      <c r="AS474" s="18"/>
      <c r="AT474" s="24">
        <f t="shared" si="105"/>
        <v>0</v>
      </c>
      <c r="AU474" s="24">
        <f t="shared" si="106"/>
        <v>0</v>
      </c>
      <c r="AV474" s="24">
        <f t="shared" si="107"/>
        <v>0</v>
      </c>
      <c r="AW474" s="24">
        <f t="shared" si="108"/>
        <v>0</v>
      </c>
      <c r="AX474" s="24">
        <f t="shared" si="109"/>
        <v>0</v>
      </c>
      <c r="AY474" s="24">
        <f t="shared" si="110"/>
        <v>0</v>
      </c>
      <c r="AZ474" s="18"/>
    </row>
    <row r="475" spans="1:52" x14ac:dyDescent="0.25">
      <c r="A475" s="16"/>
      <c r="B475" s="16"/>
      <c r="C475" s="65"/>
      <c r="D475" s="15"/>
      <c r="E475" s="15"/>
      <c r="F475" s="15"/>
      <c r="G475" s="16"/>
      <c r="H475" s="16"/>
      <c r="I475" s="16"/>
      <c r="J475" s="16"/>
      <c r="K475" s="86"/>
      <c r="L475" s="16"/>
      <c r="M475" s="15"/>
      <c r="N475" s="15"/>
      <c r="O475" s="20"/>
      <c r="P475" s="15"/>
      <c r="Q475" s="20"/>
      <c r="R475" s="15"/>
      <c r="S475" s="15"/>
      <c r="T475" s="15"/>
      <c r="U475" s="15"/>
      <c r="V475" s="17" t="str">
        <f>IF(U475="","",VLOOKUP(U475,References!C:D,2,0))</f>
        <v/>
      </c>
      <c r="W475" s="17" t="str">
        <f>IF(U475="","",VLOOKUP(U475,References!C:F,4,0))</f>
        <v/>
      </c>
      <c r="X475" s="16"/>
      <c r="Y475" s="20"/>
      <c r="Z475" s="15"/>
      <c r="AA475" s="22"/>
      <c r="AB475" s="90"/>
      <c r="AC475" s="22"/>
      <c r="AD475" s="25" t="str">
        <f t="shared" si="90"/>
        <v/>
      </c>
      <c r="AE475" s="25" t="str">
        <f t="shared" si="100"/>
        <v/>
      </c>
      <c r="AF475" s="17" t="str">
        <f t="shared" ca="1" si="101"/>
        <v/>
      </c>
      <c r="AG475" s="17" t="str">
        <f t="shared" si="102"/>
        <v/>
      </c>
      <c r="AH475" s="17" t="str">
        <f t="shared" si="103"/>
        <v/>
      </c>
      <c r="AI475" s="17" t="str">
        <f t="shared" ca="1" si="104"/>
        <v/>
      </c>
      <c r="AJ475" s="17" t="str">
        <f t="shared" ca="1" si="91"/>
        <v/>
      </c>
      <c r="AK475" s="17" t="str">
        <f t="shared" si="92"/>
        <v/>
      </c>
      <c r="AL475" s="17" t="str">
        <f t="shared" si="93"/>
        <v/>
      </c>
      <c r="AM475" s="17" t="str">
        <f t="shared" si="94"/>
        <v/>
      </c>
      <c r="AN475" s="17">
        <f t="shared" si="95"/>
        <v>0</v>
      </c>
      <c r="AO475" s="17" t="str">
        <f t="shared" ca="1" si="96"/>
        <v/>
      </c>
      <c r="AP475" s="17" t="str">
        <f t="shared" ca="1" si="97"/>
        <v/>
      </c>
      <c r="AQ475" s="17" t="str">
        <f t="shared" si="98"/>
        <v/>
      </c>
      <c r="AR475" s="17" t="str">
        <f t="shared" ca="1" si="99"/>
        <v/>
      </c>
      <c r="AS475" s="18"/>
      <c r="AT475" s="24">
        <f t="shared" si="105"/>
        <v>0</v>
      </c>
      <c r="AU475" s="24">
        <f t="shared" si="106"/>
        <v>0</v>
      </c>
      <c r="AV475" s="24">
        <f t="shared" si="107"/>
        <v>0</v>
      </c>
      <c r="AW475" s="24">
        <f t="shared" si="108"/>
        <v>0</v>
      </c>
      <c r="AX475" s="24">
        <f t="shared" si="109"/>
        <v>0</v>
      </c>
      <c r="AY475" s="24">
        <f t="shared" si="110"/>
        <v>0</v>
      </c>
      <c r="AZ475" s="18"/>
    </row>
    <row r="476" spans="1:52" x14ac:dyDescent="0.25">
      <c r="A476" s="16"/>
      <c r="B476" s="16"/>
      <c r="C476" s="65"/>
      <c r="D476" s="15"/>
      <c r="E476" s="15"/>
      <c r="F476" s="15"/>
      <c r="G476" s="16"/>
      <c r="H476" s="16"/>
      <c r="I476" s="16"/>
      <c r="J476" s="16"/>
      <c r="K476" s="86"/>
      <c r="L476" s="16"/>
      <c r="M476" s="15"/>
      <c r="N476" s="15"/>
      <c r="O476" s="20"/>
      <c r="P476" s="15"/>
      <c r="Q476" s="20"/>
      <c r="R476" s="15"/>
      <c r="S476" s="15"/>
      <c r="T476" s="15"/>
      <c r="U476" s="15"/>
      <c r="V476" s="17" t="str">
        <f>IF(U476="","",VLOOKUP(U476,References!C:D,2,0))</f>
        <v/>
      </c>
      <c r="W476" s="17" t="str">
        <f>IF(U476="","",VLOOKUP(U476,References!C:F,4,0))</f>
        <v/>
      </c>
      <c r="X476" s="16"/>
      <c r="Y476" s="20"/>
      <c r="Z476" s="15"/>
      <c r="AA476" s="22"/>
      <c r="AB476" s="90"/>
      <c r="AC476" s="22"/>
      <c r="AD476" s="25" t="str">
        <f t="shared" si="90"/>
        <v/>
      </c>
      <c r="AE476" s="25" t="str">
        <f t="shared" si="100"/>
        <v/>
      </c>
      <c r="AF476" s="17" t="str">
        <f t="shared" ca="1" si="101"/>
        <v/>
      </c>
      <c r="AG476" s="17" t="str">
        <f t="shared" si="102"/>
        <v/>
      </c>
      <c r="AH476" s="17" t="str">
        <f t="shared" si="103"/>
        <v/>
      </c>
      <c r="AI476" s="17" t="str">
        <f t="shared" ca="1" si="104"/>
        <v/>
      </c>
      <c r="AJ476" s="17" t="str">
        <f t="shared" ca="1" si="91"/>
        <v/>
      </c>
      <c r="AK476" s="17" t="str">
        <f t="shared" si="92"/>
        <v/>
      </c>
      <c r="AL476" s="17" t="str">
        <f t="shared" si="93"/>
        <v/>
      </c>
      <c r="AM476" s="17" t="str">
        <f t="shared" si="94"/>
        <v/>
      </c>
      <c r="AN476" s="17">
        <f t="shared" si="95"/>
        <v>0</v>
      </c>
      <c r="AO476" s="17" t="str">
        <f t="shared" ca="1" si="96"/>
        <v/>
      </c>
      <c r="AP476" s="17" t="str">
        <f t="shared" ca="1" si="97"/>
        <v/>
      </c>
      <c r="AQ476" s="17" t="str">
        <f t="shared" si="98"/>
        <v/>
      </c>
      <c r="AR476" s="17" t="str">
        <f t="shared" ca="1" si="99"/>
        <v/>
      </c>
      <c r="AS476" s="18"/>
      <c r="AT476" s="24">
        <f t="shared" si="105"/>
        <v>0</v>
      </c>
      <c r="AU476" s="24">
        <f t="shared" si="106"/>
        <v>0</v>
      </c>
      <c r="AV476" s="24">
        <f t="shared" si="107"/>
        <v>0</v>
      </c>
      <c r="AW476" s="24">
        <f t="shared" si="108"/>
        <v>0</v>
      </c>
      <c r="AX476" s="24">
        <f t="shared" si="109"/>
        <v>0</v>
      </c>
      <c r="AY476" s="24">
        <f t="shared" si="110"/>
        <v>0</v>
      </c>
      <c r="AZ476" s="18"/>
    </row>
    <row r="477" spans="1:52" x14ac:dyDescent="0.25">
      <c r="A477" s="16"/>
      <c r="B477" s="16"/>
      <c r="C477" s="65"/>
      <c r="D477" s="15"/>
      <c r="E477" s="15"/>
      <c r="F477" s="15"/>
      <c r="G477" s="16"/>
      <c r="H477" s="16"/>
      <c r="I477" s="16"/>
      <c r="J477" s="16"/>
      <c r="K477" s="86"/>
      <c r="L477" s="16"/>
      <c r="M477" s="15"/>
      <c r="N477" s="15"/>
      <c r="O477" s="20"/>
      <c r="P477" s="15"/>
      <c r="Q477" s="20"/>
      <c r="R477" s="15"/>
      <c r="S477" s="15"/>
      <c r="T477" s="15"/>
      <c r="U477" s="15"/>
      <c r="V477" s="17" t="str">
        <f>IF(U477="","",VLOOKUP(U477,References!C:D,2,0))</f>
        <v/>
      </c>
      <c r="W477" s="17" t="str">
        <f>IF(U477="","",VLOOKUP(U477,References!C:F,4,0))</f>
        <v/>
      </c>
      <c r="X477" s="16"/>
      <c r="Y477" s="20"/>
      <c r="Z477" s="15"/>
      <c r="AA477" s="22"/>
      <c r="AB477" s="90"/>
      <c r="AC477" s="22"/>
      <c r="AD477" s="25" t="str">
        <f t="shared" si="90"/>
        <v/>
      </c>
      <c r="AE477" s="25" t="str">
        <f t="shared" si="100"/>
        <v/>
      </c>
      <c r="AF477" s="17" t="str">
        <f t="shared" ca="1" si="101"/>
        <v/>
      </c>
      <c r="AG477" s="17" t="str">
        <f t="shared" si="102"/>
        <v/>
      </c>
      <c r="AH477" s="17" t="str">
        <f t="shared" si="103"/>
        <v/>
      </c>
      <c r="AI477" s="17" t="str">
        <f t="shared" ca="1" si="104"/>
        <v/>
      </c>
      <c r="AJ477" s="17" t="str">
        <f t="shared" ca="1" si="91"/>
        <v/>
      </c>
      <c r="AK477" s="17" t="str">
        <f t="shared" si="92"/>
        <v/>
      </c>
      <c r="AL477" s="17" t="str">
        <f t="shared" si="93"/>
        <v/>
      </c>
      <c r="AM477" s="17" t="str">
        <f t="shared" si="94"/>
        <v/>
      </c>
      <c r="AN477" s="17">
        <f t="shared" si="95"/>
        <v>0</v>
      </c>
      <c r="AO477" s="17" t="str">
        <f t="shared" ca="1" si="96"/>
        <v/>
      </c>
      <c r="AP477" s="17" t="str">
        <f t="shared" ca="1" si="97"/>
        <v/>
      </c>
      <c r="AQ477" s="17" t="str">
        <f t="shared" si="98"/>
        <v/>
      </c>
      <c r="AR477" s="17" t="str">
        <f t="shared" ca="1" si="99"/>
        <v/>
      </c>
      <c r="AS477" s="18"/>
      <c r="AT477" s="24">
        <f t="shared" si="105"/>
        <v>0</v>
      </c>
      <c r="AU477" s="24">
        <f t="shared" si="106"/>
        <v>0</v>
      </c>
      <c r="AV477" s="24">
        <f t="shared" si="107"/>
        <v>0</v>
      </c>
      <c r="AW477" s="24">
        <f t="shared" si="108"/>
        <v>0</v>
      </c>
      <c r="AX477" s="24">
        <f t="shared" si="109"/>
        <v>0</v>
      </c>
      <c r="AY477" s="24">
        <f t="shared" si="110"/>
        <v>0</v>
      </c>
      <c r="AZ477" s="18"/>
    </row>
    <row r="478" spans="1:52" x14ac:dyDescent="0.25">
      <c r="A478" s="16"/>
      <c r="B478" s="16"/>
      <c r="C478" s="65"/>
      <c r="D478" s="15"/>
      <c r="E478" s="15"/>
      <c r="F478" s="15"/>
      <c r="G478" s="16"/>
      <c r="H478" s="16"/>
      <c r="I478" s="16"/>
      <c r="J478" s="16"/>
      <c r="K478" s="86"/>
      <c r="L478" s="16"/>
      <c r="M478" s="15"/>
      <c r="N478" s="15"/>
      <c r="O478" s="20"/>
      <c r="P478" s="15"/>
      <c r="Q478" s="20"/>
      <c r="R478" s="15"/>
      <c r="S478" s="15"/>
      <c r="T478" s="15"/>
      <c r="U478" s="15"/>
      <c r="V478" s="17" t="str">
        <f>IF(U478="","",VLOOKUP(U478,References!C:D,2,0))</f>
        <v/>
      </c>
      <c r="W478" s="17" t="str">
        <f>IF(U478="","",VLOOKUP(U478,References!C:F,4,0))</f>
        <v/>
      </c>
      <c r="X478" s="16"/>
      <c r="Y478" s="20"/>
      <c r="Z478" s="15"/>
      <c r="AA478" s="22"/>
      <c r="AB478" s="90"/>
      <c r="AC478" s="22"/>
      <c r="AD478" s="25" t="str">
        <f t="shared" si="90"/>
        <v/>
      </c>
      <c r="AE478" s="25" t="str">
        <f t="shared" si="100"/>
        <v/>
      </c>
      <c r="AF478" s="17" t="str">
        <f t="shared" ca="1" si="101"/>
        <v/>
      </c>
      <c r="AG478" s="17" t="str">
        <f t="shared" si="102"/>
        <v/>
      </c>
      <c r="AH478" s="17" t="str">
        <f t="shared" si="103"/>
        <v/>
      </c>
      <c r="AI478" s="17" t="str">
        <f t="shared" ca="1" si="104"/>
        <v/>
      </c>
      <c r="AJ478" s="17" t="str">
        <f t="shared" ca="1" si="91"/>
        <v/>
      </c>
      <c r="AK478" s="17" t="str">
        <f t="shared" si="92"/>
        <v/>
      </c>
      <c r="AL478" s="17" t="str">
        <f t="shared" si="93"/>
        <v/>
      </c>
      <c r="AM478" s="17" t="str">
        <f t="shared" si="94"/>
        <v/>
      </c>
      <c r="AN478" s="17">
        <f t="shared" si="95"/>
        <v>0</v>
      </c>
      <c r="AO478" s="17" t="str">
        <f t="shared" ca="1" si="96"/>
        <v/>
      </c>
      <c r="AP478" s="17" t="str">
        <f t="shared" ca="1" si="97"/>
        <v/>
      </c>
      <c r="AQ478" s="17" t="str">
        <f t="shared" si="98"/>
        <v/>
      </c>
      <c r="AR478" s="17" t="str">
        <f t="shared" ca="1" si="99"/>
        <v/>
      </c>
      <c r="AS478" s="18"/>
      <c r="AT478" s="24">
        <f t="shared" si="105"/>
        <v>0</v>
      </c>
      <c r="AU478" s="24">
        <f t="shared" si="106"/>
        <v>0</v>
      </c>
      <c r="AV478" s="24">
        <f t="shared" si="107"/>
        <v>0</v>
      </c>
      <c r="AW478" s="24">
        <f t="shared" si="108"/>
        <v>0</v>
      </c>
      <c r="AX478" s="24">
        <f t="shared" si="109"/>
        <v>0</v>
      </c>
      <c r="AY478" s="24">
        <f t="shared" si="110"/>
        <v>0</v>
      </c>
      <c r="AZ478" s="18"/>
    </row>
    <row r="479" spans="1:52" x14ac:dyDescent="0.25">
      <c r="A479" s="16"/>
      <c r="B479" s="16"/>
      <c r="C479" s="65"/>
      <c r="D479" s="15"/>
      <c r="E479" s="15"/>
      <c r="F479" s="15"/>
      <c r="G479" s="16"/>
      <c r="H479" s="16"/>
      <c r="I479" s="16"/>
      <c r="J479" s="16"/>
      <c r="K479" s="86"/>
      <c r="L479" s="16"/>
      <c r="M479" s="15"/>
      <c r="N479" s="15"/>
      <c r="O479" s="20"/>
      <c r="P479" s="15"/>
      <c r="Q479" s="20"/>
      <c r="R479" s="15"/>
      <c r="S479" s="15"/>
      <c r="T479" s="15"/>
      <c r="U479" s="15"/>
      <c r="V479" s="17" t="str">
        <f>IF(U479="","",VLOOKUP(U479,References!C:D,2,0))</f>
        <v/>
      </c>
      <c r="W479" s="17" t="str">
        <f>IF(U479="","",VLOOKUP(U479,References!C:F,4,0))</f>
        <v/>
      </c>
      <c r="X479" s="16"/>
      <c r="Y479" s="20"/>
      <c r="Z479" s="15"/>
      <c r="AA479" s="22"/>
      <c r="AB479" s="90"/>
      <c r="AC479" s="22"/>
      <c r="AD479" s="25" t="str">
        <f t="shared" si="90"/>
        <v/>
      </c>
      <c r="AE479" s="25" t="str">
        <f t="shared" si="100"/>
        <v/>
      </c>
      <c r="AF479" s="17" t="str">
        <f t="shared" ca="1" si="101"/>
        <v/>
      </c>
      <c r="AG479" s="17" t="str">
        <f t="shared" si="102"/>
        <v/>
      </c>
      <c r="AH479" s="17" t="str">
        <f t="shared" si="103"/>
        <v/>
      </c>
      <c r="AI479" s="17" t="str">
        <f t="shared" ca="1" si="104"/>
        <v/>
      </c>
      <c r="AJ479" s="17" t="str">
        <f t="shared" ca="1" si="91"/>
        <v/>
      </c>
      <c r="AK479" s="17" t="str">
        <f t="shared" si="92"/>
        <v/>
      </c>
      <c r="AL479" s="17" t="str">
        <f t="shared" si="93"/>
        <v/>
      </c>
      <c r="AM479" s="17" t="str">
        <f t="shared" si="94"/>
        <v/>
      </c>
      <c r="AN479" s="17">
        <f t="shared" si="95"/>
        <v>0</v>
      </c>
      <c r="AO479" s="17" t="str">
        <f t="shared" ca="1" si="96"/>
        <v/>
      </c>
      <c r="AP479" s="17" t="str">
        <f t="shared" ca="1" si="97"/>
        <v/>
      </c>
      <c r="AQ479" s="17" t="str">
        <f t="shared" si="98"/>
        <v/>
      </c>
      <c r="AR479" s="17" t="str">
        <f t="shared" ca="1" si="99"/>
        <v/>
      </c>
      <c r="AS479" s="18"/>
      <c r="AT479" s="24">
        <f t="shared" si="105"/>
        <v>0</v>
      </c>
      <c r="AU479" s="24">
        <f t="shared" si="106"/>
        <v>0</v>
      </c>
      <c r="AV479" s="24">
        <f t="shared" si="107"/>
        <v>0</v>
      </c>
      <c r="AW479" s="24">
        <f t="shared" si="108"/>
        <v>0</v>
      </c>
      <c r="AX479" s="24">
        <f t="shared" si="109"/>
        <v>0</v>
      </c>
      <c r="AY479" s="24">
        <f t="shared" si="110"/>
        <v>0</v>
      </c>
      <c r="AZ479" s="18"/>
    </row>
    <row r="480" spans="1:52" x14ac:dyDescent="0.25">
      <c r="A480" s="16"/>
      <c r="B480" s="16"/>
      <c r="C480" s="65"/>
      <c r="D480" s="15"/>
      <c r="E480" s="15"/>
      <c r="F480" s="15"/>
      <c r="G480" s="16"/>
      <c r="H480" s="16"/>
      <c r="I480" s="16"/>
      <c r="J480" s="16"/>
      <c r="K480" s="86"/>
      <c r="L480" s="16"/>
      <c r="M480" s="15"/>
      <c r="N480" s="15"/>
      <c r="O480" s="20"/>
      <c r="P480" s="15"/>
      <c r="Q480" s="20"/>
      <c r="R480" s="15"/>
      <c r="S480" s="15"/>
      <c r="T480" s="15"/>
      <c r="U480" s="15"/>
      <c r="V480" s="17" t="str">
        <f>IF(U480="","",VLOOKUP(U480,References!C:D,2,0))</f>
        <v/>
      </c>
      <c r="W480" s="17" t="str">
        <f>IF(U480="","",VLOOKUP(U480,References!C:F,4,0))</f>
        <v/>
      </c>
      <c r="X480" s="16"/>
      <c r="Y480" s="20"/>
      <c r="Z480" s="15"/>
      <c r="AA480" s="22"/>
      <c r="AB480" s="90"/>
      <c r="AC480" s="22"/>
      <c r="AD480" s="25" t="str">
        <f t="shared" si="90"/>
        <v/>
      </c>
      <c r="AE480" s="25" t="str">
        <f t="shared" si="100"/>
        <v/>
      </c>
      <c r="AF480" s="17" t="str">
        <f t="shared" ca="1" si="101"/>
        <v/>
      </c>
      <c r="AG480" s="17" t="str">
        <f t="shared" si="102"/>
        <v/>
      </c>
      <c r="AH480" s="17" t="str">
        <f t="shared" si="103"/>
        <v/>
      </c>
      <c r="AI480" s="17" t="str">
        <f t="shared" ca="1" si="104"/>
        <v/>
      </c>
      <c r="AJ480" s="17" t="str">
        <f t="shared" ca="1" si="91"/>
        <v/>
      </c>
      <c r="AK480" s="17" t="str">
        <f t="shared" si="92"/>
        <v/>
      </c>
      <c r="AL480" s="17" t="str">
        <f t="shared" si="93"/>
        <v/>
      </c>
      <c r="AM480" s="17" t="str">
        <f t="shared" si="94"/>
        <v/>
      </c>
      <c r="AN480" s="17">
        <f t="shared" si="95"/>
        <v>0</v>
      </c>
      <c r="AO480" s="17" t="str">
        <f t="shared" ca="1" si="96"/>
        <v/>
      </c>
      <c r="AP480" s="17" t="str">
        <f t="shared" ca="1" si="97"/>
        <v/>
      </c>
      <c r="AQ480" s="17" t="str">
        <f t="shared" si="98"/>
        <v/>
      </c>
      <c r="AR480" s="17" t="str">
        <f t="shared" ca="1" si="99"/>
        <v/>
      </c>
      <c r="AS480" s="18"/>
      <c r="AT480" s="24">
        <f t="shared" si="105"/>
        <v>0</v>
      </c>
      <c r="AU480" s="24">
        <f t="shared" si="106"/>
        <v>0</v>
      </c>
      <c r="AV480" s="24">
        <f t="shared" si="107"/>
        <v>0</v>
      </c>
      <c r="AW480" s="24">
        <f t="shared" si="108"/>
        <v>0</v>
      </c>
      <c r="AX480" s="24">
        <f t="shared" si="109"/>
        <v>0</v>
      </c>
      <c r="AY480" s="24">
        <f t="shared" si="110"/>
        <v>0</v>
      </c>
      <c r="AZ480" s="18"/>
    </row>
    <row r="481" spans="1:52" x14ac:dyDescent="0.25">
      <c r="A481" s="16"/>
      <c r="B481" s="16"/>
      <c r="C481" s="65"/>
      <c r="D481" s="15"/>
      <c r="E481" s="15"/>
      <c r="F481" s="15"/>
      <c r="G481" s="16"/>
      <c r="H481" s="16"/>
      <c r="I481" s="16"/>
      <c r="J481" s="16"/>
      <c r="K481" s="86"/>
      <c r="L481" s="16"/>
      <c r="M481" s="15"/>
      <c r="N481" s="15"/>
      <c r="O481" s="20"/>
      <c r="P481" s="15"/>
      <c r="Q481" s="20"/>
      <c r="R481" s="15"/>
      <c r="S481" s="15"/>
      <c r="T481" s="15"/>
      <c r="U481" s="15"/>
      <c r="V481" s="17" t="str">
        <f>IF(U481="","",VLOOKUP(U481,References!C:D,2,0))</f>
        <v/>
      </c>
      <c r="W481" s="17" t="str">
        <f>IF(U481="","",VLOOKUP(U481,References!C:F,4,0))</f>
        <v/>
      </c>
      <c r="X481" s="16"/>
      <c r="Y481" s="20"/>
      <c r="Z481" s="15"/>
      <c r="AA481" s="22"/>
      <c r="AB481" s="90"/>
      <c r="AC481" s="22"/>
      <c r="AD481" s="25" t="str">
        <f t="shared" si="90"/>
        <v/>
      </c>
      <c r="AE481" s="25" t="str">
        <f t="shared" si="100"/>
        <v/>
      </c>
      <c r="AF481" s="17" t="str">
        <f t="shared" ca="1" si="101"/>
        <v/>
      </c>
      <c r="AG481" s="17" t="str">
        <f t="shared" si="102"/>
        <v/>
      </c>
      <c r="AH481" s="17" t="str">
        <f t="shared" si="103"/>
        <v/>
      </c>
      <c r="AI481" s="17" t="str">
        <f t="shared" ca="1" si="104"/>
        <v/>
      </c>
      <c r="AJ481" s="17" t="str">
        <f t="shared" ca="1" si="91"/>
        <v/>
      </c>
      <c r="AK481" s="17" t="str">
        <f t="shared" si="92"/>
        <v/>
      </c>
      <c r="AL481" s="17" t="str">
        <f t="shared" si="93"/>
        <v/>
      </c>
      <c r="AM481" s="17" t="str">
        <f t="shared" si="94"/>
        <v/>
      </c>
      <c r="AN481" s="17">
        <f t="shared" si="95"/>
        <v>0</v>
      </c>
      <c r="AO481" s="17" t="str">
        <f t="shared" ca="1" si="96"/>
        <v/>
      </c>
      <c r="AP481" s="17" t="str">
        <f t="shared" ca="1" si="97"/>
        <v/>
      </c>
      <c r="AQ481" s="17" t="str">
        <f t="shared" si="98"/>
        <v/>
      </c>
      <c r="AR481" s="17" t="str">
        <f t="shared" ca="1" si="99"/>
        <v/>
      </c>
      <c r="AS481" s="18"/>
      <c r="AT481" s="24">
        <f t="shared" si="105"/>
        <v>0</v>
      </c>
      <c r="AU481" s="24">
        <f t="shared" si="106"/>
        <v>0</v>
      </c>
      <c r="AV481" s="24">
        <f t="shared" si="107"/>
        <v>0</v>
      </c>
      <c r="AW481" s="24">
        <f t="shared" si="108"/>
        <v>0</v>
      </c>
      <c r="AX481" s="24">
        <f t="shared" si="109"/>
        <v>0</v>
      </c>
      <c r="AY481" s="24">
        <f t="shared" si="110"/>
        <v>0</v>
      </c>
      <c r="AZ481" s="18"/>
    </row>
    <row r="482" spans="1:52" x14ac:dyDescent="0.25">
      <c r="A482" s="16"/>
      <c r="B482" s="16"/>
      <c r="C482" s="65"/>
      <c r="D482" s="15"/>
      <c r="E482" s="15"/>
      <c r="F482" s="15"/>
      <c r="G482" s="16"/>
      <c r="H482" s="16"/>
      <c r="I482" s="16"/>
      <c r="J482" s="16"/>
      <c r="K482" s="86"/>
      <c r="L482" s="16"/>
      <c r="M482" s="15"/>
      <c r="N482" s="15"/>
      <c r="O482" s="20"/>
      <c r="P482" s="15"/>
      <c r="Q482" s="20"/>
      <c r="R482" s="15"/>
      <c r="S482" s="15"/>
      <c r="T482" s="15"/>
      <c r="U482" s="15"/>
      <c r="V482" s="17" t="str">
        <f>IF(U482="","",VLOOKUP(U482,References!C:D,2,0))</f>
        <v/>
      </c>
      <c r="W482" s="17" t="str">
        <f>IF(U482="","",VLOOKUP(U482,References!C:F,4,0))</f>
        <v/>
      </c>
      <c r="X482" s="16"/>
      <c r="Y482" s="20"/>
      <c r="Z482" s="15"/>
      <c r="AA482" s="22"/>
      <c r="AB482" s="90"/>
      <c r="AC482" s="22"/>
      <c r="AD482" s="25" t="str">
        <f t="shared" si="90"/>
        <v/>
      </c>
      <c r="AE482" s="25" t="str">
        <f t="shared" si="100"/>
        <v/>
      </c>
      <c r="AF482" s="17" t="str">
        <f t="shared" ca="1" si="101"/>
        <v/>
      </c>
      <c r="AG482" s="17" t="str">
        <f t="shared" si="102"/>
        <v/>
      </c>
      <c r="AH482" s="17" t="str">
        <f t="shared" si="103"/>
        <v/>
      </c>
      <c r="AI482" s="17" t="str">
        <f t="shared" ca="1" si="104"/>
        <v/>
      </c>
      <c r="AJ482" s="17" t="str">
        <f t="shared" ca="1" si="91"/>
        <v/>
      </c>
      <c r="AK482" s="17" t="str">
        <f t="shared" si="92"/>
        <v/>
      </c>
      <c r="AL482" s="17" t="str">
        <f t="shared" si="93"/>
        <v/>
      </c>
      <c r="AM482" s="17" t="str">
        <f t="shared" si="94"/>
        <v/>
      </c>
      <c r="AN482" s="17">
        <f t="shared" si="95"/>
        <v>0</v>
      </c>
      <c r="AO482" s="17" t="str">
        <f t="shared" ca="1" si="96"/>
        <v/>
      </c>
      <c r="AP482" s="17" t="str">
        <f t="shared" ca="1" si="97"/>
        <v/>
      </c>
      <c r="AQ482" s="17" t="str">
        <f t="shared" si="98"/>
        <v/>
      </c>
      <c r="AR482" s="17" t="str">
        <f t="shared" ca="1" si="99"/>
        <v/>
      </c>
      <c r="AS482" s="18"/>
      <c r="AT482" s="24">
        <f t="shared" si="105"/>
        <v>0</v>
      </c>
      <c r="AU482" s="24">
        <f t="shared" si="106"/>
        <v>0</v>
      </c>
      <c r="AV482" s="24">
        <f t="shared" si="107"/>
        <v>0</v>
      </c>
      <c r="AW482" s="24">
        <f t="shared" si="108"/>
        <v>0</v>
      </c>
      <c r="AX482" s="24">
        <f t="shared" si="109"/>
        <v>0</v>
      </c>
      <c r="AY482" s="24">
        <f t="shared" si="110"/>
        <v>0</v>
      </c>
      <c r="AZ482" s="18"/>
    </row>
    <row r="483" spans="1:52" x14ac:dyDescent="0.25">
      <c r="A483" s="16"/>
      <c r="B483" s="16"/>
      <c r="C483" s="65"/>
      <c r="D483" s="15"/>
      <c r="E483" s="15"/>
      <c r="F483" s="15"/>
      <c r="G483" s="16"/>
      <c r="H483" s="16"/>
      <c r="I483" s="16"/>
      <c r="J483" s="16"/>
      <c r="K483" s="86"/>
      <c r="L483" s="16"/>
      <c r="M483" s="15"/>
      <c r="N483" s="15"/>
      <c r="O483" s="20"/>
      <c r="P483" s="15"/>
      <c r="Q483" s="20"/>
      <c r="R483" s="15"/>
      <c r="S483" s="15"/>
      <c r="T483" s="15"/>
      <c r="U483" s="15"/>
      <c r="V483" s="17" t="str">
        <f>IF(U483="","",VLOOKUP(U483,References!C:D,2,0))</f>
        <v/>
      </c>
      <c r="W483" s="17" t="str">
        <f>IF(U483="","",VLOOKUP(U483,References!C:F,4,0))</f>
        <v/>
      </c>
      <c r="X483" s="16"/>
      <c r="Y483" s="20"/>
      <c r="Z483" s="15"/>
      <c r="AA483" s="22"/>
      <c r="AB483" s="90"/>
      <c r="AC483" s="22"/>
      <c r="AD483" s="25" t="str">
        <f t="shared" si="90"/>
        <v/>
      </c>
      <c r="AE483" s="25" t="str">
        <f t="shared" si="100"/>
        <v/>
      </c>
      <c r="AF483" s="17" t="str">
        <f t="shared" ca="1" si="101"/>
        <v/>
      </c>
      <c r="AG483" s="17" t="str">
        <f t="shared" si="102"/>
        <v/>
      </c>
      <c r="AH483" s="17" t="str">
        <f t="shared" si="103"/>
        <v/>
      </c>
      <c r="AI483" s="17" t="str">
        <f t="shared" ca="1" si="104"/>
        <v/>
      </c>
      <c r="AJ483" s="17" t="str">
        <f t="shared" ca="1" si="91"/>
        <v/>
      </c>
      <c r="AK483" s="17" t="str">
        <f t="shared" si="92"/>
        <v/>
      </c>
      <c r="AL483" s="17" t="str">
        <f t="shared" si="93"/>
        <v/>
      </c>
      <c r="AM483" s="17" t="str">
        <f t="shared" si="94"/>
        <v/>
      </c>
      <c r="AN483" s="17">
        <f t="shared" si="95"/>
        <v>0</v>
      </c>
      <c r="AO483" s="17" t="str">
        <f t="shared" ca="1" si="96"/>
        <v/>
      </c>
      <c r="AP483" s="17" t="str">
        <f t="shared" ca="1" si="97"/>
        <v/>
      </c>
      <c r="AQ483" s="17" t="str">
        <f t="shared" si="98"/>
        <v/>
      </c>
      <c r="AR483" s="17" t="str">
        <f t="shared" ca="1" si="99"/>
        <v/>
      </c>
      <c r="AS483" s="18"/>
      <c r="AT483" s="24">
        <f t="shared" si="105"/>
        <v>0</v>
      </c>
      <c r="AU483" s="24">
        <f t="shared" si="106"/>
        <v>0</v>
      </c>
      <c r="AV483" s="24">
        <f t="shared" si="107"/>
        <v>0</v>
      </c>
      <c r="AW483" s="24">
        <f t="shared" si="108"/>
        <v>0</v>
      </c>
      <c r="AX483" s="24">
        <f t="shared" si="109"/>
        <v>0</v>
      </c>
      <c r="AY483" s="24">
        <f t="shared" si="110"/>
        <v>0</v>
      </c>
      <c r="AZ483" s="18"/>
    </row>
    <row r="484" spans="1:52" x14ac:dyDescent="0.25">
      <c r="A484" s="16"/>
      <c r="B484" s="16"/>
      <c r="C484" s="65"/>
      <c r="D484" s="15"/>
      <c r="E484" s="15"/>
      <c r="F484" s="15"/>
      <c r="G484" s="16"/>
      <c r="H484" s="16"/>
      <c r="I484" s="16"/>
      <c r="J484" s="16"/>
      <c r="K484" s="86"/>
      <c r="L484" s="16"/>
      <c r="M484" s="15"/>
      <c r="N484" s="15"/>
      <c r="O484" s="20"/>
      <c r="P484" s="15"/>
      <c r="Q484" s="20"/>
      <c r="R484" s="15"/>
      <c r="S484" s="15"/>
      <c r="T484" s="15"/>
      <c r="U484" s="15"/>
      <c r="V484" s="17" t="str">
        <f>IF(U484="","",VLOOKUP(U484,References!C:D,2,0))</f>
        <v/>
      </c>
      <c r="W484" s="17" t="str">
        <f>IF(U484="","",VLOOKUP(U484,References!C:F,4,0))</f>
        <v/>
      </c>
      <c r="X484" s="16"/>
      <c r="Y484" s="20"/>
      <c r="Z484" s="15"/>
      <c r="AA484" s="22"/>
      <c r="AB484" s="90"/>
      <c r="AC484" s="22"/>
      <c r="AD484" s="25" t="str">
        <f t="shared" si="90"/>
        <v/>
      </c>
      <c r="AE484" s="25" t="str">
        <f t="shared" si="100"/>
        <v/>
      </c>
      <c r="AF484" s="17" t="str">
        <f t="shared" ca="1" si="101"/>
        <v/>
      </c>
      <c r="AG484" s="17" t="str">
        <f t="shared" si="102"/>
        <v/>
      </c>
      <c r="AH484" s="17" t="str">
        <f t="shared" si="103"/>
        <v/>
      </c>
      <c r="AI484" s="17" t="str">
        <f t="shared" ca="1" si="104"/>
        <v/>
      </c>
      <c r="AJ484" s="17" t="str">
        <f t="shared" ca="1" si="91"/>
        <v/>
      </c>
      <c r="AK484" s="17" t="str">
        <f t="shared" si="92"/>
        <v/>
      </c>
      <c r="AL484" s="17" t="str">
        <f t="shared" si="93"/>
        <v/>
      </c>
      <c r="AM484" s="17" t="str">
        <f t="shared" si="94"/>
        <v/>
      </c>
      <c r="AN484" s="17">
        <f t="shared" si="95"/>
        <v>0</v>
      </c>
      <c r="AO484" s="17" t="str">
        <f t="shared" ca="1" si="96"/>
        <v/>
      </c>
      <c r="AP484" s="17" t="str">
        <f t="shared" ca="1" si="97"/>
        <v/>
      </c>
      <c r="AQ484" s="17" t="str">
        <f t="shared" si="98"/>
        <v/>
      </c>
      <c r="AR484" s="17" t="str">
        <f t="shared" ca="1" si="99"/>
        <v/>
      </c>
      <c r="AS484" s="18"/>
      <c r="AT484" s="24">
        <f t="shared" si="105"/>
        <v>0</v>
      </c>
      <c r="AU484" s="24">
        <f t="shared" si="106"/>
        <v>0</v>
      </c>
      <c r="AV484" s="24">
        <f t="shared" si="107"/>
        <v>0</v>
      </c>
      <c r="AW484" s="24">
        <f t="shared" si="108"/>
        <v>0</v>
      </c>
      <c r="AX484" s="24">
        <f t="shared" si="109"/>
        <v>0</v>
      </c>
      <c r="AY484" s="24">
        <f t="shared" si="110"/>
        <v>0</v>
      </c>
      <c r="AZ484" s="18"/>
    </row>
    <row r="485" spans="1:52" x14ac:dyDescent="0.25">
      <c r="A485" s="16"/>
      <c r="B485" s="16"/>
      <c r="C485" s="65"/>
      <c r="D485" s="15"/>
      <c r="E485" s="15"/>
      <c r="F485" s="15"/>
      <c r="G485" s="16"/>
      <c r="H485" s="16"/>
      <c r="I485" s="16"/>
      <c r="J485" s="16"/>
      <c r="K485" s="86"/>
      <c r="L485" s="16"/>
      <c r="M485" s="15"/>
      <c r="N485" s="15"/>
      <c r="O485" s="20"/>
      <c r="P485" s="15"/>
      <c r="Q485" s="20"/>
      <c r="R485" s="15"/>
      <c r="S485" s="15"/>
      <c r="T485" s="15"/>
      <c r="U485" s="15"/>
      <c r="V485" s="17" t="str">
        <f>IF(U485="","",VLOOKUP(U485,References!C:D,2,0))</f>
        <v/>
      </c>
      <c r="W485" s="17" t="str">
        <f>IF(U485="","",VLOOKUP(U485,References!C:F,4,0))</f>
        <v/>
      </c>
      <c r="X485" s="16"/>
      <c r="Y485" s="20"/>
      <c r="Z485" s="15"/>
      <c r="AA485" s="22"/>
      <c r="AB485" s="90"/>
      <c r="AC485" s="22"/>
      <c r="AD485" s="25" t="str">
        <f t="shared" si="90"/>
        <v/>
      </c>
      <c r="AE485" s="25" t="str">
        <f t="shared" si="100"/>
        <v/>
      </c>
      <c r="AF485" s="17" t="str">
        <f t="shared" ca="1" si="101"/>
        <v/>
      </c>
      <c r="AG485" s="17" t="str">
        <f t="shared" si="102"/>
        <v/>
      </c>
      <c r="AH485" s="17" t="str">
        <f t="shared" si="103"/>
        <v/>
      </c>
      <c r="AI485" s="17" t="str">
        <f t="shared" ca="1" si="104"/>
        <v/>
      </c>
      <c r="AJ485" s="17" t="str">
        <f t="shared" ca="1" si="91"/>
        <v/>
      </c>
      <c r="AK485" s="17" t="str">
        <f t="shared" si="92"/>
        <v/>
      </c>
      <c r="AL485" s="17" t="str">
        <f t="shared" si="93"/>
        <v/>
      </c>
      <c r="AM485" s="17" t="str">
        <f t="shared" si="94"/>
        <v/>
      </c>
      <c r="AN485" s="17">
        <f t="shared" si="95"/>
        <v>0</v>
      </c>
      <c r="AO485" s="17" t="str">
        <f t="shared" ca="1" si="96"/>
        <v/>
      </c>
      <c r="AP485" s="17" t="str">
        <f t="shared" ca="1" si="97"/>
        <v/>
      </c>
      <c r="AQ485" s="17" t="str">
        <f t="shared" si="98"/>
        <v/>
      </c>
      <c r="AR485" s="17" t="str">
        <f t="shared" ca="1" si="99"/>
        <v/>
      </c>
      <c r="AS485" s="18"/>
      <c r="AT485" s="24">
        <f t="shared" si="105"/>
        <v>0</v>
      </c>
      <c r="AU485" s="24">
        <f t="shared" si="106"/>
        <v>0</v>
      </c>
      <c r="AV485" s="24">
        <f t="shared" si="107"/>
        <v>0</v>
      </c>
      <c r="AW485" s="24">
        <f t="shared" si="108"/>
        <v>0</v>
      </c>
      <c r="AX485" s="24">
        <f t="shared" si="109"/>
        <v>0</v>
      </c>
      <c r="AY485" s="24">
        <f t="shared" si="110"/>
        <v>0</v>
      </c>
      <c r="AZ485" s="18"/>
    </row>
    <row r="486" spans="1:52" x14ac:dyDescent="0.25">
      <c r="A486" s="16"/>
      <c r="B486" s="16"/>
      <c r="C486" s="65"/>
      <c r="D486" s="15"/>
      <c r="E486" s="15"/>
      <c r="F486" s="15"/>
      <c r="G486" s="16"/>
      <c r="H486" s="16"/>
      <c r="I486" s="16"/>
      <c r="J486" s="16"/>
      <c r="K486" s="86"/>
      <c r="L486" s="16"/>
      <c r="M486" s="15"/>
      <c r="N486" s="15"/>
      <c r="O486" s="20"/>
      <c r="P486" s="15"/>
      <c r="Q486" s="20"/>
      <c r="R486" s="15"/>
      <c r="S486" s="15"/>
      <c r="T486" s="15"/>
      <c r="U486" s="15"/>
      <c r="V486" s="17" t="str">
        <f>IF(U486="","",VLOOKUP(U486,References!C:D,2,0))</f>
        <v/>
      </c>
      <c r="W486" s="17" t="str">
        <f>IF(U486="","",VLOOKUP(U486,References!C:F,4,0))</f>
        <v/>
      </c>
      <c r="X486" s="16"/>
      <c r="Y486" s="20"/>
      <c r="Z486" s="15"/>
      <c r="AA486" s="22"/>
      <c r="AB486" s="90"/>
      <c r="AC486" s="22"/>
      <c r="AD486" s="25" t="str">
        <f t="shared" si="90"/>
        <v/>
      </c>
      <c r="AE486" s="25" t="str">
        <f t="shared" si="100"/>
        <v/>
      </c>
      <c r="AF486" s="17" t="str">
        <f t="shared" ca="1" si="101"/>
        <v/>
      </c>
      <c r="AG486" s="17" t="str">
        <f t="shared" si="102"/>
        <v/>
      </c>
      <c r="AH486" s="17" t="str">
        <f t="shared" si="103"/>
        <v/>
      </c>
      <c r="AI486" s="17" t="str">
        <f t="shared" ca="1" si="104"/>
        <v/>
      </c>
      <c r="AJ486" s="17" t="str">
        <f t="shared" ca="1" si="91"/>
        <v/>
      </c>
      <c r="AK486" s="17" t="str">
        <f t="shared" si="92"/>
        <v/>
      </c>
      <c r="AL486" s="17" t="str">
        <f t="shared" si="93"/>
        <v/>
      </c>
      <c r="AM486" s="17" t="str">
        <f t="shared" si="94"/>
        <v/>
      </c>
      <c r="AN486" s="17">
        <f t="shared" si="95"/>
        <v>0</v>
      </c>
      <c r="AO486" s="17" t="str">
        <f t="shared" ca="1" si="96"/>
        <v/>
      </c>
      <c r="AP486" s="17" t="str">
        <f t="shared" ca="1" si="97"/>
        <v/>
      </c>
      <c r="AQ486" s="17" t="str">
        <f t="shared" si="98"/>
        <v/>
      </c>
      <c r="AR486" s="17" t="str">
        <f t="shared" ca="1" si="99"/>
        <v/>
      </c>
      <c r="AS486" s="18"/>
      <c r="AT486" s="24">
        <f t="shared" si="105"/>
        <v>0</v>
      </c>
      <c r="AU486" s="24">
        <f t="shared" si="106"/>
        <v>0</v>
      </c>
      <c r="AV486" s="24">
        <f t="shared" si="107"/>
        <v>0</v>
      </c>
      <c r="AW486" s="24">
        <f t="shared" si="108"/>
        <v>0</v>
      </c>
      <c r="AX486" s="24">
        <f t="shared" si="109"/>
        <v>0</v>
      </c>
      <c r="AY486" s="24">
        <f t="shared" si="110"/>
        <v>0</v>
      </c>
      <c r="AZ486" s="18"/>
    </row>
    <row r="487" spans="1:52" x14ac:dyDescent="0.25">
      <c r="A487" s="16"/>
      <c r="B487" s="16"/>
      <c r="C487" s="65"/>
      <c r="D487" s="15"/>
      <c r="E487" s="15"/>
      <c r="F487" s="15"/>
      <c r="G487" s="16"/>
      <c r="H487" s="16"/>
      <c r="I487" s="16"/>
      <c r="J487" s="16"/>
      <c r="K487" s="86"/>
      <c r="L487" s="16"/>
      <c r="M487" s="15"/>
      <c r="N487" s="15"/>
      <c r="O487" s="20"/>
      <c r="P487" s="15"/>
      <c r="Q487" s="20"/>
      <c r="R487" s="15"/>
      <c r="S487" s="15"/>
      <c r="T487" s="15"/>
      <c r="U487" s="15"/>
      <c r="V487" s="17" t="str">
        <f>IF(U487="","",VLOOKUP(U487,References!C:D,2,0))</f>
        <v/>
      </c>
      <c r="W487" s="17" t="str">
        <f>IF(U487="","",VLOOKUP(U487,References!C:F,4,0))</f>
        <v/>
      </c>
      <c r="X487" s="16"/>
      <c r="Y487" s="20"/>
      <c r="Z487" s="15"/>
      <c r="AA487" s="22"/>
      <c r="AB487" s="90"/>
      <c r="AC487" s="22"/>
      <c r="AD487" s="25" t="str">
        <f t="shared" si="90"/>
        <v/>
      </c>
      <c r="AE487" s="25" t="str">
        <f t="shared" si="100"/>
        <v/>
      </c>
      <c r="AF487" s="17" t="str">
        <f t="shared" ca="1" si="101"/>
        <v/>
      </c>
      <c r="AG487" s="17" t="str">
        <f t="shared" si="102"/>
        <v/>
      </c>
      <c r="AH487" s="17" t="str">
        <f t="shared" si="103"/>
        <v/>
      </c>
      <c r="AI487" s="17" t="str">
        <f t="shared" ca="1" si="104"/>
        <v/>
      </c>
      <c r="AJ487" s="17" t="str">
        <f t="shared" ca="1" si="91"/>
        <v/>
      </c>
      <c r="AK487" s="17" t="str">
        <f t="shared" si="92"/>
        <v/>
      </c>
      <c r="AL487" s="17" t="str">
        <f t="shared" si="93"/>
        <v/>
      </c>
      <c r="AM487" s="17" t="str">
        <f t="shared" si="94"/>
        <v/>
      </c>
      <c r="AN487" s="17">
        <f t="shared" si="95"/>
        <v>0</v>
      </c>
      <c r="AO487" s="17" t="str">
        <f t="shared" ca="1" si="96"/>
        <v/>
      </c>
      <c r="AP487" s="17" t="str">
        <f t="shared" ca="1" si="97"/>
        <v/>
      </c>
      <c r="AQ487" s="17" t="str">
        <f t="shared" si="98"/>
        <v/>
      </c>
      <c r="AR487" s="17" t="str">
        <f t="shared" ca="1" si="99"/>
        <v/>
      </c>
      <c r="AS487" s="18"/>
      <c r="AT487" s="24">
        <f t="shared" si="105"/>
        <v>0</v>
      </c>
      <c r="AU487" s="24">
        <f t="shared" si="106"/>
        <v>0</v>
      </c>
      <c r="AV487" s="24">
        <f t="shared" si="107"/>
        <v>0</v>
      </c>
      <c r="AW487" s="24">
        <f t="shared" si="108"/>
        <v>0</v>
      </c>
      <c r="AX487" s="24">
        <f t="shared" si="109"/>
        <v>0</v>
      </c>
      <c r="AY487" s="24">
        <f t="shared" si="110"/>
        <v>0</v>
      </c>
      <c r="AZ487" s="18"/>
    </row>
    <row r="488" spans="1:52" x14ac:dyDescent="0.25">
      <c r="A488" s="16"/>
      <c r="B488" s="16"/>
      <c r="C488" s="65"/>
      <c r="D488" s="15"/>
      <c r="E488" s="15"/>
      <c r="F488" s="15"/>
      <c r="G488" s="16"/>
      <c r="H488" s="16"/>
      <c r="I488" s="16"/>
      <c r="J488" s="16"/>
      <c r="K488" s="86"/>
      <c r="L488" s="16"/>
      <c r="M488" s="15"/>
      <c r="N488" s="15"/>
      <c r="O488" s="20"/>
      <c r="P488" s="15"/>
      <c r="Q488" s="20"/>
      <c r="R488" s="15"/>
      <c r="S488" s="15"/>
      <c r="T488" s="15"/>
      <c r="U488" s="15"/>
      <c r="V488" s="17" t="str">
        <f>IF(U488="","",VLOOKUP(U488,References!C:D,2,0))</f>
        <v/>
      </c>
      <c r="W488" s="17" t="str">
        <f>IF(U488="","",VLOOKUP(U488,References!C:F,4,0))</f>
        <v/>
      </c>
      <c r="X488" s="16"/>
      <c r="Y488" s="20"/>
      <c r="Z488" s="15"/>
      <c r="AA488" s="22"/>
      <c r="AB488" s="90"/>
      <c r="AC488" s="22"/>
      <c r="AD488" s="25" t="str">
        <f t="shared" si="90"/>
        <v/>
      </c>
      <c r="AE488" s="25" t="str">
        <f t="shared" si="100"/>
        <v/>
      </c>
      <c r="AF488" s="17" t="str">
        <f t="shared" ca="1" si="101"/>
        <v/>
      </c>
      <c r="AG488" s="17" t="str">
        <f t="shared" si="102"/>
        <v/>
      </c>
      <c r="AH488" s="17" t="str">
        <f t="shared" si="103"/>
        <v/>
      </c>
      <c r="AI488" s="17" t="str">
        <f t="shared" ca="1" si="104"/>
        <v/>
      </c>
      <c r="AJ488" s="17" t="str">
        <f t="shared" ca="1" si="91"/>
        <v/>
      </c>
      <c r="AK488" s="17" t="str">
        <f t="shared" si="92"/>
        <v/>
      </c>
      <c r="AL488" s="17" t="str">
        <f t="shared" si="93"/>
        <v/>
      </c>
      <c r="AM488" s="17" t="str">
        <f t="shared" si="94"/>
        <v/>
      </c>
      <c r="AN488" s="17">
        <f t="shared" si="95"/>
        <v>0</v>
      </c>
      <c r="AO488" s="17" t="str">
        <f t="shared" ca="1" si="96"/>
        <v/>
      </c>
      <c r="AP488" s="17" t="str">
        <f t="shared" ca="1" si="97"/>
        <v/>
      </c>
      <c r="AQ488" s="17" t="str">
        <f t="shared" si="98"/>
        <v/>
      </c>
      <c r="AR488" s="17" t="str">
        <f t="shared" ca="1" si="99"/>
        <v/>
      </c>
      <c r="AS488" s="18"/>
      <c r="AT488" s="24">
        <f t="shared" si="105"/>
        <v>0</v>
      </c>
      <c r="AU488" s="24">
        <f t="shared" si="106"/>
        <v>0</v>
      </c>
      <c r="AV488" s="24">
        <f t="shared" si="107"/>
        <v>0</v>
      </c>
      <c r="AW488" s="24">
        <f t="shared" si="108"/>
        <v>0</v>
      </c>
      <c r="AX488" s="24">
        <f t="shared" si="109"/>
        <v>0</v>
      </c>
      <c r="AY488" s="24">
        <f t="shared" si="110"/>
        <v>0</v>
      </c>
      <c r="AZ488" s="18"/>
    </row>
    <row r="489" spans="1:52" x14ac:dyDescent="0.25">
      <c r="A489" s="16"/>
      <c r="B489" s="16"/>
      <c r="C489" s="65"/>
      <c r="D489" s="15"/>
      <c r="E489" s="15"/>
      <c r="F489" s="15"/>
      <c r="G489" s="16"/>
      <c r="H489" s="16"/>
      <c r="I489" s="16"/>
      <c r="J489" s="16"/>
      <c r="K489" s="86"/>
      <c r="L489" s="16"/>
      <c r="M489" s="15"/>
      <c r="N489" s="15"/>
      <c r="O489" s="20"/>
      <c r="P489" s="15"/>
      <c r="Q489" s="20"/>
      <c r="R489" s="15"/>
      <c r="S489" s="15"/>
      <c r="T489" s="15"/>
      <c r="U489" s="15"/>
      <c r="V489" s="17" t="str">
        <f>IF(U489="","",VLOOKUP(U489,References!C:D,2,0))</f>
        <v/>
      </c>
      <c r="W489" s="17" t="str">
        <f>IF(U489="","",VLOOKUP(U489,References!C:F,4,0))</f>
        <v/>
      </c>
      <c r="X489" s="16"/>
      <c r="Y489" s="20"/>
      <c r="Z489" s="15"/>
      <c r="AA489" s="22"/>
      <c r="AB489" s="90"/>
      <c r="AC489" s="22"/>
      <c r="AD489" s="25" t="str">
        <f t="shared" si="90"/>
        <v/>
      </c>
      <c r="AE489" s="25" t="str">
        <f t="shared" si="100"/>
        <v/>
      </c>
      <c r="AF489" s="17" t="str">
        <f t="shared" ca="1" si="101"/>
        <v/>
      </c>
      <c r="AG489" s="17" t="str">
        <f t="shared" si="102"/>
        <v/>
      </c>
      <c r="AH489" s="17" t="str">
        <f t="shared" si="103"/>
        <v/>
      </c>
      <c r="AI489" s="17" t="str">
        <f t="shared" ca="1" si="104"/>
        <v/>
      </c>
      <c r="AJ489" s="17" t="str">
        <f t="shared" ca="1" si="91"/>
        <v/>
      </c>
      <c r="AK489" s="17" t="str">
        <f t="shared" si="92"/>
        <v/>
      </c>
      <c r="AL489" s="17" t="str">
        <f t="shared" si="93"/>
        <v/>
      </c>
      <c r="AM489" s="17" t="str">
        <f t="shared" si="94"/>
        <v/>
      </c>
      <c r="AN489" s="17">
        <f t="shared" si="95"/>
        <v>0</v>
      </c>
      <c r="AO489" s="17" t="str">
        <f t="shared" ca="1" si="96"/>
        <v/>
      </c>
      <c r="AP489" s="17" t="str">
        <f t="shared" ca="1" si="97"/>
        <v/>
      </c>
      <c r="AQ489" s="17" t="str">
        <f t="shared" si="98"/>
        <v/>
      </c>
      <c r="AR489" s="17" t="str">
        <f t="shared" ca="1" si="99"/>
        <v/>
      </c>
      <c r="AS489" s="18"/>
      <c r="AT489" s="24">
        <f t="shared" si="105"/>
        <v>0</v>
      </c>
      <c r="AU489" s="24">
        <f t="shared" si="106"/>
        <v>0</v>
      </c>
      <c r="AV489" s="24">
        <f t="shared" si="107"/>
        <v>0</v>
      </c>
      <c r="AW489" s="24">
        <f t="shared" si="108"/>
        <v>0</v>
      </c>
      <c r="AX489" s="24">
        <f t="shared" si="109"/>
        <v>0</v>
      </c>
      <c r="AY489" s="24">
        <f t="shared" si="110"/>
        <v>0</v>
      </c>
      <c r="AZ489" s="18"/>
    </row>
    <row r="490" spans="1:52" x14ac:dyDescent="0.25">
      <c r="A490" s="16"/>
      <c r="B490" s="16"/>
      <c r="C490" s="65"/>
      <c r="D490" s="15"/>
      <c r="E490" s="15"/>
      <c r="F490" s="15"/>
      <c r="G490" s="16"/>
      <c r="H490" s="16"/>
      <c r="I490" s="16"/>
      <c r="J490" s="16"/>
      <c r="K490" s="86"/>
      <c r="L490" s="16"/>
      <c r="M490" s="15"/>
      <c r="N490" s="15"/>
      <c r="O490" s="20"/>
      <c r="P490" s="15"/>
      <c r="Q490" s="20"/>
      <c r="R490" s="15"/>
      <c r="S490" s="15"/>
      <c r="T490" s="15"/>
      <c r="U490" s="15"/>
      <c r="V490" s="17" t="str">
        <f>IF(U490="","",VLOOKUP(U490,References!C:D,2,0))</f>
        <v/>
      </c>
      <c r="W490" s="17" t="str">
        <f>IF(U490="","",VLOOKUP(U490,References!C:F,4,0))</f>
        <v/>
      </c>
      <c r="X490" s="16"/>
      <c r="Y490" s="20"/>
      <c r="Z490" s="15"/>
      <c r="AA490" s="22"/>
      <c r="AB490" s="90"/>
      <c r="AC490" s="22"/>
      <c r="AD490" s="25" t="str">
        <f t="shared" si="90"/>
        <v/>
      </c>
      <c r="AE490" s="25" t="str">
        <f t="shared" si="100"/>
        <v/>
      </c>
      <c r="AF490" s="17" t="str">
        <f t="shared" ca="1" si="101"/>
        <v/>
      </c>
      <c r="AG490" s="17" t="str">
        <f t="shared" si="102"/>
        <v/>
      </c>
      <c r="AH490" s="17" t="str">
        <f t="shared" si="103"/>
        <v/>
      </c>
      <c r="AI490" s="17" t="str">
        <f t="shared" ca="1" si="104"/>
        <v/>
      </c>
      <c r="AJ490" s="17" t="str">
        <f t="shared" ca="1" si="91"/>
        <v/>
      </c>
      <c r="AK490" s="17" t="str">
        <f t="shared" si="92"/>
        <v/>
      </c>
      <c r="AL490" s="17" t="str">
        <f t="shared" si="93"/>
        <v/>
      </c>
      <c r="AM490" s="17" t="str">
        <f t="shared" si="94"/>
        <v/>
      </c>
      <c r="AN490" s="17">
        <f t="shared" si="95"/>
        <v>0</v>
      </c>
      <c r="AO490" s="17" t="str">
        <f t="shared" ca="1" si="96"/>
        <v/>
      </c>
      <c r="AP490" s="17" t="str">
        <f t="shared" ca="1" si="97"/>
        <v/>
      </c>
      <c r="AQ490" s="17" t="str">
        <f t="shared" si="98"/>
        <v/>
      </c>
      <c r="AR490" s="17" t="str">
        <f t="shared" ca="1" si="99"/>
        <v/>
      </c>
      <c r="AS490" s="18"/>
      <c r="AT490" s="24">
        <f t="shared" si="105"/>
        <v>0</v>
      </c>
      <c r="AU490" s="24">
        <f t="shared" si="106"/>
        <v>0</v>
      </c>
      <c r="AV490" s="24">
        <f t="shared" si="107"/>
        <v>0</v>
      </c>
      <c r="AW490" s="24">
        <f t="shared" si="108"/>
        <v>0</v>
      </c>
      <c r="AX490" s="24">
        <f t="shared" si="109"/>
        <v>0</v>
      </c>
      <c r="AY490" s="24">
        <f t="shared" si="110"/>
        <v>0</v>
      </c>
      <c r="AZ490" s="18"/>
    </row>
    <row r="491" spans="1:52" x14ac:dyDescent="0.25">
      <c r="A491" s="16"/>
      <c r="B491" s="16"/>
      <c r="C491" s="65"/>
      <c r="D491" s="15"/>
      <c r="E491" s="15"/>
      <c r="F491" s="15"/>
      <c r="G491" s="16"/>
      <c r="H491" s="16"/>
      <c r="I491" s="16"/>
      <c r="J491" s="16"/>
      <c r="K491" s="86"/>
      <c r="L491" s="16"/>
      <c r="M491" s="15"/>
      <c r="N491" s="15"/>
      <c r="O491" s="20"/>
      <c r="P491" s="15"/>
      <c r="Q491" s="20"/>
      <c r="R491" s="15"/>
      <c r="S491" s="15"/>
      <c r="T491" s="15"/>
      <c r="U491" s="15"/>
      <c r="V491" s="17" t="str">
        <f>IF(U491="","",VLOOKUP(U491,References!C:D,2,0))</f>
        <v/>
      </c>
      <c r="W491" s="17" t="str">
        <f>IF(U491="","",VLOOKUP(U491,References!C:F,4,0))</f>
        <v/>
      </c>
      <c r="X491" s="16"/>
      <c r="Y491" s="20"/>
      <c r="Z491" s="15"/>
      <c r="AA491" s="22"/>
      <c r="AB491" s="90"/>
      <c r="AC491" s="22"/>
      <c r="AD491" s="25" t="str">
        <f t="shared" si="90"/>
        <v/>
      </c>
      <c r="AE491" s="25" t="str">
        <f t="shared" si="100"/>
        <v/>
      </c>
      <c r="AF491" s="17" t="str">
        <f t="shared" ca="1" si="101"/>
        <v/>
      </c>
      <c r="AG491" s="17" t="str">
        <f t="shared" si="102"/>
        <v/>
      </c>
      <c r="AH491" s="17" t="str">
        <f t="shared" si="103"/>
        <v/>
      </c>
      <c r="AI491" s="17" t="str">
        <f t="shared" ca="1" si="104"/>
        <v/>
      </c>
      <c r="AJ491" s="17" t="str">
        <f t="shared" ca="1" si="91"/>
        <v/>
      </c>
      <c r="AK491" s="17" t="str">
        <f t="shared" si="92"/>
        <v/>
      </c>
      <c r="AL491" s="17" t="str">
        <f t="shared" si="93"/>
        <v/>
      </c>
      <c r="AM491" s="17" t="str">
        <f t="shared" si="94"/>
        <v/>
      </c>
      <c r="AN491" s="17">
        <f t="shared" si="95"/>
        <v>0</v>
      </c>
      <c r="AO491" s="17" t="str">
        <f t="shared" ca="1" si="96"/>
        <v/>
      </c>
      <c r="AP491" s="17" t="str">
        <f t="shared" ca="1" si="97"/>
        <v/>
      </c>
      <c r="AQ491" s="17" t="str">
        <f t="shared" si="98"/>
        <v/>
      </c>
      <c r="AR491" s="17" t="str">
        <f t="shared" ca="1" si="99"/>
        <v/>
      </c>
      <c r="AS491" s="18"/>
      <c r="AT491" s="24">
        <f t="shared" si="105"/>
        <v>0</v>
      </c>
      <c r="AU491" s="24">
        <f t="shared" si="106"/>
        <v>0</v>
      </c>
      <c r="AV491" s="24">
        <f t="shared" si="107"/>
        <v>0</v>
      </c>
      <c r="AW491" s="24">
        <f t="shared" si="108"/>
        <v>0</v>
      </c>
      <c r="AX491" s="24">
        <f t="shared" si="109"/>
        <v>0</v>
      </c>
      <c r="AY491" s="24">
        <f t="shared" si="110"/>
        <v>0</v>
      </c>
      <c r="AZ491" s="18"/>
    </row>
    <row r="492" spans="1:52" x14ac:dyDescent="0.25">
      <c r="A492" s="16"/>
      <c r="B492" s="16"/>
      <c r="C492" s="65"/>
      <c r="D492" s="15"/>
      <c r="E492" s="15"/>
      <c r="F492" s="15"/>
      <c r="G492" s="16"/>
      <c r="H492" s="16"/>
      <c r="I492" s="16"/>
      <c r="J492" s="16"/>
      <c r="K492" s="86"/>
      <c r="L492" s="16"/>
      <c r="M492" s="15"/>
      <c r="N492" s="15"/>
      <c r="O492" s="20"/>
      <c r="P492" s="15"/>
      <c r="Q492" s="20"/>
      <c r="R492" s="15"/>
      <c r="S492" s="15"/>
      <c r="T492" s="15"/>
      <c r="U492" s="15"/>
      <c r="V492" s="17" t="str">
        <f>IF(U492="","",VLOOKUP(U492,References!C:D,2,0))</f>
        <v/>
      </c>
      <c r="W492" s="17" t="str">
        <f>IF(U492="","",VLOOKUP(U492,References!C:F,4,0))</f>
        <v/>
      </c>
      <c r="X492" s="16"/>
      <c r="Y492" s="20"/>
      <c r="Z492" s="15"/>
      <c r="AA492" s="22"/>
      <c r="AB492" s="90"/>
      <c r="AC492" s="22"/>
      <c r="AD492" s="25" t="str">
        <f t="shared" si="90"/>
        <v/>
      </c>
      <c r="AE492" s="25" t="str">
        <f t="shared" si="100"/>
        <v/>
      </c>
      <c r="AF492" s="17" t="str">
        <f t="shared" ca="1" si="101"/>
        <v/>
      </c>
      <c r="AG492" s="17" t="str">
        <f t="shared" si="102"/>
        <v/>
      </c>
      <c r="AH492" s="17" t="str">
        <f t="shared" si="103"/>
        <v/>
      </c>
      <c r="AI492" s="17" t="str">
        <f t="shared" ca="1" si="104"/>
        <v/>
      </c>
      <c r="AJ492" s="17" t="str">
        <f t="shared" ca="1" si="91"/>
        <v/>
      </c>
      <c r="AK492" s="17" t="str">
        <f t="shared" si="92"/>
        <v/>
      </c>
      <c r="AL492" s="17" t="str">
        <f t="shared" si="93"/>
        <v/>
      </c>
      <c r="AM492" s="17" t="str">
        <f t="shared" si="94"/>
        <v/>
      </c>
      <c r="AN492" s="17">
        <f t="shared" si="95"/>
        <v>0</v>
      </c>
      <c r="AO492" s="17" t="str">
        <f t="shared" ca="1" si="96"/>
        <v/>
      </c>
      <c r="AP492" s="17" t="str">
        <f t="shared" ca="1" si="97"/>
        <v/>
      </c>
      <c r="AQ492" s="17" t="str">
        <f t="shared" si="98"/>
        <v/>
      </c>
      <c r="AR492" s="17" t="str">
        <f t="shared" ca="1" si="99"/>
        <v/>
      </c>
      <c r="AS492" s="18"/>
      <c r="AT492" s="24">
        <f t="shared" si="105"/>
        <v>0</v>
      </c>
      <c r="AU492" s="24">
        <f t="shared" si="106"/>
        <v>0</v>
      </c>
      <c r="AV492" s="24">
        <f t="shared" si="107"/>
        <v>0</v>
      </c>
      <c r="AW492" s="24">
        <f t="shared" si="108"/>
        <v>0</v>
      </c>
      <c r="AX492" s="24">
        <f t="shared" si="109"/>
        <v>0</v>
      </c>
      <c r="AY492" s="24">
        <f t="shared" si="110"/>
        <v>0</v>
      </c>
      <c r="AZ492" s="18"/>
    </row>
    <row r="493" spans="1:52" x14ac:dyDescent="0.25">
      <c r="A493" s="16"/>
      <c r="B493" s="16"/>
      <c r="C493" s="65"/>
      <c r="D493" s="15"/>
      <c r="E493" s="15"/>
      <c r="F493" s="15"/>
      <c r="G493" s="16"/>
      <c r="H493" s="16"/>
      <c r="I493" s="16"/>
      <c r="J493" s="16"/>
      <c r="K493" s="86"/>
      <c r="L493" s="16"/>
      <c r="M493" s="15"/>
      <c r="N493" s="15"/>
      <c r="O493" s="20"/>
      <c r="P493" s="15"/>
      <c r="Q493" s="20"/>
      <c r="R493" s="15"/>
      <c r="S493" s="15"/>
      <c r="T493" s="15"/>
      <c r="U493" s="15"/>
      <c r="V493" s="17" t="str">
        <f>IF(U493="","",VLOOKUP(U493,References!C:D,2,0))</f>
        <v/>
      </c>
      <c r="W493" s="17" t="str">
        <f>IF(U493="","",VLOOKUP(U493,References!C:F,4,0))</f>
        <v/>
      </c>
      <c r="X493" s="16"/>
      <c r="Y493" s="20"/>
      <c r="Z493" s="15"/>
      <c r="AA493" s="22"/>
      <c r="AB493" s="90"/>
      <c r="AC493" s="22"/>
      <c r="AD493" s="25" t="str">
        <f t="shared" si="90"/>
        <v/>
      </c>
      <c r="AE493" s="25" t="str">
        <f t="shared" si="100"/>
        <v/>
      </c>
      <c r="AF493" s="17" t="str">
        <f t="shared" ca="1" si="101"/>
        <v/>
      </c>
      <c r="AG493" s="17" t="str">
        <f t="shared" si="102"/>
        <v/>
      </c>
      <c r="AH493" s="17" t="str">
        <f t="shared" si="103"/>
        <v/>
      </c>
      <c r="AI493" s="17" t="str">
        <f t="shared" ca="1" si="104"/>
        <v/>
      </c>
      <c r="AJ493" s="17" t="str">
        <f t="shared" ca="1" si="91"/>
        <v/>
      </c>
      <c r="AK493" s="17" t="str">
        <f t="shared" si="92"/>
        <v/>
      </c>
      <c r="AL493" s="17" t="str">
        <f t="shared" si="93"/>
        <v/>
      </c>
      <c r="AM493" s="17" t="str">
        <f t="shared" si="94"/>
        <v/>
      </c>
      <c r="AN493" s="17">
        <f t="shared" si="95"/>
        <v>0</v>
      </c>
      <c r="AO493" s="17" t="str">
        <f t="shared" ca="1" si="96"/>
        <v/>
      </c>
      <c r="AP493" s="17" t="str">
        <f t="shared" ca="1" si="97"/>
        <v/>
      </c>
      <c r="AQ493" s="17" t="str">
        <f t="shared" si="98"/>
        <v/>
      </c>
      <c r="AR493" s="17" t="str">
        <f t="shared" ca="1" si="99"/>
        <v/>
      </c>
      <c r="AS493" s="18"/>
      <c r="AT493" s="24">
        <f t="shared" si="105"/>
        <v>0</v>
      </c>
      <c r="AU493" s="24">
        <f t="shared" si="106"/>
        <v>0</v>
      </c>
      <c r="AV493" s="24">
        <f t="shared" si="107"/>
        <v>0</v>
      </c>
      <c r="AW493" s="24">
        <f t="shared" si="108"/>
        <v>0</v>
      </c>
      <c r="AX493" s="24">
        <f t="shared" si="109"/>
        <v>0</v>
      </c>
      <c r="AY493" s="24">
        <f t="shared" si="110"/>
        <v>0</v>
      </c>
      <c r="AZ493" s="18"/>
    </row>
    <row r="494" spans="1:52" x14ac:dyDescent="0.25">
      <c r="A494" s="16"/>
      <c r="B494" s="16"/>
      <c r="C494" s="65"/>
      <c r="D494" s="15"/>
      <c r="E494" s="15"/>
      <c r="F494" s="15"/>
      <c r="G494" s="16"/>
      <c r="H494" s="16"/>
      <c r="I494" s="16"/>
      <c r="J494" s="16"/>
      <c r="K494" s="86"/>
      <c r="L494" s="16"/>
      <c r="M494" s="15"/>
      <c r="N494" s="15"/>
      <c r="O494" s="20"/>
      <c r="P494" s="15"/>
      <c r="Q494" s="20"/>
      <c r="R494" s="15"/>
      <c r="S494" s="15"/>
      <c r="T494" s="15"/>
      <c r="U494" s="15"/>
      <c r="V494" s="17" t="str">
        <f>IF(U494="","",VLOOKUP(U494,References!C:D,2,0))</f>
        <v/>
      </c>
      <c r="W494" s="17" t="str">
        <f>IF(U494="","",VLOOKUP(U494,References!C:F,4,0))</f>
        <v/>
      </c>
      <c r="X494" s="16"/>
      <c r="Y494" s="20"/>
      <c r="Z494" s="15"/>
      <c r="AA494" s="22"/>
      <c r="AB494" s="90"/>
      <c r="AC494" s="22"/>
      <c r="AD494" s="25" t="str">
        <f t="shared" si="90"/>
        <v/>
      </c>
      <c r="AE494" s="25" t="str">
        <f t="shared" si="100"/>
        <v/>
      </c>
      <c r="AF494" s="17" t="str">
        <f t="shared" ca="1" si="101"/>
        <v/>
      </c>
      <c r="AG494" s="17" t="str">
        <f t="shared" si="102"/>
        <v/>
      </c>
      <c r="AH494" s="17" t="str">
        <f t="shared" si="103"/>
        <v/>
      </c>
      <c r="AI494" s="17" t="str">
        <f t="shared" ca="1" si="104"/>
        <v/>
      </c>
      <c r="AJ494" s="17" t="str">
        <f t="shared" ca="1" si="91"/>
        <v/>
      </c>
      <c r="AK494" s="17" t="str">
        <f t="shared" si="92"/>
        <v/>
      </c>
      <c r="AL494" s="17" t="str">
        <f t="shared" si="93"/>
        <v/>
      </c>
      <c r="AM494" s="17" t="str">
        <f t="shared" si="94"/>
        <v/>
      </c>
      <c r="AN494" s="17">
        <f t="shared" si="95"/>
        <v>0</v>
      </c>
      <c r="AO494" s="17" t="str">
        <f t="shared" ca="1" si="96"/>
        <v/>
      </c>
      <c r="AP494" s="17" t="str">
        <f t="shared" ca="1" si="97"/>
        <v/>
      </c>
      <c r="AQ494" s="17" t="str">
        <f t="shared" si="98"/>
        <v/>
      </c>
      <c r="AR494" s="17" t="str">
        <f t="shared" ca="1" si="99"/>
        <v/>
      </c>
      <c r="AS494" s="18"/>
      <c r="AT494" s="24">
        <f t="shared" si="105"/>
        <v>0</v>
      </c>
      <c r="AU494" s="24">
        <f t="shared" si="106"/>
        <v>0</v>
      </c>
      <c r="AV494" s="24">
        <f t="shared" si="107"/>
        <v>0</v>
      </c>
      <c r="AW494" s="24">
        <f t="shared" si="108"/>
        <v>0</v>
      </c>
      <c r="AX494" s="24">
        <f t="shared" si="109"/>
        <v>0</v>
      </c>
      <c r="AY494" s="24">
        <f t="shared" si="110"/>
        <v>0</v>
      </c>
      <c r="AZ494" s="18"/>
    </row>
    <row r="495" spans="1:52" x14ac:dyDescent="0.25">
      <c r="A495" s="16"/>
      <c r="B495" s="16"/>
      <c r="C495" s="65"/>
      <c r="D495" s="15"/>
      <c r="E495" s="15"/>
      <c r="F495" s="15"/>
      <c r="G495" s="16"/>
      <c r="H495" s="16"/>
      <c r="I495" s="16"/>
      <c r="J495" s="16"/>
      <c r="K495" s="86"/>
      <c r="L495" s="16"/>
      <c r="M495" s="15"/>
      <c r="N495" s="15"/>
      <c r="O495" s="20"/>
      <c r="P495" s="15"/>
      <c r="Q495" s="20"/>
      <c r="R495" s="15"/>
      <c r="S495" s="15"/>
      <c r="T495" s="15"/>
      <c r="U495" s="15"/>
      <c r="V495" s="17" t="str">
        <f>IF(U495="","",VLOOKUP(U495,References!C:D,2,0))</f>
        <v/>
      </c>
      <c r="W495" s="17" t="str">
        <f>IF(U495="","",VLOOKUP(U495,References!C:F,4,0))</f>
        <v/>
      </c>
      <c r="X495" s="16"/>
      <c r="Y495" s="20"/>
      <c r="Z495" s="15"/>
      <c r="AA495" s="22"/>
      <c r="AB495" s="90"/>
      <c r="AC495" s="22"/>
      <c r="AD495" s="25" t="str">
        <f t="shared" si="90"/>
        <v/>
      </c>
      <c r="AE495" s="25" t="str">
        <f t="shared" si="100"/>
        <v/>
      </c>
      <c r="AF495" s="17" t="str">
        <f t="shared" ca="1" si="101"/>
        <v/>
      </c>
      <c r="AG495" s="17" t="str">
        <f t="shared" si="102"/>
        <v/>
      </c>
      <c r="AH495" s="17" t="str">
        <f t="shared" si="103"/>
        <v/>
      </c>
      <c r="AI495" s="17" t="str">
        <f t="shared" ca="1" si="104"/>
        <v/>
      </c>
      <c r="AJ495" s="17" t="str">
        <f t="shared" ca="1" si="91"/>
        <v/>
      </c>
      <c r="AK495" s="17" t="str">
        <f t="shared" si="92"/>
        <v/>
      </c>
      <c r="AL495" s="17" t="str">
        <f t="shared" si="93"/>
        <v/>
      </c>
      <c r="AM495" s="17" t="str">
        <f t="shared" si="94"/>
        <v/>
      </c>
      <c r="AN495" s="17">
        <f t="shared" si="95"/>
        <v>0</v>
      </c>
      <c r="AO495" s="17" t="str">
        <f t="shared" ca="1" si="96"/>
        <v/>
      </c>
      <c r="AP495" s="17" t="str">
        <f t="shared" ca="1" si="97"/>
        <v/>
      </c>
      <c r="AQ495" s="17" t="str">
        <f t="shared" si="98"/>
        <v/>
      </c>
      <c r="AR495" s="17" t="str">
        <f t="shared" ca="1" si="99"/>
        <v/>
      </c>
      <c r="AS495" s="18"/>
      <c r="AT495" s="24">
        <f t="shared" si="105"/>
        <v>0</v>
      </c>
      <c r="AU495" s="24">
        <f t="shared" si="106"/>
        <v>0</v>
      </c>
      <c r="AV495" s="24">
        <f t="shared" si="107"/>
        <v>0</v>
      </c>
      <c r="AW495" s="24">
        <f t="shared" si="108"/>
        <v>0</v>
      </c>
      <c r="AX495" s="24">
        <f t="shared" si="109"/>
        <v>0</v>
      </c>
      <c r="AY495" s="24">
        <f t="shared" si="110"/>
        <v>0</v>
      </c>
      <c r="AZ495" s="18"/>
    </row>
    <row r="496" spans="1:52" x14ac:dyDescent="0.25">
      <c r="A496" s="16"/>
      <c r="B496" s="16"/>
      <c r="C496" s="65"/>
      <c r="D496" s="15"/>
      <c r="E496" s="15"/>
      <c r="F496" s="15"/>
      <c r="G496" s="16"/>
      <c r="H496" s="16"/>
      <c r="I496" s="16"/>
      <c r="J496" s="16"/>
      <c r="K496" s="86"/>
      <c r="L496" s="16"/>
      <c r="M496" s="15"/>
      <c r="N496" s="15"/>
      <c r="O496" s="20"/>
      <c r="P496" s="15"/>
      <c r="Q496" s="20"/>
      <c r="R496" s="15"/>
      <c r="S496" s="15"/>
      <c r="T496" s="15"/>
      <c r="U496" s="15"/>
      <c r="V496" s="17" t="str">
        <f>IF(U496="","",VLOOKUP(U496,References!C:D,2,0))</f>
        <v/>
      </c>
      <c r="W496" s="17" t="str">
        <f>IF(U496="","",VLOOKUP(U496,References!C:F,4,0))</f>
        <v/>
      </c>
      <c r="X496" s="16"/>
      <c r="Y496" s="20"/>
      <c r="Z496" s="15"/>
      <c r="AA496" s="22"/>
      <c r="AB496" s="90"/>
      <c r="AC496" s="22"/>
      <c r="AD496" s="25" t="str">
        <f t="shared" si="90"/>
        <v/>
      </c>
      <c r="AE496" s="25" t="str">
        <f t="shared" si="100"/>
        <v/>
      </c>
      <c r="AF496" s="17" t="str">
        <f t="shared" ca="1" si="101"/>
        <v/>
      </c>
      <c r="AG496" s="17" t="str">
        <f t="shared" si="102"/>
        <v/>
      </c>
      <c r="AH496" s="17" t="str">
        <f t="shared" si="103"/>
        <v/>
      </c>
      <c r="AI496" s="17" t="str">
        <f t="shared" ca="1" si="104"/>
        <v/>
      </c>
      <c r="AJ496" s="17" t="str">
        <f t="shared" ca="1" si="91"/>
        <v/>
      </c>
      <c r="AK496" s="17" t="str">
        <f t="shared" si="92"/>
        <v/>
      </c>
      <c r="AL496" s="17" t="str">
        <f t="shared" si="93"/>
        <v/>
      </c>
      <c r="AM496" s="17" t="str">
        <f t="shared" si="94"/>
        <v/>
      </c>
      <c r="AN496" s="17">
        <f t="shared" si="95"/>
        <v>0</v>
      </c>
      <c r="AO496" s="17" t="str">
        <f t="shared" ca="1" si="96"/>
        <v/>
      </c>
      <c r="AP496" s="17" t="str">
        <f t="shared" ca="1" si="97"/>
        <v/>
      </c>
      <c r="AQ496" s="17" t="str">
        <f t="shared" si="98"/>
        <v/>
      </c>
      <c r="AR496" s="17" t="str">
        <f t="shared" ca="1" si="99"/>
        <v/>
      </c>
      <c r="AS496" s="18"/>
      <c r="AT496" s="24">
        <f t="shared" si="105"/>
        <v>0</v>
      </c>
      <c r="AU496" s="24">
        <f t="shared" si="106"/>
        <v>0</v>
      </c>
      <c r="AV496" s="24">
        <f t="shared" si="107"/>
        <v>0</v>
      </c>
      <c r="AW496" s="24">
        <f t="shared" si="108"/>
        <v>0</v>
      </c>
      <c r="AX496" s="24">
        <f t="shared" si="109"/>
        <v>0</v>
      </c>
      <c r="AY496" s="24">
        <f t="shared" si="110"/>
        <v>0</v>
      </c>
      <c r="AZ496" s="18"/>
    </row>
    <row r="497" spans="1:52" x14ac:dyDescent="0.25">
      <c r="A497" s="80"/>
      <c r="B497" s="80"/>
      <c r="C497" s="113"/>
      <c r="D497" s="80"/>
      <c r="E497" s="80"/>
      <c r="F497" s="80"/>
      <c r="G497" s="80"/>
      <c r="H497" s="80"/>
      <c r="I497" s="80"/>
      <c r="J497" s="80"/>
      <c r="K497" s="87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24"/>
      <c r="W497" s="24"/>
      <c r="X497" s="80"/>
      <c r="Y497" s="80"/>
      <c r="Z497" s="80"/>
      <c r="AA497" s="80"/>
      <c r="AB497" s="91"/>
      <c r="AC497" s="80"/>
      <c r="AD497" s="24"/>
      <c r="AE497" s="24"/>
      <c r="AF497" s="24"/>
      <c r="AG497" s="24"/>
      <c r="AH497" s="24"/>
      <c r="AI497" s="24"/>
      <c r="AJ497" s="24"/>
      <c r="AK497" s="24"/>
      <c r="AL497" s="24"/>
      <c r="AM497" s="24"/>
      <c r="AN497" s="24"/>
      <c r="AO497" s="24"/>
      <c r="AP497" s="24"/>
      <c r="AQ497" s="24"/>
      <c r="AR497" s="24"/>
      <c r="AS497" s="18"/>
      <c r="AT497" s="18"/>
      <c r="AU497" s="18"/>
      <c r="AV497" s="18"/>
      <c r="AW497" s="18"/>
      <c r="AX497" s="18"/>
      <c r="AY497" s="18"/>
      <c r="AZ497" s="18"/>
    </row>
    <row r="498" spans="1:52" x14ac:dyDescent="0.25">
      <c r="A498" s="80"/>
      <c r="B498" s="80"/>
      <c r="C498" s="113"/>
      <c r="D498" s="80"/>
      <c r="E498" s="80"/>
      <c r="F498" s="80"/>
      <c r="G498" s="80"/>
      <c r="H498" s="80"/>
      <c r="I498" s="80"/>
      <c r="J498" s="80"/>
      <c r="K498" s="87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24"/>
      <c r="W498" s="24"/>
      <c r="X498" s="80"/>
      <c r="Y498" s="80"/>
      <c r="Z498" s="80"/>
      <c r="AA498" s="80"/>
      <c r="AB498" s="91"/>
      <c r="AC498" s="80"/>
      <c r="AD498" s="24"/>
      <c r="AE498" s="24"/>
      <c r="AF498" s="24"/>
      <c r="AG498" s="24"/>
      <c r="AH498" s="24"/>
      <c r="AI498" s="24"/>
      <c r="AJ498" s="24"/>
      <c r="AK498" s="24"/>
      <c r="AL498" s="24"/>
      <c r="AM498" s="24"/>
      <c r="AN498" s="24"/>
      <c r="AO498" s="24"/>
      <c r="AP498" s="24"/>
      <c r="AQ498" s="24"/>
      <c r="AR498" s="24"/>
      <c r="AS498" s="18"/>
      <c r="AT498" s="18"/>
      <c r="AU498" s="18"/>
      <c r="AV498" s="18"/>
      <c r="AW498" s="18"/>
      <c r="AX498" s="18"/>
      <c r="AY498" s="18"/>
      <c r="AZ498" s="18"/>
    </row>
    <row r="499" spans="1:52" x14ac:dyDescent="0.25">
      <c r="A499" s="80"/>
      <c r="B499" s="80"/>
      <c r="C499" s="113"/>
      <c r="D499" s="80"/>
      <c r="E499" s="80"/>
      <c r="F499" s="80"/>
      <c r="G499" s="80"/>
      <c r="H499" s="80"/>
      <c r="I499" s="80"/>
      <c r="J499" s="80"/>
      <c r="K499" s="87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24"/>
      <c r="W499" s="24"/>
      <c r="X499" s="80"/>
      <c r="Y499" s="80"/>
      <c r="Z499" s="80"/>
      <c r="AA499" s="80"/>
      <c r="AB499" s="91"/>
      <c r="AC499" s="80"/>
      <c r="AD499" s="24"/>
      <c r="AE499" s="24"/>
      <c r="AF499" s="24"/>
      <c r="AG499" s="24"/>
      <c r="AH499" s="24"/>
      <c r="AI499" s="24"/>
      <c r="AJ499" s="24"/>
      <c r="AK499" s="24"/>
      <c r="AL499" s="24"/>
      <c r="AM499" s="24"/>
      <c r="AN499" s="24"/>
      <c r="AO499" s="24"/>
      <c r="AP499" s="24"/>
      <c r="AQ499" s="24"/>
      <c r="AR499" s="24"/>
      <c r="AS499" s="18"/>
      <c r="AT499" s="18"/>
      <c r="AU499" s="18"/>
      <c r="AV499" s="18"/>
      <c r="AW499" s="18"/>
      <c r="AX499" s="18"/>
      <c r="AY499" s="18"/>
      <c r="AZ499" s="18"/>
    </row>
    <row r="500" spans="1:52" x14ac:dyDescent="0.25">
      <c r="A500" s="80"/>
      <c r="B500" s="80"/>
      <c r="C500" s="113"/>
      <c r="D500" s="80"/>
      <c r="E500" s="80"/>
      <c r="F500" s="80"/>
      <c r="G500" s="80"/>
      <c r="H500" s="80"/>
      <c r="I500" s="80"/>
      <c r="J500" s="80"/>
      <c r="K500" s="87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24"/>
      <c r="W500" s="24"/>
      <c r="X500" s="80"/>
      <c r="Y500" s="80"/>
      <c r="Z500" s="80"/>
      <c r="AA500" s="80"/>
      <c r="AB500" s="91"/>
      <c r="AC500" s="80"/>
      <c r="AD500" s="24"/>
      <c r="AE500" s="24"/>
      <c r="AF500" s="24"/>
      <c r="AG500" s="24"/>
      <c r="AH500" s="24"/>
      <c r="AI500" s="24"/>
      <c r="AJ500" s="24"/>
      <c r="AK500" s="24"/>
      <c r="AL500" s="24"/>
      <c r="AM500" s="24"/>
      <c r="AN500" s="24"/>
      <c r="AO500" s="24"/>
      <c r="AP500" s="24"/>
      <c r="AQ500" s="24"/>
      <c r="AR500" s="24"/>
      <c r="AS500" s="18"/>
      <c r="AT500" s="18"/>
      <c r="AU500" s="18"/>
      <c r="AV500" s="18"/>
      <c r="AW500" s="18"/>
      <c r="AX500" s="18"/>
      <c r="AY500" s="18"/>
      <c r="AZ500" s="18"/>
    </row>
    <row r="501" spans="1:52" x14ac:dyDescent="0.25">
      <c r="A501" s="80"/>
      <c r="B501" s="80"/>
      <c r="C501" s="113"/>
      <c r="D501" s="80"/>
      <c r="E501" s="80"/>
      <c r="F501" s="80"/>
      <c r="G501" s="80"/>
      <c r="H501" s="80"/>
      <c r="I501" s="80"/>
      <c r="J501" s="80"/>
      <c r="K501" s="87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24"/>
      <c r="W501" s="24"/>
      <c r="X501" s="80"/>
      <c r="Y501" s="80"/>
      <c r="Z501" s="80"/>
      <c r="AA501" s="80"/>
      <c r="AB501" s="91"/>
      <c r="AC501" s="80"/>
      <c r="AD501" s="24"/>
      <c r="AE501" s="24"/>
      <c r="AF501" s="24"/>
      <c r="AG501" s="24"/>
      <c r="AH501" s="24"/>
      <c r="AI501" s="24"/>
      <c r="AJ501" s="24"/>
      <c r="AK501" s="24"/>
      <c r="AL501" s="24"/>
      <c r="AM501" s="24"/>
      <c r="AN501" s="24"/>
      <c r="AO501" s="24"/>
      <c r="AP501" s="24"/>
      <c r="AQ501" s="24"/>
      <c r="AR501" s="24"/>
      <c r="AS501" s="18"/>
      <c r="AT501" s="18"/>
      <c r="AU501" s="18"/>
      <c r="AV501" s="18"/>
      <c r="AW501" s="18"/>
      <c r="AX501" s="18"/>
      <c r="AY501" s="18"/>
      <c r="AZ501" s="18"/>
    </row>
    <row r="502" spans="1:52" x14ac:dyDescent="0.25">
      <c r="A502" s="80"/>
      <c r="B502" s="80"/>
      <c r="C502" s="113"/>
      <c r="D502" s="80"/>
      <c r="E502" s="80"/>
      <c r="F502" s="80"/>
      <c r="G502" s="80"/>
      <c r="H502" s="80"/>
      <c r="I502" s="80"/>
      <c r="J502" s="80"/>
      <c r="K502" s="87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24"/>
      <c r="W502" s="24"/>
      <c r="X502" s="80"/>
      <c r="Y502" s="80"/>
      <c r="Z502" s="80"/>
      <c r="AA502" s="80"/>
      <c r="AB502" s="91"/>
      <c r="AC502" s="80"/>
      <c r="AD502" s="24"/>
      <c r="AE502" s="24"/>
      <c r="AF502" s="24"/>
      <c r="AG502" s="24"/>
      <c r="AH502" s="24"/>
      <c r="AI502" s="24"/>
      <c r="AJ502" s="24"/>
      <c r="AK502" s="24"/>
      <c r="AL502" s="24"/>
      <c r="AM502" s="24"/>
      <c r="AN502" s="24"/>
      <c r="AO502" s="24"/>
      <c r="AP502" s="24"/>
      <c r="AQ502" s="24"/>
      <c r="AR502" s="24"/>
      <c r="AS502" s="18"/>
      <c r="AT502" s="18"/>
      <c r="AU502" s="18"/>
      <c r="AV502" s="18"/>
      <c r="AW502" s="18"/>
      <c r="AX502" s="18"/>
      <c r="AY502" s="18"/>
      <c r="AZ502" s="18"/>
    </row>
    <row r="503" spans="1:52" x14ac:dyDescent="0.25">
      <c r="A503" s="80"/>
      <c r="B503" s="80"/>
      <c r="C503" s="113"/>
      <c r="D503" s="80"/>
      <c r="E503" s="80"/>
      <c r="F503" s="80"/>
      <c r="G503" s="80"/>
      <c r="H503" s="80"/>
      <c r="I503" s="80"/>
      <c r="J503" s="80"/>
      <c r="K503" s="87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24"/>
      <c r="W503" s="24"/>
      <c r="X503" s="80"/>
      <c r="Y503" s="80"/>
      <c r="Z503" s="80"/>
      <c r="AA503" s="80"/>
      <c r="AB503" s="91"/>
      <c r="AC503" s="80"/>
      <c r="AD503" s="24"/>
      <c r="AE503" s="24"/>
      <c r="AF503" s="24"/>
      <c r="AG503" s="24"/>
      <c r="AH503" s="24"/>
      <c r="AI503" s="24"/>
      <c r="AJ503" s="24"/>
      <c r="AK503" s="24"/>
      <c r="AL503" s="24"/>
      <c r="AM503" s="24"/>
      <c r="AN503" s="24"/>
      <c r="AO503" s="24"/>
      <c r="AP503" s="24"/>
      <c r="AQ503" s="24"/>
      <c r="AR503" s="24"/>
      <c r="AS503" s="18"/>
      <c r="AT503" s="18"/>
      <c r="AU503" s="18"/>
      <c r="AV503" s="18"/>
      <c r="AW503" s="18"/>
      <c r="AX503" s="18"/>
      <c r="AY503" s="18"/>
      <c r="AZ503" s="18"/>
    </row>
    <row r="504" spans="1:52" x14ac:dyDescent="0.25">
      <c r="A504" s="80"/>
      <c r="B504" s="80"/>
      <c r="C504" s="113"/>
      <c r="D504" s="80"/>
      <c r="E504" s="80"/>
      <c r="F504" s="80"/>
      <c r="G504" s="80"/>
      <c r="H504" s="80"/>
      <c r="I504" s="80"/>
      <c r="J504" s="80"/>
      <c r="K504" s="87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24"/>
      <c r="W504" s="24"/>
      <c r="X504" s="80"/>
      <c r="Y504" s="80"/>
      <c r="Z504" s="80"/>
      <c r="AA504" s="80"/>
      <c r="AB504" s="91"/>
      <c r="AC504" s="80"/>
      <c r="AD504" s="24"/>
      <c r="AE504" s="24"/>
      <c r="AF504" s="24"/>
      <c r="AG504" s="24"/>
      <c r="AH504" s="24"/>
      <c r="AI504" s="24"/>
      <c r="AJ504" s="24"/>
      <c r="AK504" s="24"/>
      <c r="AL504" s="24"/>
      <c r="AM504" s="24"/>
      <c r="AN504" s="24"/>
      <c r="AO504" s="24"/>
      <c r="AP504" s="24"/>
      <c r="AQ504" s="24"/>
      <c r="AR504" s="24"/>
      <c r="AS504" s="18"/>
      <c r="AT504" s="18"/>
      <c r="AU504" s="18"/>
      <c r="AV504" s="18"/>
      <c r="AW504" s="18"/>
      <c r="AX504" s="18"/>
      <c r="AY504" s="18"/>
      <c r="AZ504" s="18"/>
    </row>
    <row r="505" spans="1:52" x14ac:dyDescent="0.25">
      <c r="A505" s="80"/>
      <c r="B505" s="80"/>
      <c r="C505" s="113"/>
      <c r="D505" s="80"/>
      <c r="E505" s="80"/>
      <c r="F505" s="80"/>
      <c r="G505" s="80"/>
      <c r="H505" s="80"/>
      <c r="I505" s="80"/>
      <c r="J505" s="80"/>
      <c r="K505" s="87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24"/>
      <c r="W505" s="24"/>
      <c r="X505" s="80"/>
      <c r="Y505" s="80"/>
      <c r="Z505" s="80"/>
      <c r="AA505" s="80"/>
      <c r="AB505" s="91"/>
      <c r="AC505" s="80"/>
      <c r="AD505" s="24"/>
      <c r="AE505" s="24"/>
      <c r="AF505" s="24"/>
      <c r="AG505" s="24"/>
      <c r="AH505" s="24"/>
      <c r="AI505" s="24"/>
      <c r="AJ505" s="24"/>
      <c r="AK505" s="24"/>
      <c r="AL505" s="24"/>
      <c r="AM505" s="24"/>
      <c r="AN505" s="24"/>
      <c r="AO505" s="24"/>
      <c r="AP505" s="24"/>
      <c r="AQ505" s="24"/>
      <c r="AR505" s="24"/>
      <c r="AS505" s="18"/>
      <c r="AT505" s="18"/>
      <c r="AU505" s="18"/>
      <c r="AV505" s="18"/>
      <c r="AW505" s="18"/>
      <c r="AX505" s="18"/>
      <c r="AY505" s="18"/>
      <c r="AZ505" s="18"/>
    </row>
    <row r="506" spans="1:52" x14ac:dyDescent="0.25">
      <c r="A506" s="80"/>
      <c r="B506" s="80"/>
      <c r="C506" s="113"/>
      <c r="D506" s="80"/>
      <c r="E506" s="80"/>
      <c r="F506" s="80"/>
      <c r="G506" s="80"/>
      <c r="H506" s="80"/>
      <c r="I506" s="80"/>
      <c r="J506" s="80"/>
      <c r="K506" s="87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24"/>
      <c r="W506" s="24"/>
      <c r="X506" s="80"/>
      <c r="Y506" s="80"/>
      <c r="Z506" s="80"/>
      <c r="AA506" s="80"/>
      <c r="AB506" s="91"/>
      <c r="AC506" s="80"/>
      <c r="AD506" s="24"/>
      <c r="AE506" s="24"/>
      <c r="AF506" s="24"/>
      <c r="AG506" s="24"/>
      <c r="AH506" s="24"/>
      <c r="AI506" s="24"/>
      <c r="AJ506" s="24"/>
      <c r="AK506" s="24"/>
      <c r="AL506" s="24"/>
      <c r="AM506" s="24"/>
      <c r="AN506" s="24"/>
      <c r="AO506" s="24"/>
      <c r="AP506" s="24"/>
      <c r="AQ506" s="24"/>
      <c r="AR506" s="24"/>
      <c r="AS506" s="18"/>
      <c r="AT506" s="18"/>
      <c r="AU506" s="18"/>
      <c r="AV506" s="18"/>
      <c r="AW506" s="18"/>
      <c r="AX506" s="18"/>
      <c r="AY506" s="18"/>
      <c r="AZ506" s="18"/>
    </row>
    <row r="507" spans="1:52" x14ac:dyDescent="0.25">
      <c r="A507" s="80"/>
      <c r="B507" s="80"/>
      <c r="C507" s="113"/>
      <c r="D507" s="80"/>
      <c r="E507" s="80"/>
      <c r="F507" s="80"/>
      <c r="G507" s="80"/>
      <c r="H507" s="80"/>
      <c r="I507" s="80"/>
      <c r="J507" s="80"/>
      <c r="K507" s="87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24"/>
      <c r="W507" s="24"/>
      <c r="X507" s="80"/>
      <c r="Y507" s="80"/>
      <c r="Z507" s="80"/>
      <c r="AA507" s="80"/>
      <c r="AB507" s="91"/>
      <c r="AC507" s="80"/>
      <c r="AD507" s="24"/>
      <c r="AE507" s="24"/>
      <c r="AF507" s="24"/>
      <c r="AG507" s="24"/>
      <c r="AH507" s="24"/>
      <c r="AI507" s="24"/>
      <c r="AJ507" s="24"/>
      <c r="AK507" s="24"/>
      <c r="AL507" s="24"/>
      <c r="AM507" s="24"/>
      <c r="AN507" s="24"/>
      <c r="AO507" s="24"/>
      <c r="AP507" s="24"/>
      <c r="AQ507" s="24"/>
      <c r="AR507" s="24"/>
      <c r="AS507" s="18"/>
      <c r="AT507" s="18"/>
      <c r="AU507" s="18"/>
      <c r="AV507" s="18"/>
      <c r="AW507" s="18"/>
      <c r="AX507" s="18"/>
      <c r="AY507" s="18"/>
      <c r="AZ507" s="18"/>
    </row>
    <row r="508" spans="1:52" x14ac:dyDescent="0.25">
      <c r="A508" s="80"/>
      <c r="B508" s="80"/>
      <c r="C508" s="113"/>
      <c r="D508" s="80"/>
      <c r="E508" s="80"/>
      <c r="F508" s="80"/>
      <c r="G508" s="80"/>
      <c r="H508" s="80"/>
      <c r="I508" s="80"/>
      <c r="J508" s="80"/>
      <c r="K508" s="87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24"/>
      <c r="W508" s="24"/>
      <c r="X508" s="80"/>
      <c r="Y508" s="80"/>
      <c r="Z508" s="80"/>
      <c r="AA508" s="80"/>
      <c r="AB508" s="91"/>
      <c r="AC508" s="80"/>
      <c r="AD508" s="24"/>
      <c r="AE508" s="24"/>
      <c r="AF508" s="24"/>
      <c r="AG508" s="24"/>
      <c r="AH508" s="24"/>
      <c r="AI508" s="24"/>
      <c r="AJ508" s="24"/>
      <c r="AK508" s="24"/>
      <c r="AL508" s="24"/>
      <c r="AM508" s="24"/>
      <c r="AN508" s="24"/>
      <c r="AO508" s="24"/>
      <c r="AP508" s="24"/>
      <c r="AQ508" s="24"/>
      <c r="AR508" s="24"/>
      <c r="AS508" s="18"/>
      <c r="AT508" s="18"/>
      <c r="AU508" s="18"/>
      <c r="AV508" s="18"/>
      <c r="AW508" s="18"/>
      <c r="AX508" s="18"/>
      <c r="AY508" s="18"/>
      <c r="AZ508" s="18"/>
    </row>
    <row r="509" spans="1:52" x14ac:dyDescent="0.25">
      <c r="A509" s="80"/>
      <c r="B509" s="80"/>
      <c r="C509" s="113"/>
      <c r="D509" s="80"/>
      <c r="E509" s="80"/>
      <c r="F509" s="80"/>
      <c r="G509" s="80"/>
      <c r="H509" s="80"/>
      <c r="I509" s="80"/>
      <c r="J509" s="80"/>
      <c r="K509" s="87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24"/>
      <c r="W509" s="24"/>
      <c r="X509" s="80"/>
      <c r="Y509" s="80"/>
      <c r="Z509" s="80"/>
      <c r="AA509" s="80"/>
      <c r="AB509" s="91"/>
      <c r="AC509" s="80"/>
      <c r="AD509" s="24"/>
      <c r="AE509" s="24"/>
      <c r="AF509" s="24"/>
      <c r="AG509" s="24"/>
      <c r="AH509" s="24"/>
      <c r="AI509" s="24"/>
      <c r="AJ509" s="24"/>
      <c r="AK509" s="24"/>
      <c r="AL509" s="24"/>
      <c r="AM509" s="24"/>
      <c r="AN509" s="24"/>
      <c r="AO509" s="24"/>
      <c r="AP509" s="24"/>
      <c r="AQ509" s="24"/>
      <c r="AR509" s="24"/>
      <c r="AS509" s="18"/>
      <c r="AT509" s="18"/>
      <c r="AU509" s="18"/>
      <c r="AV509" s="18"/>
      <c r="AW509" s="18"/>
      <c r="AX509" s="18"/>
      <c r="AY509" s="18"/>
      <c r="AZ509" s="18"/>
    </row>
    <row r="510" spans="1:52" x14ac:dyDescent="0.25">
      <c r="A510" s="80"/>
      <c r="B510" s="80"/>
      <c r="C510" s="113"/>
      <c r="D510" s="80"/>
      <c r="E510" s="80"/>
      <c r="F510" s="80"/>
      <c r="G510" s="80"/>
      <c r="H510" s="80"/>
      <c r="I510" s="80"/>
      <c r="J510" s="80"/>
      <c r="K510" s="87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24"/>
      <c r="W510" s="24"/>
      <c r="X510" s="80"/>
      <c r="Y510" s="80"/>
      <c r="Z510" s="80"/>
      <c r="AA510" s="80"/>
      <c r="AB510" s="91"/>
      <c r="AC510" s="80"/>
      <c r="AD510" s="24"/>
      <c r="AE510" s="24"/>
      <c r="AF510" s="24"/>
      <c r="AG510" s="24"/>
      <c r="AH510" s="24"/>
      <c r="AI510" s="24"/>
      <c r="AJ510" s="24"/>
      <c r="AK510" s="24"/>
      <c r="AL510" s="24"/>
      <c r="AM510" s="24"/>
      <c r="AN510" s="24"/>
      <c r="AO510" s="24"/>
      <c r="AP510" s="24"/>
      <c r="AQ510" s="24"/>
      <c r="AR510" s="24"/>
      <c r="AS510" s="18"/>
      <c r="AT510" s="18"/>
      <c r="AU510" s="18"/>
      <c r="AV510" s="18"/>
      <c r="AW510" s="18"/>
      <c r="AX510" s="18"/>
      <c r="AY510" s="18"/>
      <c r="AZ510" s="18"/>
    </row>
    <row r="511" spans="1:52" x14ac:dyDescent="0.25">
      <c r="A511" s="80"/>
      <c r="B511" s="80"/>
      <c r="C511" s="113"/>
      <c r="D511" s="80"/>
      <c r="E511" s="80"/>
      <c r="F511" s="80"/>
      <c r="G511" s="80"/>
      <c r="H511" s="80"/>
      <c r="I511" s="80"/>
      <c r="J511" s="80"/>
      <c r="K511" s="87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24"/>
      <c r="W511" s="24"/>
      <c r="X511" s="80"/>
      <c r="Y511" s="80"/>
      <c r="Z511" s="80"/>
      <c r="AA511" s="80"/>
      <c r="AB511" s="91"/>
      <c r="AC511" s="80"/>
      <c r="AD511" s="24"/>
      <c r="AE511" s="24"/>
      <c r="AF511" s="24"/>
      <c r="AG511" s="24"/>
      <c r="AH511" s="24"/>
      <c r="AI511" s="24"/>
      <c r="AJ511" s="24"/>
      <c r="AK511" s="24"/>
      <c r="AL511" s="24"/>
      <c r="AM511" s="24"/>
      <c r="AN511" s="24"/>
      <c r="AO511" s="24"/>
      <c r="AP511" s="24"/>
      <c r="AQ511" s="24"/>
      <c r="AR511" s="24"/>
      <c r="AS511" s="18"/>
      <c r="AT511" s="18"/>
      <c r="AU511" s="18"/>
      <c r="AV511" s="18"/>
      <c r="AW511" s="18"/>
      <c r="AX511" s="18"/>
      <c r="AY511" s="18"/>
      <c r="AZ511" s="18"/>
    </row>
    <row r="512" spans="1:52" x14ac:dyDescent="0.25">
      <c r="A512" s="80"/>
      <c r="B512" s="80"/>
      <c r="C512" s="113"/>
      <c r="D512" s="80"/>
      <c r="E512" s="80"/>
      <c r="F512" s="80"/>
      <c r="G512" s="80"/>
      <c r="H512" s="80"/>
      <c r="I512" s="80"/>
      <c r="J512" s="80"/>
      <c r="K512" s="87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24"/>
      <c r="W512" s="24"/>
      <c r="X512" s="80"/>
      <c r="Y512" s="80"/>
      <c r="Z512" s="80"/>
      <c r="AA512" s="80"/>
      <c r="AB512" s="91"/>
      <c r="AC512" s="80"/>
      <c r="AD512" s="24"/>
      <c r="AE512" s="24"/>
      <c r="AF512" s="24"/>
      <c r="AG512" s="24"/>
      <c r="AH512" s="24"/>
      <c r="AI512" s="24"/>
      <c r="AJ512" s="24"/>
      <c r="AK512" s="24"/>
      <c r="AL512" s="24"/>
      <c r="AM512" s="24"/>
      <c r="AN512" s="24"/>
      <c r="AO512" s="24"/>
      <c r="AP512" s="24"/>
      <c r="AQ512" s="24"/>
      <c r="AR512" s="24"/>
      <c r="AS512" s="18"/>
      <c r="AT512" s="18"/>
      <c r="AU512" s="18"/>
      <c r="AV512" s="18"/>
      <c r="AW512" s="18"/>
      <c r="AX512" s="18"/>
      <c r="AY512" s="18"/>
      <c r="AZ512" s="18"/>
    </row>
    <row r="513" spans="1:52" x14ac:dyDescent="0.25">
      <c r="A513" s="80"/>
      <c r="B513" s="80"/>
      <c r="C513" s="113"/>
      <c r="D513" s="80"/>
      <c r="E513" s="80"/>
      <c r="F513" s="80"/>
      <c r="G513" s="80"/>
      <c r="H513" s="80"/>
      <c r="I513" s="80"/>
      <c r="J513" s="80"/>
      <c r="K513" s="87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24"/>
      <c r="W513" s="24"/>
      <c r="X513" s="80"/>
      <c r="Y513" s="80"/>
      <c r="Z513" s="80"/>
      <c r="AA513" s="80"/>
      <c r="AB513" s="91"/>
      <c r="AC513" s="80"/>
      <c r="AD513" s="24"/>
      <c r="AE513" s="24"/>
      <c r="AF513" s="24"/>
      <c r="AG513" s="24"/>
      <c r="AH513" s="24"/>
      <c r="AI513" s="24"/>
      <c r="AJ513" s="24"/>
      <c r="AK513" s="24"/>
      <c r="AL513" s="24"/>
      <c r="AM513" s="24"/>
      <c r="AN513" s="24"/>
      <c r="AO513" s="24"/>
      <c r="AP513" s="24"/>
      <c r="AQ513" s="24"/>
      <c r="AR513" s="24"/>
      <c r="AS513" s="18"/>
      <c r="AT513" s="18"/>
      <c r="AU513" s="18"/>
      <c r="AV513" s="18"/>
      <c r="AW513" s="18"/>
      <c r="AX513" s="18"/>
      <c r="AY513" s="18"/>
      <c r="AZ513" s="18"/>
    </row>
    <row r="514" spans="1:52" x14ac:dyDescent="0.25">
      <c r="A514" s="80"/>
      <c r="B514" s="80"/>
      <c r="C514" s="113"/>
      <c r="D514" s="80"/>
      <c r="E514" s="80"/>
      <c r="F514" s="80"/>
      <c r="G514" s="80"/>
      <c r="H514" s="80"/>
      <c r="I514" s="80"/>
      <c r="J514" s="80"/>
      <c r="K514" s="87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24"/>
      <c r="W514" s="24"/>
      <c r="X514" s="80"/>
      <c r="Y514" s="80"/>
      <c r="Z514" s="80"/>
      <c r="AA514" s="80"/>
      <c r="AB514" s="91"/>
      <c r="AC514" s="80"/>
      <c r="AD514" s="24"/>
      <c r="AE514" s="24"/>
      <c r="AF514" s="24"/>
      <c r="AG514" s="24"/>
      <c r="AH514" s="24"/>
      <c r="AI514" s="24"/>
      <c r="AJ514" s="24"/>
      <c r="AK514" s="24"/>
      <c r="AL514" s="24"/>
      <c r="AM514" s="24"/>
      <c r="AN514" s="24"/>
      <c r="AO514" s="24"/>
      <c r="AP514" s="24"/>
      <c r="AQ514" s="24"/>
      <c r="AR514" s="24"/>
      <c r="AS514" s="18"/>
      <c r="AT514" s="18"/>
      <c r="AU514" s="18"/>
      <c r="AV514" s="18"/>
      <c r="AW514" s="18"/>
      <c r="AX514" s="18"/>
      <c r="AY514" s="18"/>
      <c r="AZ514" s="18"/>
    </row>
    <row r="515" spans="1:52" x14ac:dyDescent="0.25">
      <c r="A515" s="80"/>
      <c r="B515" s="80"/>
      <c r="C515" s="113"/>
      <c r="D515" s="80"/>
      <c r="E515" s="80"/>
      <c r="F515" s="80"/>
      <c r="G515" s="80"/>
      <c r="H515" s="80"/>
      <c r="I515" s="80"/>
      <c r="J515" s="80"/>
      <c r="K515" s="87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24"/>
      <c r="W515" s="24"/>
      <c r="X515" s="80"/>
      <c r="Y515" s="80"/>
      <c r="Z515" s="80"/>
      <c r="AA515" s="80"/>
      <c r="AB515" s="91"/>
      <c r="AC515" s="80"/>
      <c r="AD515" s="24"/>
      <c r="AE515" s="24"/>
      <c r="AF515" s="24"/>
      <c r="AG515" s="24"/>
      <c r="AH515" s="24"/>
      <c r="AI515" s="24"/>
      <c r="AJ515" s="24"/>
      <c r="AK515" s="24"/>
      <c r="AL515" s="24"/>
      <c r="AM515" s="24"/>
      <c r="AN515" s="24"/>
      <c r="AO515" s="24"/>
      <c r="AP515" s="24"/>
      <c r="AQ515" s="24"/>
      <c r="AR515" s="24"/>
      <c r="AS515" s="18"/>
      <c r="AT515" s="18"/>
      <c r="AU515" s="18"/>
      <c r="AV515" s="18"/>
      <c r="AW515" s="18"/>
      <c r="AX515" s="18"/>
      <c r="AY515" s="18"/>
      <c r="AZ515" s="18"/>
    </row>
    <row r="516" spans="1:52" x14ac:dyDescent="0.25">
      <c r="A516" s="80"/>
      <c r="B516" s="80"/>
      <c r="C516" s="113"/>
      <c r="D516" s="80"/>
      <c r="E516" s="80"/>
      <c r="F516" s="80"/>
      <c r="G516" s="80"/>
      <c r="H516" s="80"/>
      <c r="I516" s="80"/>
      <c r="J516" s="80"/>
      <c r="K516" s="87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24"/>
      <c r="W516" s="24"/>
      <c r="X516" s="80"/>
      <c r="Y516" s="80"/>
      <c r="Z516" s="80"/>
      <c r="AA516" s="80"/>
      <c r="AB516" s="91"/>
      <c r="AC516" s="80"/>
      <c r="AD516" s="24"/>
      <c r="AE516" s="24"/>
      <c r="AF516" s="24"/>
      <c r="AG516" s="24"/>
      <c r="AH516" s="24"/>
      <c r="AI516" s="24"/>
      <c r="AJ516" s="24"/>
      <c r="AK516" s="24"/>
      <c r="AL516" s="24"/>
      <c r="AM516" s="24"/>
      <c r="AN516" s="24"/>
      <c r="AO516" s="24"/>
      <c r="AP516" s="24"/>
      <c r="AQ516" s="24"/>
      <c r="AR516" s="24"/>
      <c r="AS516" s="18"/>
      <c r="AT516" s="18"/>
      <c r="AU516" s="18"/>
      <c r="AV516" s="18"/>
      <c r="AW516" s="18"/>
      <c r="AX516" s="18"/>
      <c r="AY516" s="18"/>
      <c r="AZ516" s="18"/>
    </row>
    <row r="517" spans="1:52" x14ac:dyDescent="0.25">
      <c r="A517" s="80"/>
      <c r="B517" s="80"/>
      <c r="C517" s="113"/>
      <c r="D517" s="80"/>
      <c r="E517" s="80"/>
      <c r="F517" s="80"/>
      <c r="G517" s="80"/>
      <c r="H517" s="80"/>
      <c r="I517" s="80"/>
      <c r="J517" s="80"/>
      <c r="K517" s="87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24"/>
      <c r="W517" s="24"/>
      <c r="X517" s="80"/>
      <c r="Y517" s="80"/>
      <c r="Z517" s="80"/>
      <c r="AA517" s="80"/>
      <c r="AB517" s="91"/>
      <c r="AC517" s="80"/>
      <c r="AD517" s="24"/>
      <c r="AE517" s="24"/>
      <c r="AF517" s="24"/>
      <c r="AG517" s="24"/>
      <c r="AH517" s="24"/>
      <c r="AI517" s="24"/>
      <c r="AJ517" s="24"/>
      <c r="AK517" s="24"/>
      <c r="AL517" s="24"/>
      <c r="AM517" s="24"/>
      <c r="AN517" s="24"/>
      <c r="AO517" s="24"/>
      <c r="AP517" s="24"/>
      <c r="AQ517" s="24"/>
      <c r="AR517" s="24"/>
      <c r="AS517" s="18"/>
      <c r="AT517" s="18"/>
      <c r="AU517" s="18"/>
      <c r="AV517" s="18"/>
      <c r="AW517" s="18"/>
      <c r="AX517" s="18"/>
      <c r="AY517" s="18"/>
      <c r="AZ517" s="18"/>
    </row>
    <row r="518" spans="1:52" x14ac:dyDescent="0.25">
      <c r="A518" s="80"/>
      <c r="B518" s="80"/>
      <c r="C518" s="113"/>
      <c r="D518" s="80"/>
      <c r="E518" s="80"/>
      <c r="F518" s="80"/>
      <c r="G518" s="80"/>
      <c r="H518" s="80"/>
      <c r="I518" s="80"/>
      <c r="J518" s="80"/>
      <c r="K518" s="87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24"/>
      <c r="W518" s="24"/>
      <c r="X518" s="80"/>
      <c r="Y518" s="80"/>
      <c r="Z518" s="80"/>
      <c r="AA518" s="80"/>
      <c r="AB518" s="91"/>
      <c r="AC518" s="80"/>
      <c r="AD518" s="24"/>
      <c r="AE518" s="24"/>
      <c r="AF518" s="24"/>
      <c r="AG518" s="24"/>
      <c r="AH518" s="24"/>
      <c r="AI518" s="24"/>
      <c r="AJ518" s="24"/>
      <c r="AK518" s="24"/>
      <c r="AL518" s="24"/>
      <c r="AM518" s="24"/>
      <c r="AN518" s="24"/>
      <c r="AO518" s="24"/>
      <c r="AP518" s="24"/>
      <c r="AQ518" s="24"/>
      <c r="AR518" s="24"/>
      <c r="AS518" s="18"/>
      <c r="AT518" s="18"/>
      <c r="AU518" s="18"/>
      <c r="AV518" s="18"/>
      <c r="AW518" s="18"/>
      <c r="AX518" s="18"/>
      <c r="AY518" s="18"/>
      <c r="AZ518" s="18"/>
    </row>
    <row r="519" spans="1:52" x14ac:dyDescent="0.25">
      <c r="A519" s="80"/>
      <c r="B519" s="80"/>
      <c r="C519" s="113"/>
      <c r="D519" s="80"/>
      <c r="E519" s="80"/>
      <c r="F519" s="80"/>
      <c r="G519" s="80"/>
      <c r="H519" s="80"/>
      <c r="I519" s="80"/>
      <c r="J519" s="80"/>
      <c r="K519" s="87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24"/>
      <c r="W519" s="24"/>
      <c r="X519" s="80"/>
      <c r="Y519" s="80"/>
      <c r="Z519" s="80"/>
      <c r="AA519" s="80"/>
      <c r="AB519" s="91"/>
      <c r="AC519" s="80"/>
      <c r="AD519" s="24"/>
      <c r="AE519" s="24"/>
      <c r="AF519" s="24"/>
      <c r="AG519" s="24"/>
      <c r="AH519" s="24"/>
      <c r="AI519" s="24"/>
      <c r="AJ519" s="24"/>
      <c r="AK519" s="24"/>
      <c r="AL519" s="24"/>
      <c r="AM519" s="24"/>
      <c r="AN519" s="24"/>
      <c r="AO519" s="24"/>
      <c r="AP519" s="24"/>
      <c r="AQ519" s="24"/>
      <c r="AR519" s="24"/>
      <c r="AS519" s="18"/>
      <c r="AT519" s="18"/>
      <c r="AU519" s="18"/>
      <c r="AV519" s="18"/>
      <c r="AW519" s="18"/>
      <c r="AX519" s="18"/>
      <c r="AY519" s="18"/>
      <c r="AZ519" s="18"/>
    </row>
    <row r="520" spans="1:52" x14ac:dyDescent="0.25">
      <c r="A520" s="80"/>
      <c r="B520" s="80"/>
      <c r="C520" s="113"/>
      <c r="D520" s="80"/>
      <c r="E520" s="80"/>
      <c r="F520" s="80"/>
      <c r="G520" s="80"/>
      <c r="H520" s="80"/>
      <c r="I520" s="80"/>
      <c r="J520" s="80"/>
      <c r="K520" s="87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24"/>
      <c r="W520" s="24"/>
      <c r="X520" s="80"/>
      <c r="Y520" s="80"/>
      <c r="Z520" s="80"/>
      <c r="AA520" s="80"/>
      <c r="AB520" s="91"/>
      <c r="AC520" s="80"/>
      <c r="AD520" s="24"/>
      <c r="AE520" s="24"/>
      <c r="AF520" s="24"/>
      <c r="AG520" s="24"/>
      <c r="AH520" s="24"/>
      <c r="AI520" s="24"/>
      <c r="AJ520" s="24"/>
      <c r="AK520" s="24"/>
      <c r="AL520" s="24"/>
      <c r="AM520" s="24"/>
      <c r="AN520" s="24"/>
      <c r="AO520" s="24"/>
      <c r="AP520" s="24"/>
      <c r="AQ520" s="24"/>
      <c r="AR520" s="24"/>
      <c r="AS520" s="18"/>
      <c r="AT520" s="18"/>
      <c r="AU520" s="18"/>
      <c r="AV520" s="18"/>
      <c r="AW520" s="18"/>
      <c r="AX520" s="18"/>
      <c r="AY520" s="18"/>
      <c r="AZ520" s="18"/>
    </row>
    <row r="521" spans="1:52" x14ac:dyDescent="0.25">
      <c r="A521" s="80"/>
      <c r="B521" s="80"/>
      <c r="C521" s="113"/>
      <c r="D521" s="80"/>
      <c r="E521" s="80"/>
      <c r="F521" s="80"/>
      <c r="G521" s="80"/>
      <c r="H521" s="80"/>
      <c r="I521" s="80"/>
      <c r="J521" s="80"/>
      <c r="K521" s="87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24"/>
      <c r="W521" s="24"/>
      <c r="X521" s="80"/>
      <c r="Y521" s="80"/>
      <c r="Z521" s="80"/>
      <c r="AA521" s="80"/>
      <c r="AB521" s="91"/>
      <c r="AC521" s="80"/>
      <c r="AD521" s="24"/>
      <c r="AE521" s="24"/>
      <c r="AF521" s="24"/>
      <c r="AG521" s="24"/>
      <c r="AH521" s="24"/>
      <c r="AI521" s="24"/>
      <c r="AJ521" s="24"/>
      <c r="AK521" s="24"/>
      <c r="AL521" s="24"/>
      <c r="AM521" s="24"/>
      <c r="AN521" s="24"/>
      <c r="AO521" s="24"/>
      <c r="AP521" s="24"/>
      <c r="AQ521" s="24"/>
      <c r="AR521" s="24"/>
      <c r="AS521" s="18"/>
      <c r="AT521" s="18"/>
      <c r="AU521" s="18"/>
      <c r="AV521" s="18"/>
      <c r="AW521" s="18"/>
      <c r="AX521" s="18"/>
      <c r="AY521" s="18"/>
      <c r="AZ521" s="18"/>
    </row>
    <row r="522" spans="1:52" x14ac:dyDescent="0.25">
      <c r="A522" s="80"/>
      <c r="B522" s="80"/>
      <c r="C522" s="113"/>
      <c r="D522" s="80"/>
      <c r="E522" s="80"/>
      <c r="F522" s="80"/>
      <c r="G522" s="80"/>
      <c r="H522" s="80"/>
      <c r="I522" s="80"/>
      <c r="J522" s="80"/>
      <c r="K522" s="87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24"/>
      <c r="W522" s="24"/>
      <c r="X522" s="80"/>
      <c r="Y522" s="80"/>
      <c r="Z522" s="80"/>
      <c r="AA522" s="80"/>
      <c r="AB522" s="91"/>
      <c r="AC522" s="80"/>
      <c r="AD522" s="24"/>
      <c r="AE522" s="24"/>
      <c r="AF522" s="24"/>
      <c r="AG522" s="24"/>
      <c r="AH522" s="24"/>
      <c r="AI522" s="24"/>
      <c r="AJ522" s="24"/>
      <c r="AK522" s="24"/>
      <c r="AL522" s="24"/>
      <c r="AM522" s="24"/>
      <c r="AN522" s="24"/>
      <c r="AO522" s="24"/>
      <c r="AP522" s="24"/>
      <c r="AQ522" s="24"/>
      <c r="AR522" s="24"/>
      <c r="AS522" s="18"/>
      <c r="AT522" s="18"/>
      <c r="AU522" s="18"/>
      <c r="AV522" s="18"/>
      <c r="AW522" s="18"/>
      <c r="AX522" s="18"/>
      <c r="AY522" s="18"/>
      <c r="AZ522" s="18"/>
    </row>
    <row r="523" spans="1:52" x14ac:dyDescent="0.25">
      <c r="A523" s="80"/>
      <c r="B523" s="80"/>
      <c r="C523" s="113"/>
      <c r="D523" s="80"/>
      <c r="E523" s="80"/>
      <c r="F523" s="80"/>
      <c r="G523" s="80"/>
      <c r="H523" s="80"/>
      <c r="I523" s="80"/>
      <c r="J523" s="80"/>
      <c r="K523" s="87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24"/>
      <c r="W523" s="24"/>
      <c r="X523" s="80"/>
      <c r="Y523" s="80"/>
      <c r="Z523" s="80"/>
      <c r="AA523" s="80"/>
      <c r="AB523" s="91"/>
      <c r="AC523" s="80"/>
      <c r="AD523" s="24"/>
      <c r="AE523" s="24"/>
      <c r="AF523" s="24"/>
      <c r="AG523" s="24"/>
      <c r="AH523" s="24"/>
      <c r="AI523" s="24"/>
      <c r="AJ523" s="24"/>
      <c r="AK523" s="24"/>
      <c r="AL523" s="24"/>
      <c r="AM523" s="24"/>
      <c r="AN523" s="24"/>
      <c r="AO523" s="24"/>
      <c r="AP523" s="24"/>
      <c r="AQ523" s="24"/>
      <c r="AR523" s="24"/>
      <c r="AS523" s="18"/>
      <c r="AT523" s="18"/>
      <c r="AU523" s="18"/>
      <c r="AV523" s="18"/>
      <c r="AW523" s="18"/>
      <c r="AX523" s="18"/>
      <c r="AY523" s="18"/>
      <c r="AZ523" s="18"/>
    </row>
    <row r="524" spans="1:52" x14ac:dyDescent="0.25">
      <c r="A524" s="80"/>
      <c r="B524" s="80"/>
      <c r="C524" s="113"/>
      <c r="D524" s="80"/>
      <c r="E524" s="80"/>
      <c r="F524" s="80"/>
      <c r="G524" s="80"/>
      <c r="H524" s="80"/>
      <c r="I524" s="80"/>
      <c r="J524" s="80"/>
      <c r="K524" s="87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24"/>
      <c r="W524" s="24"/>
      <c r="X524" s="80"/>
      <c r="Y524" s="80"/>
      <c r="Z524" s="80"/>
      <c r="AA524" s="80"/>
      <c r="AB524" s="91"/>
      <c r="AC524" s="80"/>
      <c r="AD524" s="24"/>
      <c r="AE524" s="24"/>
      <c r="AF524" s="24"/>
      <c r="AG524" s="24"/>
      <c r="AH524" s="24"/>
      <c r="AI524" s="24"/>
      <c r="AJ524" s="24"/>
      <c r="AK524" s="24"/>
      <c r="AL524" s="24"/>
      <c r="AM524" s="24"/>
      <c r="AN524" s="24"/>
      <c r="AO524" s="24"/>
      <c r="AP524" s="24"/>
      <c r="AQ524" s="24"/>
      <c r="AR524" s="24"/>
      <c r="AS524" s="18"/>
      <c r="AT524" s="18"/>
      <c r="AU524" s="18"/>
      <c r="AV524" s="18"/>
      <c r="AW524" s="18"/>
      <c r="AX524" s="18"/>
      <c r="AY524" s="18"/>
      <c r="AZ524" s="18"/>
    </row>
    <row r="525" spans="1:52" x14ac:dyDescent="0.25">
      <c r="A525" s="80"/>
      <c r="B525" s="80"/>
      <c r="C525" s="113"/>
      <c r="D525" s="80"/>
      <c r="E525" s="80"/>
      <c r="F525" s="80"/>
      <c r="G525" s="80"/>
      <c r="H525" s="80"/>
      <c r="I525" s="80"/>
      <c r="J525" s="80"/>
      <c r="K525" s="87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24"/>
      <c r="W525" s="24"/>
      <c r="X525" s="80"/>
      <c r="Y525" s="80"/>
      <c r="Z525" s="80"/>
      <c r="AA525" s="80"/>
      <c r="AB525" s="91"/>
      <c r="AC525" s="80"/>
      <c r="AD525" s="24"/>
      <c r="AE525" s="24"/>
      <c r="AF525" s="24"/>
      <c r="AG525" s="24"/>
      <c r="AH525" s="24"/>
      <c r="AI525" s="24"/>
      <c r="AJ525" s="24"/>
      <c r="AK525" s="24"/>
      <c r="AL525" s="24"/>
      <c r="AM525" s="24"/>
      <c r="AN525" s="24"/>
      <c r="AO525" s="24"/>
      <c r="AP525" s="24"/>
      <c r="AQ525" s="24"/>
      <c r="AR525" s="24"/>
      <c r="AS525" s="18"/>
      <c r="AT525" s="18"/>
      <c r="AU525" s="18"/>
      <c r="AV525" s="18"/>
      <c r="AW525" s="18"/>
      <c r="AX525" s="18"/>
      <c r="AY525" s="18"/>
      <c r="AZ525" s="18"/>
    </row>
    <row r="526" spans="1:52" x14ac:dyDescent="0.25">
      <c r="A526" s="80"/>
      <c r="B526" s="80"/>
      <c r="C526" s="113"/>
      <c r="D526" s="80"/>
      <c r="E526" s="80"/>
      <c r="F526" s="80"/>
      <c r="G526" s="80"/>
      <c r="H526" s="80"/>
      <c r="I526" s="80"/>
      <c r="J526" s="80"/>
      <c r="K526" s="87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24"/>
      <c r="W526" s="24"/>
      <c r="X526" s="80"/>
      <c r="Y526" s="80"/>
      <c r="Z526" s="80"/>
      <c r="AA526" s="80"/>
      <c r="AB526" s="91"/>
      <c r="AC526" s="80"/>
      <c r="AD526" s="24"/>
      <c r="AE526" s="24"/>
      <c r="AF526" s="24"/>
      <c r="AG526" s="24"/>
      <c r="AH526" s="24"/>
      <c r="AI526" s="24"/>
      <c r="AJ526" s="24"/>
      <c r="AK526" s="24"/>
      <c r="AL526" s="24"/>
      <c r="AM526" s="24"/>
      <c r="AN526" s="24"/>
      <c r="AO526" s="24"/>
      <c r="AP526" s="24"/>
      <c r="AQ526" s="24"/>
      <c r="AR526" s="24"/>
      <c r="AS526" s="18"/>
      <c r="AT526" s="18"/>
      <c r="AU526" s="18"/>
      <c r="AV526" s="18"/>
      <c r="AW526" s="18"/>
      <c r="AX526" s="18"/>
      <c r="AY526" s="18"/>
      <c r="AZ526" s="18"/>
    </row>
    <row r="527" spans="1:52" x14ac:dyDescent="0.25">
      <c r="A527" s="80"/>
      <c r="B527" s="80"/>
      <c r="C527" s="113"/>
      <c r="D527" s="80"/>
      <c r="E527" s="80"/>
      <c r="F527" s="80"/>
      <c r="G527" s="80"/>
      <c r="H527" s="80"/>
      <c r="I527" s="80"/>
      <c r="J527" s="80"/>
      <c r="K527" s="87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24"/>
      <c r="W527" s="24"/>
      <c r="X527" s="80"/>
      <c r="Y527" s="80"/>
      <c r="Z527" s="80"/>
      <c r="AA527" s="80"/>
      <c r="AB527" s="91"/>
      <c r="AC527" s="80"/>
      <c r="AD527" s="24"/>
      <c r="AE527" s="24"/>
      <c r="AF527" s="24"/>
      <c r="AG527" s="24"/>
      <c r="AH527" s="24"/>
      <c r="AI527" s="24"/>
      <c r="AJ527" s="24"/>
      <c r="AK527" s="24"/>
      <c r="AL527" s="24"/>
      <c r="AM527" s="24"/>
      <c r="AN527" s="24"/>
      <c r="AO527" s="24"/>
      <c r="AP527" s="24"/>
      <c r="AQ527" s="24"/>
      <c r="AR527" s="24"/>
      <c r="AS527" s="18"/>
      <c r="AT527" s="18"/>
      <c r="AU527" s="18"/>
      <c r="AV527" s="18"/>
      <c r="AW527" s="18"/>
      <c r="AX527" s="18"/>
      <c r="AY527" s="18"/>
      <c r="AZ527" s="18"/>
    </row>
    <row r="528" spans="1:52" x14ac:dyDescent="0.25">
      <c r="A528" s="80"/>
      <c r="B528" s="80"/>
      <c r="C528" s="113"/>
      <c r="D528" s="80"/>
      <c r="E528" s="80"/>
      <c r="F528" s="80"/>
      <c r="G528" s="80"/>
      <c r="H528" s="80"/>
      <c r="I528" s="80"/>
      <c r="J528" s="80"/>
      <c r="K528" s="87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24"/>
      <c r="W528" s="24"/>
      <c r="X528" s="80"/>
      <c r="Y528" s="80"/>
      <c r="Z528" s="80"/>
      <c r="AA528" s="80"/>
      <c r="AB528" s="91"/>
      <c r="AC528" s="80"/>
      <c r="AD528" s="24"/>
      <c r="AE528" s="24"/>
      <c r="AF528" s="24"/>
      <c r="AG528" s="24"/>
      <c r="AH528" s="24"/>
      <c r="AI528" s="24"/>
      <c r="AJ528" s="24"/>
      <c r="AK528" s="24"/>
      <c r="AL528" s="24"/>
      <c r="AM528" s="24"/>
      <c r="AN528" s="24"/>
      <c r="AO528" s="24"/>
      <c r="AP528" s="24"/>
      <c r="AQ528" s="24"/>
      <c r="AR528" s="24"/>
      <c r="AS528" s="18"/>
      <c r="AT528" s="18"/>
      <c r="AU528" s="18"/>
      <c r="AV528" s="18"/>
      <c r="AW528" s="18"/>
      <c r="AX528" s="18"/>
      <c r="AY528" s="18"/>
      <c r="AZ528" s="18"/>
    </row>
    <row r="529" spans="1:52" x14ac:dyDescent="0.25">
      <c r="A529" s="80"/>
      <c r="B529" s="80"/>
      <c r="C529" s="113"/>
      <c r="D529" s="80"/>
      <c r="E529" s="80"/>
      <c r="F529" s="80"/>
      <c r="G529" s="80"/>
      <c r="H529" s="80"/>
      <c r="I529" s="80"/>
      <c r="J529" s="80"/>
      <c r="K529" s="87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24"/>
      <c r="W529" s="24"/>
      <c r="X529" s="80"/>
      <c r="Y529" s="80"/>
      <c r="Z529" s="80"/>
      <c r="AA529" s="80"/>
      <c r="AB529" s="91"/>
      <c r="AC529" s="80"/>
      <c r="AD529" s="24"/>
      <c r="AE529" s="24"/>
      <c r="AF529" s="24"/>
      <c r="AG529" s="24"/>
      <c r="AH529" s="24"/>
      <c r="AI529" s="24"/>
      <c r="AJ529" s="24"/>
      <c r="AK529" s="24"/>
      <c r="AL529" s="24"/>
      <c r="AM529" s="24"/>
      <c r="AN529" s="24"/>
      <c r="AO529" s="24"/>
      <c r="AP529" s="24"/>
      <c r="AQ529" s="24"/>
      <c r="AR529" s="24"/>
      <c r="AS529" s="18"/>
      <c r="AT529" s="18"/>
      <c r="AU529" s="18"/>
      <c r="AV529" s="18"/>
      <c r="AW529" s="18"/>
      <c r="AX529" s="18"/>
      <c r="AY529" s="18"/>
      <c r="AZ529" s="18"/>
    </row>
    <row r="530" spans="1:52" x14ac:dyDescent="0.25">
      <c r="A530" s="80"/>
      <c r="B530" s="80"/>
      <c r="C530" s="113"/>
      <c r="D530" s="80"/>
      <c r="E530" s="80"/>
      <c r="F530" s="80"/>
      <c r="G530" s="80"/>
      <c r="H530" s="80"/>
      <c r="I530" s="80"/>
      <c r="J530" s="80"/>
      <c r="K530" s="87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24"/>
      <c r="W530" s="24"/>
      <c r="X530" s="80"/>
      <c r="Y530" s="80"/>
      <c r="Z530" s="80"/>
      <c r="AA530" s="80"/>
      <c r="AB530" s="91"/>
      <c r="AC530" s="80"/>
      <c r="AD530" s="24"/>
      <c r="AE530" s="24"/>
      <c r="AF530" s="24"/>
      <c r="AG530" s="24"/>
      <c r="AH530" s="24"/>
      <c r="AI530" s="24"/>
      <c r="AJ530" s="24"/>
      <c r="AK530" s="24"/>
      <c r="AL530" s="24"/>
      <c r="AM530" s="24"/>
      <c r="AN530" s="24"/>
      <c r="AO530" s="24"/>
      <c r="AP530" s="24"/>
      <c r="AQ530" s="24"/>
      <c r="AR530" s="24"/>
      <c r="AS530" s="18"/>
      <c r="AT530" s="18"/>
      <c r="AU530" s="18"/>
      <c r="AV530" s="18"/>
      <c r="AW530" s="18"/>
      <c r="AX530" s="18"/>
      <c r="AY530" s="18"/>
      <c r="AZ530" s="18"/>
    </row>
    <row r="531" spans="1:52" x14ac:dyDescent="0.25">
      <c r="A531" s="80"/>
      <c r="B531" s="80"/>
      <c r="C531" s="113"/>
      <c r="D531" s="80"/>
      <c r="E531" s="80"/>
      <c r="F531" s="80"/>
      <c r="G531" s="80"/>
      <c r="H531" s="80"/>
      <c r="I531" s="80"/>
      <c r="J531" s="80"/>
      <c r="K531" s="87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24"/>
      <c r="W531" s="24"/>
      <c r="X531" s="80"/>
      <c r="Y531" s="80"/>
      <c r="Z531" s="80"/>
      <c r="AA531" s="80"/>
      <c r="AB531" s="91"/>
      <c r="AC531" s="80"/>
      <c r="AD531" s="24"/>
      <c r="AE531" s="24"/>
      <c r="AF531" s="24"/>
      <c r="AG531" s="24"/>
      <c r="AH531" s="24"/>
      <c r="AI531" s="24"/>
      <c r="AJ531" s="24"/>
      <c r="AK531" s="24"/>
      <c r="AL531" s="24"/>
      <c r="AM531" s="24"/>
      <c r="AN531" s="24"/>
      <c r="AO531" s="24"/>
      <c r="AP531" s="24"/>
      <c r="AQ531" s="24"/>
      <c r="AR531" s="24"/>
      <c r="AS531" s="18"/>
      <c r="AT531" s="18"/>
      <c r="AU531" s="18"/>
      <c r="AV531" s="18"/>
      <c r="AW531" s="18"/>
      <c r="AX531" s="18"/>
      <c r="AY531" s="18"/>
      <c r="AZ531" s="18"/>
    </row>
    <row r="532" spans="1:52" x14ac:dyDescent="0.25">
      <c r="A532" s="80"/>
      <c r="B532" s="80"/>
      <c r="C532" s="113"/>
      <c r="D532" s="80"/>
      <c r="E532" s="80"/>
      <c r="F532" s="80"/>
      <c r="G532" s="80"/>
      <c r="H532" s="80"/>
      <c r="I532" s="80"/>
      <c r="J532" s="80"/>
      <c r="K532" s="87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24"/>
      <c r="W532" s="24"/>
      <c r="X532" s="80"/>
      <c r="Y532" s="80"/>
      <c r="Z532" s="80"/>
      <c r="AA532" s="80"/>
      <c r="AB532" s="91"/>
      <c r="AC532" s="80"/>
      <c r="AD532" s="24"/>
      <c r="AE532" s="24"/>
      <c r="AF532" s="24"/>
      <c r="AG532" s="24"/>
      <c r="AH532" s="24"/>
      <c r="AI532" s="24"/>
      <c r="AJ532" s="24"/>
      <c r="AK532" s="24"/>
      <c r="AL532" s="24"/>
      <c r="AM532" s="24"/>
      <c r="AN532" s="24"/>
      <c r="AO532" s="24"/>
      <c r="AP532" s="24"/>
      <c r="AQ532" s="24"/>
      <c r="AR532" s="24"/>
      <c r="AS532" s="18"/>
      <c r="AT532" s="18"/>
      <c r="AU532" s="18"/>
      <c r="AV532" s="18"/>
      <c r="AW532" s="18"/>
      <c r="AX532" s="18"/>
      <c r="AY532" s="18"/>
      <c r="AZ532" s="18"/>
    </row>
    <row r="533" spans="1:52" x14ac:dyDescent="0.25">
      <c r="A533" s="80"/>
      <c r="B533" s="80"/>
      <c r="C533" s="113"/>
      <c r="D533" s="80"/>
      <c r="E533" s="80"/>
      <c r="F533" s="80"/>
      <c r="G533" s="80"/>
      <c r="H533" s="80"/>
      <c r="I533" s="80"/>
      <c r="J533" s="80"/>
      <c r="K533" s="87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24"/>
      <c r="W533" s="24"/>
      <c r="X533" s="80"/>
      <c r="Y533" s="80"/>
      <c r="Z533" s="80"/>
      <c r="AA533" s="80"/>
      <c r="AB533" s="91"/>
      <c r="AC533" s="80"/>
      <c r="AD533" s="24"/>
      <c r="AE533" s="24"/>
      <c r="AF533" s="24"/>
      <c r="AG533" s="24"/>
      <c r="AH533" s="24"/>
      <c r="AI533" s="24"/>
      <c r="AJ533" s="24"/>
      <c r="AK533" s="24"/>
      <c r="AL533" s="24"/>
      <c r="AM533" s="24"/>
      <c r="AN533" s="24"/>
      <c r="AO533" s="24"/>
      <c r="AP533" s="24"/>
      <c r="AQ533" s="24"/>
      <c r="AR533" s="24"/>
      <c r="AS533" s="18"/>
      <c r="AT533" s="18"/>
      <c r="AU533" s="18"/>
      <c r="AV533" s="18"/>
      <c r="AW533" s="18"/>
      <c r="AX533" s="18"/>
      <c r="AY533" s="18"/>
      <c r="AZ533" s="18"/>
    </row>
    <row r="534" spans="1:52" x14ac:dyDescent="0.25">
      <c r="A534" s="80"/>
      <c r="B534" s="80"/>
      <c r="C534" s="113"/>
      <c r="D534" s="80"/>
      <c r="E534" s="80"/>
      <c r="F534" s="80"/>
      <c r="G534" s="80"/>
      <c r="H534" s="80"/>
      <c r="I534" s="80"/>
      <c r="J534" s="80"/>
      <c r="K534" s="87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24"/>
      <c r="W534" s="24"/>
      <c r="X534" s="80"/>
      <c r="Y534" s="80"/>
      <c r="Z534" s="80"/>
      <c r="AA534" s="80"/>
      <c r="AB534" s="91"/>
      <c r="AC534" s="80"/>
      <c r="AD534" s="24"/>
      <c r="AE534" s="24"/>
      <c r="AF534" s="24"/>
      <c r="AG534" s="24"/>
      <c r="AH534" s="24"/>
      <c r="AI534" s="24"/>
      <c r="AJ534" s="24"/>
      <c r="AK534" s="24"/>
      <c r="AL534" s="24"/>
      <c r="AM534" s="24"/>
      <c r="AN534" s="24"/>
      <c r="AO534" s="24"/>
      <c r="AP534" s="24"/>
      <c r="AQ534" s="24"/>
      <c r="AR534" s="24"/>
      <c r="AS534" s="18"/>
      <c r="AT534" s="18"/>
      <c r="AU534" s="18"/>
      <c r="AV534" s="18"/>
      <c r="AW534" s="18"/>
      <c r="AX534" s="18"/>
      <c r="AY534" s="18"/>
      <c r="AZ534" s="18"/>
    </row>
    <row r="535" spans="1:52" x14ac:dyDescent="0.25">
      <c r="A535" s="80"/>
      <c r="B535" s="80"/>
      <c r="C535" s="113"/>
      <c r="D535" s="80"/>
      <c r="E535" s="80"/>
      <c r="F535" s="80"/>
      <c r="G535" s="80"/>
      <c r="H535" s="80"/>
      <c r="I535" s="80"/>
      <c r="J535" s="80"/>
      <c r="K535" s="87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24"/>
      <c r="W535" s="24"/>
      <c r="X535" s="80"/>
      <c r="Y535" s="80"/>
      <c r="Z535" s="80"/>
      <c r="AA535" s="80"/>
      <c r="AB535" s="91"/>
      <c r="AC535" s="80"/>
      <c r="AD535" s="24"/>
      <c r="AE535" s="24"/>
      <c r="AF535" s="24"/>
      <c r="AG535" s="24"/>
      <c r="AH535" s="24"/>
      <c r="AI535" s="24"/>
      <c r="AJ535" s="24"/>
      <c r="AK535" s="24"/>
      <c r="AL535" s="24"/>
      <c r="AM535" s="24"/>
      <c r="AN535" s="24"/>
      <c r="AO535" s="24"/>
      <c r="AP535" s="24"/>
      <c r="AQ535" s="24"/>
      <c r="AR535" s="24"/>
      <c r="AS535" s="18"/>
      <c r="AT535" s="18"/>
      <c r="AU535" s="18"/>
      <c r="AV535" s="18"/>
      <c r="AW535" s="18"/>
      <c r="AX535" s="18"/>
      <c r="AY535" s="18"/>
      <c r="AZ535" s="18"/>
    </row>
    <row r="536" spans="1:52" x14ac:dyDescent="0.25">
      <c r="A536" s="80"/>
      <c r="B536" s="80"/>
      <c r="C536" s="113"/>
      <c r="D536" s="80"/>
      <c r="E536" s="80"/>
      <c r="F536" s="80"/>
      <c r="G536" s="80"/>
      <c r="H536" s="80"/>
      <c r="I536" s="80"/>
      <c r="J536" s="80"/>
      <c r="K536" s="87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24"/>
      <c r="W536" s="24"/>
      <c r="X536" s="80"/>
      <c r="Y536" s="80"/>
      <c r="Z536" s="80"/>
      <c r="AA536" s="80"/>
      <c r="AB536" s="91"/>
      <c r="AC536" s="80"/>
      <c r="AD536" s="24"/>
      <c r="AE536" s="24"/>
      <c r="AF536" s="24"/>
      <c r="AG536" s="24"/>
      <c r="AH536" s="24"/>
      <c r="AI536" s="24"/>
      <c r="AJ536" s="24"/>
      <c r="AK536" s="24"/>
      <c r="AL536" s="24"/>
      <c r="AM536" s="24"/>
      <c r="AN536" s="24"/>
      <c r="AO536" s="24"/>
      <c r="AP536" s="24"/>
      <c r="AQ536" s="24"/>
      <c r="AR536" s="24"/>
      <c r="AS536" s="18"/>
      <c r="AT536" s="18"/>
      <c r="AU536" s="18"/>
      <c r="AV536" s="18"/>
      <c r="AW536" s="18"/>
      <c r="AX536" s="18"/>
      <c r="AY536" s="18"/>
      <c r="AZ536" s="18"/>
    </row>
    <row r="537" spans="1:52" x14ac:dyDescent="0.25">
      <c r="A537" s="80"/>
      <c r="B537" s="80"/>
      <c r="C537" s="113"/>
      <c r="D537" s="80"/>
      <c r="E537" s="80"/>
      <c r="F537" s="80"/>
      <c r="G537" s="80"/>
      <c r="H537" s="80"/>
      <c r="I537" s="80"/>
      <c r="J537" s="80"/>
      <c r="K537" s="87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24"/>
      <c r="W537" s="24"/>
      <c r="X537" s="80"/>
      <c r="Y537" s="80"/>
      <c r="Z537" s="80"/>
      <c r="AA537" s="80"/>
      <c r="AB537" s="91"/>
      <c r="AC537" s="80"/>
      <c r="AD537" s="24"/>
      <c r="AE537" s="24"/>
      <c r="AF537" s="24"/>
      <c r="AG537" s="24"/>
      <c r="AH537" s="24"/>
      <c r="AI537" s="24"/>
      <c r="AJ537" s="24"/>
      <c r="AK537" s="24"/>
      <c r="AL537" s="24"/>
      <c r="AM537" s="24"/>
      <c r="AN537" s="24"/>
      <c r="AO537" s="24"/>
      <c r="AP537" s="24"/>
      <c r="AQ537" s="24"/>
      <c r="AR537" s="24"/>
      <c r="AS537" s="18"/>
      <c r="AT537" s="18"/>
      <c r="AU537" s="18"/>
      <c r="AV537" s="18"/>
      <c r="AW537" s="18"/>
      <c r="AX537" s="18"/>
      <c r="AY537" s="18"/>
      <c r="AZ537" s="18"/>
    </row>
    <row r="538" spans="1:52" x14ac:dyDescent="0.25">
      <c r="A538" s="80"/>
      <c r="B538" s="80"/>
      <c r="C538" s="113"/>
      <c r="D538" s="80"/>
      <c r="E538" s="80"/>
      <c r="F538" s="80"/>
      <c r="G538" s="80"/>
      <c r="H538" s="80"/>
      <c r="I538" s="80"/>
      <c r="J538" s="80"/>
      <c r="K538" s="87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24"/>
      <c r="W538" s="24"/>
      <c r="X538" s="80"/>
      <c r="Y538" s="80"/>
      <c r="Z538" s="80"/>
      <c r="AA538" s="80"/>
      <c r="AB538" s="91"/>
      <c r="AC538" s="80"/>
      <c r="AD538" s="24"/>
      <c r="AE538" s="24"/>
      <c r="AF538" s="24"/>
      <c r="AG538" s="24"/>
      <c r="AH538" s="24"/>
      <c r="AI538" s="24"/>
      <c r="AJ538" s="24"/>
      <c r="AK538" s="24"/>
      <c r="AL538" s="24"/>
      <c r="AM538" s="24"/>
      <c r="AN538" s="24"/>
      <c r="AO538" s="24"/>
      <c r="AP538" s="24"/>
      <c r="AQ538" s="24"/>
      <c r="AR538" s="24"/>
      <c r="AS538" s="18"/>
      <c r="AT538" s="18"/>
      <c r="AU538" s="18"/>
      <c r="AV538" s="18"/>
      <c r="AW538" s="18"/>
      <c r="AX538" s="18"/>
      <c r="AY538" s="18"/>
      <c r="AZ538" s="18"/>
    </row>
    <row r="539" spans="1:52" x14ac:dyDescent="0.25">
      <c r="A539" s="80"/>
      <c r="B539" s="80"/>
      <c r="C539" s="113"/>
      <c r="D539" s="80"/>
      <c r="E539" s="80"/>
      <c r="F539" s="80"/>
      <c r="G539" s="80"/>
      <c r="H539" s="80"/>
      <c r="I539" s="80"/>
      <c r="J539" s="80"/>
      <c r="K539" s="87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24"/>
      <c r="W539" s="24"/>
      <c r="X539" s="80"/>
      <c r="Y539" s="80"/>
      <c r="Z539" s="80"/>
      <c r="AA539" s="80"/>
      <c r="AB539" s="91"/>
      <c r="AC539" s="80"/>
      <c r="AD539" s="24"/>
      <c r="AE539" s="24"/>
      <c r="AF539" s="24"/>
      <c r="AG539" s="24"/>
      <c r="AH539" s="24"/>
      <c r="AI539" s="24"/>
      <c r="AJ539" s="24"/>
      <c r="AK539" s="24"/>
      <c r="AL539" s="24"/>
      <c r="AM539" s="24"/>
      <c r="AN539" s="24"/>
      <c r="AO539" s="24"/>
      <c r="AP539" s="24"/>
      <c r="AQ539" s="24"/>
      <c r="AR539" s="24"/>
      <c r="AS539" s="18"/>
      <c r="AT539" s="18"/>
      <c r="AU539" s="18"/>
      <c r="AV539" s="18"/>
      <c r="AW539" s="18"/>
      <c r="AX539" s="18"/>
      <c r="AY539" s="18"/>
      <c r="AZ539" s="18"/>
    </row>
    <row r="540" spans="1:52" x14ac:dyDescent="0.25">
      <c r="A540" s="80"/>
      <c r="B540" s="80"/>
      <c r="C540" s="113"/>
      <c r="D540" s="80"/>
      <c r="E540" s="80"/>
      <c r="F540" s="80"/>
      <c r="G540" s="80"/>
      <c r="H540" s="80"/>
      <c r="I540" s="80"/>
      <c r="J540" s="80"/>
      <c r="K540" s="87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24"/>
      <c r="W540" s="24"/>
      <c r="X540" s="80"/>
      <c r="Y540" s="80"/>
      <c r="Z540" s="80"/>
      <c r="AA540" s="80"/>
      <c r="AB540" s="91"/>
      <c r="AC540" s="80"/>
      <c r="AD540" s="24"/>
      <c r="AE540" s="24"/>
      <c r="AF540" s="24"/>
      <c r="AG540" s="24"/>
      <c r="AH540" s="24"/>
      <c r="AI540" s="24"/>
      <c r="AJ540" s="24"/>
      <c r="AK540" s="24"/>
      <c r="AL540" s="24"/>
      <c r="AM540" s="24"/>
      <c r="AN540" s="24"/>
      <c r="AO540" s="24"/>
      <c r="AP540" s="24"/>
      <c r="AQ540" s="24"/>
      <c r="AR540" s="24"/>
      <c r="AS540" s="18"/>
      <c r="AT540" s="18"/>
      <c r="AU540" s="18"/>
      <c r="AV540" s="18"/>
      <c r="AW540" s="18"/>
      <c r="AX540" s="18"/>
      <c r="AY540" s="18"/>
      <c r="AZ540" s="18"/>
    </row>
    <row r="541" spans="1:52" x14ac:dyDescent="0.25">
      <c r="A541" s="80"/>
      <c r="B541" s="80"/>
      <c r="C541" s="113"/>
      <c r="D541" s="80"/>
      <c r="E541" s="80"/>
      <c r="F541" s="80"/>
      <c r="G541" s="80"/>
      <c r="H541" s="80"/>
      <c r="I541" s="80"/>
      <c r="J541" s="80"/>
      <c r="K541" s="87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24"/>
      <c r="W541" s="24"/>
      <c r="X541" s="80"/>
      <c r="Y541" s="80"/>
      <c r="Z541" s="80"/>
      <c r="AA541" s="80"/>
      <c r="AB541" s="91"/>
      <c r="AC541" s="80"/>
      <c r="AD541" s="24"/>
      <c r="AE541" s="24"/>
      <c r="AF541" s="24"/>
      <c r="AG541" s="24"/>
      <c r="AH541" s="24"/>
      <c r="AI541" s="24"/>
      <c r="AJ541" s="24"/>
      <c r="AK541" s="24"/>
      <c r="AL541" s="24"/>
      <c r="AM541" s="24"/>
      <c r="AN541" s="24"/>
      <c r="AO541" s="24"/>
      <c r="AP541" s="24"/>
      <c r="AQ541" s="24"/>
      <c r="AR541" s="24"/>
      <c r="AS541" s="18"/>
      <c r="AT541" s="18"/>
      <c r="AU541" s="18"/>
      <c r="AV541" s="18"/>
      <c r="AW541" s="18"/>
      <c r="AX541" s="18"/>
      <c r="AY541" s="18"/>
      <c r="AZ541" s="18"/>
    </row>
    <row r="542" spans="1:52" x14ac:dyDescent="0.25">
      <c r="A542" s="80"/>
      <c r="B542" s="80"/>
      <c r="C542" s="113"/>
      <c r="D542" s="80"/>
      <c r="E542" s="80"/>
      <c r="F542" s="80"/>
      <c r="G542" s="80"/>
      <c r="H542" s="80"/>
      <c r="I542" s="80"/>
      <c r="J542" s="80"/>
      <c r="K542" s="87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24"/>
      <c r="W542" s="24"/>
      <c r="X542" s="80"/>
      <c r="Y542" s="80"/>
      <c r="Z542" s="80"/>
      <c r="AA542" s="80"/>
      <c r="AB542" s="91"/>
      <c r="AC542" s="80"/>
      <c r="AD542" s="24"/>
      <c r="AE542" s="24"/>
      <c r="AF542" s="24"/>
      <c r="AG542" s="24"/>
      <c r="AH542" s="24"/>
      <c r="AI542" s="24"/>
      <c r="AJ542" s="24"/>
      <c r="AK542" s="24"/>
      <c r="AL542" s="24"/>
      <c r="AM542" s="24"/>
      <c r="AN542" s="24"/>
      <c r="AO542" s="24"/>
      <c r="AP542" s="24"/>
      <c r="AQ542" s="24"/>
      <c r="AR542" s="24"/>
      <c r="AS542" s="18"/>
      <c r="AT542" s="18"/>
      <c r="AU542" s="18"/>
      <c r="AV542" s="18"/>
      <c r="AW542" s="18"/>
      <c r="AX542" s="18"/>
      <c r="AY542" s="18"/>
      <c r="AZ542" s="18"/>
    </row>
    <row r="543" spans="1:52" x14ac:dyDescent="0.25">
      <c r="A543" s="80"/>
      <c r="B543" s="80"/>
      <c r="C543" s="113"/>
      <c r="D543" s="80"/>
      <c r="E543" s="80"/>
      <c r="F543" s="80"/>
      <c r="G543" s="80"/>
      <c r="H543" s="80"/>
      <c r="I543" s="80"/>
      <c r="J543" s="80"/>
      <c r="K543" s="87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24"/>
      <c r="W543" s="24"/>
      <c r="X543" s="80"/>
      <c r="Y543" s="80"/>
      <c r="Z543" s="80"/>
      <c r="AA543" s="80"/>
      <c r="AB543" s="91"/>
      <c r="AC543" s="80"/>
      <c r="AD543" s="24"/>
      <c r="AE543" s="24"/>
      <c r="AF543" s="24"/>
      <c r="AG543" s="24"/>
      <c r="AH543" s="24"/>
      <c r="AI543" s="24"/>
      <c r="AJ543" s="24"/>
      <c r="AK543" s="24"/>
      <c r="AL543" s="24"/>
      <c r="AM543" s="24"/>
      <c r="AN543" s="24"/>
      <c r="AO543" s="24"/>
      <c r="AP543" s="24"/>
      <c r="AQ543" s="24"/>
      <c r="AR543" s="24"/>
      <c r="AS543" s="18"/>
      <c r="AT543" s="18"/>
      <c r="AU543" s="18"/>
      <c r="AV543" s="18"/>
      <c r="AW543" s="18"/>
      <c r="AX543" s="18"/>
      <c r="AY543" s="18"/>
      <c r="AZ543" s="18"/>
    </row>
    <row r="544" spans="1:52" x14ac:dyDescent="0.25">
      <c r="A544" s="80"/>
      <c r="B544" s="80"/>
      <c r="C544" s="113"/>
      <c r="D544" s="80"/>
      <c r="E544" s="80"/>
      <c r="F544" s="80"/>
      <c r="G544" s="80"/>
      <c r="H544" s="80"/>
      <c r="I544" s="80"/>
      <c r="J544" s="80"/>
      <c r="K544" s="87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24"/>
      <c r="W544" s="24"/>
      <c r="X544" s="80"/>
      <c r="Y544" s="80"/>
      <c r="Z544" s="80"/>
      <c r="AA544" s="80"/>
      <c r="AB544" s="91"/>
      <c r="AC544" s="80"/>
      <c r="AD544" s="24"/>
      <c r="AE544" s="24"/>
      <c r="AF544" s="24"/>
      <c r="AG544" s="24"/>
      <c r="AH544" s="24"/>
      <c r="AI544" s="24"/>
      <c r="AJ544" s="24"/>
      <c r="AK544" s="24"/>
      <c r="AL544" s="24"/>
      <c r="AM544" s="24"/>
      <c r="AN544" s="24"/>
      <c r="AO544" s="24"/>
      <c r="AP544" s="24"/>
      <c r="AQ544" s="24"/>
      <c r="AR544" s="24"/>
      <c r="AS544" s="18"/>
      <c r="AT544" s="18"/>
      <c r="AU544" s="18"/>
      <c r="AV544" s="18"/>
      <c r="AW544" s="18"/>
      <c r="AX544" s="18"/>
      <c r="AY544" s="18"/>
      <c r="AZ544" s="18"/>
    </row>
    <row r="545" spans="1:52" x14ac:dyDescent="0.25">
      <c r="A545" s="80"/>
      <c r="B545" s="80"/>
      <c r="C545" s="113"/>
      <c r="D545" s="80"/>
      <c r="E545" s="80"/>
      <c r="F545" s="80"/>
      <c r="G545" s="80"/>
      <c r="H545" s="80"/>
      <c r="I545" s="80"/>
      <c r="J545" s="80"/>
      <c r="K545" s="87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24"/>
      <c r="W545" s="24"/>
      <c r="X545" s="80"/>
      <c r="Y545" s="80"/>
      <c r="Z545" s="80"/>
      <c r="AA545" s="80"/>
      <c r="AB545" s="91"/>
      <c r="AC545" s="80"/>
      <c r="AD545" s="24"/>
      <c r="AE545" s="24"/>
      <c r="AF545" s="24"/>
      <c r="AG545" s="24"/>
      <c r="AH545" s="24"/>
      <c r="AI545" s="24"/>
      <c r="AJ545" s="24"/>
      <c r="AK545" s="24"/>
      <c r="AL545" s="24"/>
      <c r="AM545" s="24"/>
      <c r="AN545" s="24"/>
      <c r="AO545" s="24"/>
      <c r="AP545" s="24"/>
      <c r="AQ545" s="24"/>
      <c r="AR545" s="24"/>
      <c r="AS545" s="18"/>
      <c r="AT545" s="18"/>
      <c r="AU545" s="18"/>
      <c r="AV545" s="18"/>
      <c r="AW545" s="18"/>
      <c r="AX545" s="18"/>
      <c r="AY545" s="18"/>
      <c r="AZ545" s="18"/>
    </row>
    <row r="546" spans="1:52" x14ac:dyDescent="0.25">
      <c r="A546" s="80"/>
      <c r="B546" s="80"/>
      <c r="C546" s="113"/>
      <c r="D546" s="80"/>
      <c r="E546" s="80"/>
      <c r="F546" s="80"/>
      <c r="G546" s="80"/>
      <c r="H546" s="80"/>
      <c r="I546" s="80"/>
      <c r="J546" s="80"/>
      <c r="K546" s="87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24"/>
      <c r="W546" s="24"/>
      <c r="X546" s="80"/>
      <c r="Y546" s="80"/>
      <c r="Z546" s="80"/>
      <c r="AA546" s="80"/>
      <c r="AB546" s="91"/>
      <c r="AC546" s="80"/>
      <c r="AD546" s="24"/>
      <c r="AE546" s="24"/>
      <c r="AF546" s="24"/>
      <c r="AG546" s="24"/>
      <c r="AH546" s="24"/>
      <c r="AI546" s="24"/>
      <c r="AJ546" s="24"/>
      <c r="AK546" s="24"/>
      <c r="AL546" s="24"/>
      <c r="AM546" s="24"/>
      <c r="AN546" s="24"/>
      <c r="AO546" s="24"/>
      <c r="AP546" s="24"/>
      <c r="AQ546" s="24"/>
      <c r="AR546" s="24"/>
      <c r="AS546" s="18"/>
      <c r="AT546" s="18"/>
      <c r="AU546" s="18"/>
      <c r="AV546" s="18"/>
      <c r="AW546" s="18"/>
      <c r="AX546" s="18"/>
      <c r="AY546" s="18"/>
      <c r="AZ546" s="18"/>
    </row>
    <row r="547" spans="1:52" x14ac:dyDescent="0.25">
      <c r="A547" s="80"/>
      <c r="B547" s="80"/>
      <c r="C547" s="113"/>
      <c r="D547" s="80"/>
      <c r="E547" s="80"/>
      <c r="F547" s="80"/>
      <c r="G547" s="80"/>
      <c r="H547" s="80"/>
      <c r="I547" s="80"/>
      <c r="J547" s="80"/>
      <c r="K547" s="87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24"/>
      <c r="W547" s="24"/>
      <c r="X547" s="80"/>
      <c r="Y547" s="80"/>
      <c r="Z547" s="80"/>
      <c r="AA547" s="80"/>
      <c r="AB547" s="91"/>
      <c r="AC547" s="80"/>
      <c r="AD547" s="24"/>
      <c r="AE547" s="24"/>
      <c r="AF547" s="24"/>
      <c r="AG547" s="24"/>
      <c r="AH547" s="24"/>
      <c r="AI547" s="24"/>
      <c r="AJ547" s="24"/>
      <c r="AK547" s="24"/>
      <c r="AL547" s="24"/>
      <c r="AM547" s="24"/>
      <c r="AN547" s="24"/>
      <c r="AO547" s="24"/>
      <c r="AP547" s="24"/>
      <c r="AQ547" s="24"/>
      <c r="AR547" s="24"/>
      <c r="AS547" s="18"/>
      <c r="AT547" s="18"/>
      <c r="AU547" s="18"/>
      <c r="AV547" s="18"/>
      <c r="AW547" s="18"/>
      <c r="AX547" s="18"/>
      <c r="AY547" s="18"/>
      <c r="AZ547" s="18"/>
    </row>
    <row r="548" spans="1:52" x14ac:dyDescent="0.25">
      <c r="A548" s="80"/>
      <c r="B548" s="80"/>
      <c r="C548" s="113"/>
      <c r="D548" s="80"/>
      <c r="E548" s="80"/>
      <c r="F548" s="80"/>
      <c r="G548" s="80"/>
      <c r="H548" s="80"/>
      <c r="I548" s="80"/>
      <c r="J548" s="80"/>
      <c r="K548" s="87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24"/>
      <c r="W548" s="24"/>
      <c r="X548" s="80"/>
      <c r="Y548" s="80"/>
      <c r="Z548" s="80"/>
      <c r="AA548" s="80"/>
      <c r="AB548" s="91"/>
      <c r="AC548" s="80"/>
      <c r="AD548" s="24"/>
      <c r="AE548" s="24"/>
      <c r="AF548" s="24"/>
      <c r="AG548" s="24"/>
      <c r="AH548" s="24"/>
      <c r="AI548" s="24"/>
      <c r="AJ548" s="24"/>
      <c r="AK548" s="24"/>
      <c r="AL548" s="24"/>
      <c r="AM548" s="24"/>
      <c r="AN548" s="24"/>
      <c r="AO548" s="24"/>
      <c r="AP548" s="24"/>
      <c r="AQ548" s="24"/>
      <c r="AR548" s="24"/>
      <c r="AS548" s="18"/>
      <c r="AT548" s="18"/>
      <c r="AU548" s="18"/>
      <c r="AV548" s="18"/>
      <c r="AW548" s="18"/>
      <c r="AX548" s="18"/>
      <c r="AY548" s="18"/>
      <c r="AZ548" s="18"/>
    </row>
    <row r="549" spans="1:52" x14ac:dyDescent="0.25">
      <c r="A549" s="80"/>
      <c r="B549" s="80"/>
      <c r="C549" s="113"/>
      <c r="D549" s="80"/>
      <c r="E549" s="80"/>
      <c r="F549" s="80"/>
      <c r="G549" s="80"/>
      <c r="H549" s="80"/>
      <c r="I549" s="80"/>
      <c r="J549" s="80"/>
      <c r="K549" s="87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24"/>
      <c r="W549" s="24"/>
      <c r="X549" s="80"/>
      <c r="Y549" s="80"/>
      <c r="Z549" s="80"/>
      <c r="AA549" s="80"/>
      <c r="AB549" s="91"/>
      <c r="AC549" s="80"/>
      <c r="AD549" s="24"/>
      <c r="AE549" s="24"/>
      <c r="AF549" s="24"/>
      <c r="AG549" s="24"/>
      <c r="AH549" s="24"/>
      <c r="AI549" s="24"/>
      <c r="AJ549" s="24"/>
      <c r="AK549" s="24"/>
      <c r="AL549" s="24"/>
      <c r="AM549" s="24"/>
      <c r="AN549" s="24"/>
      <c r="AO549" s="24"/>
      <c r="AP549" s="24"/>
      <c r="AQ549" s="24"/>
      <c r="AR549" s="24"/>
      <c r="AS549" s="18"/>
      <c r="AT549" s="18"/>
      <c r="AU549" s="18"/>
      <c r="AV549" s="18"/>
      <c r="AW549" s="18"/>
      <c r="AX549" s="18"/>
      <c r="AY549" s="18"/>
      <c r="AZ549" s="18"/>
    </row>
    <row r="550" spans="1:52" x14ac:dyDescent="0.25">
      <c r="A550" s="80"/>
      <c r="B550" s="80"/>
      <c r="C550" s="113"/>
      <c r="D550" s="80"/>
      <c r="E550" s="80"/>
      <c r="F550" s="80"/>
      <c r="G550" s="80"/>
      <c r="H550" s="80"/>
      <c r="I550" s="80"/>
      <c r="J550" s="80"/>
      <c r="K550" s="87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24"/>
      <c r="W550" s="24"/>
      <c r="X550" s="80"/>
      <c r="Y550" s="80"/>
      <c r="Z550" s="80"/>
      <c r="AA550" s="80"/>
      <c r="AB550" s="91"/>
      <c r="AC550" s="80"/>
      <c r="AD550" s="24"/>
      <c r="AE550" s="24"/>
      <c r="AF550" s="24"/>
      <c r="AG550" s="24"/>
      <c r="AH550" s="24"/>
      <c r="AI550" s="24"/>
      <c r="AJ550" s="24"/>
      <c r="AK550" s="24"/>
      <c r="AL550" s="24"/>
      <c r="AM550" s="24"/>
      <c r="AN550" s="24"/>
      <c r="AO550" s="24"/>
      <c r="AP550" s="24"/>
      <c r="AQ550" s="24"/>
      <c r="AR550" s="24"/>
      <c r="AS550" s="18"/>
      <c r="AT550" s="18"/>
      <c r="AU550" s="18"/>
      <c r="AV550" s="18"/>
      <c r="AW550" s="18"/>
      <c r="AX550" s="18"/>
      <c r="AY550" s="18"/>
      <c r="AZ550" s="18"/>
    </row>
    <row r="551" spans="1:52" x14ac:dyDescent="0.25">
      <c r="A551" s="80"/>
      <c r="B551" s="80"/>
      <c r="C551" s="113"/>
      <c r="D551" s="80"/>
      <c r="E551" s="80"/>
      <c r="F551" s="80"/>
      <c r="G551" s="80"/>
      <c r="H551" s="80"/>
      <c r="I551" s="80"/>
      <c r="J551" s="80"/>
      <c r="K551" s="87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24"/>
      <c r="W551" s="24"/>
      <c r="X551" s="80"/>
      <c r="Y551" s="80"/>
      <c r="Z551" s="80"/>
      <c r="AA551" s="80"/>
      <c r="AB551" s="91"/>
      <c r="AC551" s="80"/>
      <c r="AD551" s="24"/>
      <c r="AE551" s="24"/>
      <c r="AF551" s="24"/>
      <c r="AG551" s="24"/>
      <c r="AH551" s="24"/>
      <c r="AI551" s="24"/>
      <c r="AJ551" s="24"/>
      <c r="AK551" s="24"/>
      <c r="AL551" s="24"/>
      <c r="AM551" s="24"/>
      <c r="AN551" s="24"/>
      <c r="AO551" s="24"/>
      <c r="AP551" s="24"/>
      <c r="AQ551" s="24"/>
      <c r="AR551" s="24"/>
      <c r="AS551" s="18"/>
      <c r="AT551" s="18"/>
      <c r="AU551" s="18"/>
      <c r="AV551" s="18"/>
      <c r="AW551" s="18"/>
      <c r="AX551" s="18"/>
      <c r="AY551" s="18"/>
      <c r="AZ551" s="18"/>
    </row>
    <row r="552" spans="1:52" x14ac:dyDescent="0.25">
      <c r="A552" s="80"/>
      <c r="B552" s="80"/>
      <c r="C552" s="113"/>
      <c r="D552" s="80"/>
      <c r="E552" s="80"/>
      <c r="F552" s="80"/>
      <c r="G552" s="80"/>
      <c r="H552" s="80"/>
      <c r="I552" s="80"/>
      <c r="J552" s="80"/>
      <c r="K552" s="87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24"/>
      <c r="W552" s="24"/>
      <c r="X552" s="80"/>
      <c r="Y552" s="80"/>
      <c r="Z552" s="80"/>
      <c r="AA552" s="80"/>
      <c r="AB552" s="91"/>
      <c r="AC552" s="80"/>
      <c r="AD552" s="24"/>
      <c r="AE552" s="24"/>
      <c r="AF552" s="24"/>
      <c r="AG552" s="24"/>
      <c r="AH552" s="24"/>
      <c r="AI552" s="24"/>
      <c r="AJ552" s="24"/>
      <c r="AK552" s="24"/>
      <c r="AL552" s="24"/>
      <c r="AM552" s="24"/>
      <c r="AN552" s="24"/>
      <c r="AO552" s="24"/>
      <c r="AP552" s="24"/>
      <c r="AQ552" s="24"/>
      <c r="AR552" s="24"/>
      <c r="AS552" s="18"/>
      <c r="AT552" s="18"/>
      <c r="AU552" s="18"/>
      <c r="AV552" s="18"/>
      <c r="AW552" s="18"/>
      <c r="AX552" s="18"/>
      <c r="AY552" s="18"/>
      <c r="AZ552" s="18"/>
    </row>
    <row r="553" spans="1:52" x14ac:dyDescent="0.25">
      <c r="A553" s="80"/>
      <c r="B553" s="80"/>
      <c r="C553" s="113"/>
      <c r="D553" s="80"/>
      <c r="E553" s="80"/>
      <c r="F553" s="80"/>
      <c r="G553" s="80"/>
      <c r="H553" s="80"/>
      <c r="I553" s="80"/>
      <c r="J553" s="80"/>
      <c r="K553" s="87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24"/>
      <c r="W553" s="24"/>
      <c r="X553" s="80"/>
      <c r="Y553" s="80"/>
      <c r="Z553" s="80"/>
      <c r="AA553" s="80"/>
      <c r="AB553" s="91"/>
      <c r="AC553" s="80"/>
      <c r="AD553" s="24"/>
      <c r="AE553" s="24"/>
      <c r="AF553" s="24"/>
      <c r="AG553" s="24"/>
      <c r="AH553" s="24"/>
      <c r="AI553" s="24"/>
      <c r="AJ553" s="24"/>
      <c r="AK553" s="24"/>
      <c r="AL553" s="24"/>
      <c r="AM553" s="24"/>
      <c r="AN553" s="24"/>
      <c r="AO553" s="24"/>
      <c r="AP553" s="24"/>
      <c r="AQ553" s="24"/>
      <c r="AR553" s="24"/>
      <c r="AS553" s="18"/>
      <c r="AT553" s="18"/>
      <c r="AU553" s="18"/>
      <c r="AV553" s="18"/>
      <c r="AW553" s="18"/>
      <c r="AX553" s="18"/>
      <c r="AY553" s="18"/>
      <c r="AZ553" s="18"/>
    </row>
    <row r="554" spans="1:52" x14ac:dyDescent="0.25">
      <c r="A554" s="80"/>
      <c r="B554" s="80"/>
      <c r="C554" s="113"/>
      <c r="D554" s="80"/>
      <c r="E554" s="80"/>
      <c r="F554" s="80"/>
      <c r="G554" s="80"/>
      <c r="H554" s="80"/>
      <c r="I554" s="80"/>
      <c r="J554" s="80"/>
      <c r="K554" s="87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24"/>
      <c r="W554" s="24"/>
      <c r="X554" s="80"/>
      <c r="Y554" s="80"/>
      <c r="Z554" s="80"/>
      <c r="AA554" s="80"/>
      <c r="AB554" s="91"/>
      <c r="AC554" s="80"/>
      <c r="AD554" s="24"/>
      <c r="AE554" s="24"/>
      <c r="AF554" s="24"/>
      <c r="AG554" s="24"/>
      <c r="AH554" s="24"/>
      <c r="AI554" s="24"/>
      <c r="AJ554" s="24"/>
      <c r="AK554" s="24"/>
      <c r="AL554" s="24"/>
      <c r="AM554" s="24"/>
      <c r="AN554" s="24"/>
      <c r="AO554" s="24"/>
      <c r="AP554" s="24"/>
      <c r="AQ554" s="24"/>
      <c r="AR554" s="24"/>
      <c r="AS554" s="18"/>
      <c r="AT554" s="18"/>
      <c r="AU554" s="18"/>
      <c r="AV554" s="18"/>
      <c r="AW554" s="18"/>
      <c r="AX554" s="18"/>
      <c r="AY554" s="18"/>
      <c r="AZ554" s="18"/>
    </row>
    <row r="555" spans="1:52" x14ac:dyDescent="0.25">
      <c r="A555" s="80"/>
      <c r="B555" s="80"/>
      <c r="C555" s="113"/>
      <c r="D555" s="80"/>
      <c r="E555" s="80"/>
      <c r="F555" s="80"/>
      <c r="G555" s="80"/>
      <c r="H555" s="80"/>
      <c r="I555" s="80"/>
      <c r="J555" s="80"/>
      <c r="K555" s="87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24"/>
      <c r="W555" s="24"/>
      <c r="X555" s="80"/>
      <c r="Y555" s="80"/>
      <c r="Z555" s="80"/>
      <c r="AA555" s="80"/>
      <c r="AB555" s="91"/>
      <c r="AC555" s="80"/>
      <c r="AD555" s="24"/>
      <c r="AE555" s="24"/>
      <c r="AF555" s="24"/>
      <c r="AG555" s="24"/>
      <c r="AH555" s="24"/>
      <c r="AI555" s="24"/>
      <c r="AJ555" s="24"/>
      <c r="AK555" s="24"/>
      <c r="AL555" s="24"/>
      <c r="AM555" s="24"/>
      <c r="AN555" s="24"/>
      <c r="AO555" s="24"/>
      <c r="AP555" s="24"/>
      <c r="AQ555" s="24"/>
      <c r="AR555" s="24"/>
      <c r="AS555" s="18"/>
      <c r="AT555" s="18"/>
      <c r="AU555" s="18"/>
      <c r="AV555" s="18"/>
      <c r="AW555" s="18"/>
      <c r="AX555" s="18"/>
      <c r="AY555" s="18"/>
      <c r="AZ555" s="18"/>
    </row>
    <row r="556" spans="1:52" x14ac:dyDescent="0.25">
      <c r="A556" s="80"/>
      <c r="B556" s="80"/>
      <c r="C556" s="113"/>
      <c r="D556" s="80"/>
      <c r="E556" s="80"/>
      <c r="F556" s="80"/>
      <c r="G556" s="80"/>
      <c r="H556" s="80"/>
      <c r="I556" s="80"/>
      <c r="J556" s="80"/>
      <c r="K556" s="87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24"/>
      <c r="W556" s="24"/>
      <c r="X556" s="80"/>
      <c r="Y556" s="80"/>
      <c r="Z556" s="80"/>
      <c r="AA556" s="80"/>
      <c r="AB556" s="91"/>
      <c r="AC556" s="80"/>
      <c r="AD556" s="24"/>
      <c r="AE556" s="24"/>
      <c r="AF556" s="24"/>
      <c r="AG556" s="24"/>
      <c r="AH556" s="24"/>
      <c r="AI556" s="24"/>
      <c r="AJ556" s="24"/>
      <c r="AK556" s="24"/>
      <c r="AL556" s="24"/>
      <c r="AM556" s="24"/>
      <c r="AN556" s="24"/>
      <c r="AO556" s="24"/>
      <c r="AP556" s="24"/>
      <c r="AQ556" s="24"/>
      <c r="AR556" s="24"/>
      <c r="AS556" s="18"/>
      <c r="AT556" s="18"/>
      <c r="AU556" s="18"/>
      <c r="AV556" s="18"/>
      <c r="AW556" s="18"/>
      <c r="AX556" s="18"/>
      <c r="AY556" s="18"/>
      <c r="AZ556" s="18"/>
    </row>
    <row r="557" spans="1:52" x14ac:dyDescent="0.25">
      <c r="A557" s="80"/>
      <c r="B557" s="80"/>
      <c r="C557" s="113"/>
      <c r="D557" s="80"/>
      <c r="E557" s="80"/>
      <c r="F557" s="80"/>
      <c r="G557" s="80"/>
      <c r="H557" s="80"/>
      <c r="I557" s="80"/>
      <c r="J557" s="80"/>
      <c r="K557" s="87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24"/>
      <c r="W557" s="24"/>
      <c r="X557" s="80"/>
      <c r="Y557" s="80"/>
      <c r="Z557" s="80"/>
      <c r="AA557" s="80"/>
      <c r="AB557" s="91"/>
      <c r="AC557" s="80"/>
      <c r="AD557" s="24"/>
      <c r="AE557" s="24"/>
      <c r="AF557" s="24"/>
      <c r="AG557" s="24"/>
      <c r="AH557" s="24"/>
      <c r="AI557" s="24"/>
      <c r="AJ557" s="24"/>
      <c r="AK557" s="24"/>
      <c r="AL557" s="24"/>
      <c r="AM557" s="24"/>
      <c r="AN557" s="24"/>
      <c r="AO557" s="24"/>
      <c r="AP557" s="24"/>
      <c r="AQ557" s="24"/>
      <c r="AR557" s="24"/>
      <c r="AS557" s="18"/>
      <c r="AT557" s="18"/>
      <c r="AU557" s="18"/>
      <c r="AV557" s="18"/>
      <c r="AW557" s="18"/>
      <c r="AX557" s="18"/>
      <c r="AY557" s="18"/>
      <c r="AZ557" s="18"/>
    </row>
    <row r="558" spans="1:52" x14ac:dyDescent="0.25">
      <c r="A558" s="80"/>
      <c r="B558" s="80"/>
      <c r="C558" s="113"/>
      <c r="D558" s="80"/>
      <c r="E558" s="80"/>
      <c r="F558" s="80"/>
      <c r="G558" s="80"/>
      <c r="H558" s="80"/>
      <c r="I558" s="80"/>
      <c r="J558" s="80"/>
      <c r="K558" s="87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24"/>
      <c r="W558" s="24"/>
      <c r="X558" s="80"/>
      <c r="Y558" s="80"/>
      <c r="Z558" s="80"/>
      <c r="AA558" s="80"/>
      <c r="AB558" s="91"/>
      <c r="AC558" s="80"/>
      <c r="AD558" s="24"/>
      <c r="AE558" s="24"/>
      <c r="AF558" s="24"/>
      <c r="AG558" s="24"/>
      <c r="AH558" s="24"/>
      <c r="AI558" s="24"/>
      <c r="AJ558" s="24"/>
      <c r="AK558" s="24"/>
      <c r="AL558" s="24"/>
      <c r="AM558" s="24"/>
      <c r="AN558" s="24"/>
      <c r="AO558" s="24"/>
      <c r="AP558" s="24"/>
      <c r="AQ558" s="24"/>
      <c r="AR558" s="24"/>
      <c r="AS558" s="18"/>
      <c r="AT558" s="18"/>
      <c r="AU558" s="18"/>
      <c r="AV558" s="18"/>
      <c r="AW558" s="18"/>
      <c r="AX558" s="18"/>
      <c r="AY558" s="18"/>
      <c r="AZ558" s="18"/>
    </row>
    <row r="559" spans="1:52" x14ac:dyDescent="0.25">
      <c r="A559" s="80"/>
      <c r="B559" s="80"/>
      <c r="C559" s="113"/>
      <c r="D559" s="80"/>
      <c r="E559" s="80"/>
      <c r="F559" s="80"/>
      <c r="G559" s="80"/>
      <c r="H559" s="80"/>
      <c r="I559" s="80"/>
      <c r="J559" s="80"/>
      <c r="K559" s="87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24"/>
      <c r="W559" s="24"/>
      <c r="X559" s="80"/>
      <c r="Y559" s="80"/>
      <c r="Z559" s="80"/>
      <c r="AA559" s="80"/>
      <c r="AB559" s="91"/>
      <c r="AC559" s="80"/>
      <c r="AD559" s="24"/>
      <c r="AE559" s="24"/>
      <c r="AF559" s="24"/>
      <c r="AG559" s="24"/>
      <c r="AH559" s="24"/>
      <c r="AI559" s="24"/>
      <c r="AJ559" s="24"/>
      <c r="AK559" s="24"/>
      <c r="AL559" s="24"/>
      <c r="AM559" s="24"/>
      <c r="AN559" s="24"/>
      <c r="AO559" s="24"/>
      <c r="AP559" s="24"/>
      <c r="AQ559" s="24"/>
      <c r="AR559" s="24"/>
      <c r="AS559" s="18"/>
      <c r="AT559" s="18"/>
      <c r="AU559" s="18"/>
      <c r="AV559" s="18"/>
      <c r="AW559" s="18"/>
      <c r="AX559" s="18"/>
      <c r="AY559" s="18"/>
      <c r="AZ559" s="18"/>
    </row>
    <row r="560" spans="1:52" x14ac:dyDescent="0.25">
      <c r="A560" s="80"/>
      <c r="B560" s="80"/>
      <c r="C560" s="113"/>
      <c r="D560" s="80"/>
      <c r="E560" s="80"/>
      <c r="F560" s="80"/>
      <c r="G560" s="80"/>
      <c r="H560" s="80"/>
      <c r="I560" s="80"/>
      <c r="J560" s="80"/>
      <c r="K560" s="87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24"/>
      <c r="W560" s="24"/>
      <c r="X560" s="80"/>
      <c r="Y560" s="80"/>
      <c r="Z560" s="80"/>
      <c r="AA560" s="80"/>
      <c r="AB560" s="91"/>
      <c r="AC560" s="80"/>
      <c r="AD560" s="24"/>
      <c r="AE560" s="24"/>
      <c r="AF560" s="24"/>
      <c r="AG560" s="24"/>
      <c r="AH560" s="24"/>
      <c r="AI560" s="24"/>
      <c r="AJ560" s="24"/>
      <c r="AK560" s="24"/>
      <c r="AL560" s="24"/>
      <c r="AM560" s="24"/>
      <c r="AN560" s="24"/>
      <c r="AO560" s="24"/>
      <c r="AP560" s="24"/>
      <c r="AQ560" s="24"/>
      <c r="AR560" s="24"/>
      <c r="AS560" s="18"/>
      <c r="AT560" s="18"/>
      <c r="AU560" s="18"/>
      <c r="AV560" s="18"/>
      <c r="AW560" s="18"/>
      <c r="AX560" s="18"/>
      <c r="AY560" s="18"/>
      <c r="AZ560" s="18"/>
    </row>
    <row r="561" spans="1:52" x14ac:dyDescent="0.25">
      <c r="A561" s="80"/>
      <c r="B561" s="80"/>
      <c r="C561" s="113"/>
      <c r="D561" s="80"/>
      <c r="E561" s="80"/>
      <c r="F561" s="80"/>
      <c r="G561" s="80"/>
      <c r="H561" s="80"/>
      <c r="I561" s="80"/>
      <c r="J561" s="80"/>
      <c r="K561" s="87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24"/>
      <c r="W561" s="24"/>
      <c r="X561" s="80"/>
      <c r="Y561" s="80"/>
      <c r="Z561" s="80"/>
      <c r="AA561" s="80"/>
      <c r="AB561" s="91"/>
      <c r="AC561" s="80"/>
      <c r="AD561" s="24"/>
      <c r="AE561" s="24"/>
      <c r="AF561" s="24"/>
      <c r="AG561" s="24"/>
      <c r="AH561" s="24"/>
      <c r="AI561" s="24"/>
      <c r="AJ561" s="24"/>
      <c r="AK561" s="24"/>
      <c r="AL561" s="24"/>
      <c r="AM561" s="24"/>
      <c r="AN561" s="24"/>
      <c r="AO561" s="24"/>
      <c r="AP561" s="24"/>
      <c r="AQ561" s="24"/>
      <c r="AR561" s="24"/>
      <c r="AS561" s="18"/>
      <c r="AT561" s="18"/>
      <c r="AU561" s="18"/>
      <c r="AV561" s="18"/>
      <c r="AW561" s="18"/>
      <c r="AX561" s="18"/>
      <c r="AY561" s="18"/>
      <c r="AZ561" s="18"/>
    </row>
    <row r="562" spans="1:52" x14ac:dyDescent="0.25">
      <c r="A562" s="80"/>
      <c r="B562" s="80"/>
      <c r="C562" s="113"/>
      <c r="D562" s="80"/>
      <c r="E562" s="80"/>
      <c r="F562" s="80"/>
      <c r="G562" s="80"/>
      <c r="H562" s="80"/>
      <c r="I562" s="80"/>
      <c r="J562" s="80"/>
      <c r="K562" s="87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24"/>
      <c r="W562" s="24"/>
      <c r="X562" s="80"/>
      <c r="Y562" s="80"/>
      <c r="Z562" s="80"/>
      <c r="AA562" s="80"/>
      <c r="AB562" s="91"/>
      <c r="AC562" s="80"/>
      <c r="AD562" s="24"/>
      <c r="AE562" s="24"/>
      <c r="AF562" s="24"/>
      <c r="AG562" s="24"/>
      <c r="AH562" s="24"/>
      <c r="AI562" s="24"/>
      <c r="AJ562" s="24"/>
      <c r="AK562" s="24"/>
      <c r="AL562" s="24"/>
      <c r="AM562" s="24"/>
      <c r="AN562" s="24"/>
      <c r="AO562" s="24"/>
      <c r="AP562" s="24"/>
      <c r="AQ562" s="24"/>
      <c r="AR562" s="24"/>
      <c r="AS562" s="18"/>
      <c r="AT562" s="18"/>
      <c r="AU562" s="18"/>
      <c r="AV562" s="18"/>
      <c r="AW562" s="18"/>
      <c r="AX562" s="18"/>
      <c r="AY562" s="18"/>
      <c r="AZ562" s="18"/>
    </row>
    <row r="563" spans="1:52" x14ac:dyDescent="0.25">
      <c r="A563" s="80"/>
      <c r="B563" s="80"/>
      <c r="C563" s="113"/>
      <c r="D563" s="80"/>
      <c r="E563" s="80"/>
      <c r="F563" s="80"/>
      <c r="G563" s="80"/>
      <c r="H563" s="80"/>
      <c r="I563" s="80"/>
      <c r="J563" s="80"/>
      <c r="K563" s="87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24"/>
      <c r="W563" s="24"/>
      <c r="X563" s="80"/>
      <c r="Y563" s="80"/>
      <c r="Z563" s="80"/>
      <c r="AA563" s="80"/>
      <c r="AB563" s="91"/>
      <c r="AC563" s="80"/>
      <c r="AD563" s="24"/>
      <c r="AE563" s="24"/>
      <c r="AF563" s="24"/>
      <c r="AG563" s="24"/>
      <c r="AH563" s="24"/>
      <c r="AI563" s="24"/>
      <c r="AJ563" s="24"/>
      <c r="AK563" s="24"/>
      <c r="AL563" s="24"/>
      <c r="AM563" s="24"/>
      <c r="AN563" s="24"/>
      <c r="AO563" s="24"/>
      <c r="AP563" s="24"/>
      <c r="AQ563" s="24"/>
      <c r="AR563" s="24"/>
      <c r="AS563" s="18"/>
      <c r="AT563" s="18"/>
      <c r="AU563" s="18"/>
      <c r="AV563" s="18"/>
      <c r="AW563" s="18"/>
      <c r="AX563" s="18"/>
      <c r="AY563" s="18"/>
      <c r="AZ563" s="18"/>
    </row>
    <row r="564" spans="1:52" x14ac:dyDescent="0.25">
      <c r="A564" s="80"/>
      <c r="B564" s="80"/>
      <c r="C564" s="113"/>
      <c r="D564" s="80"/>
      <c r="E564" s="80"/>
      <c r="F564" s="80"/>
      <c r="G564" s="80"/>
      <c r="H564" s="80"/>
      <c r="I564" s="80"/>
      <c r="J564" s="80"/>
      <c r="K564" s="87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24"/>
      <c r="W564" s="24"/>
      <c r="X564" s="80"/>
      <c r="Y564" s="80"/>
      <c r="Z564" s="80"/>
      <c r="AA564" s="80"/>
      <c r="AB564" s="91"/>
      <c r="AC564" s="80"/>
      <c r="AD564" s="24"/>
      <c r="AE564" s="24"/>
      <c r="AF564" s="24"/>
      <c r="AG564" s="24"/>
      <c r="AH564" s="24"/>
      <c r="AI564" s="24"/>
      <c r="AJ564" s="24"/>
      <c r="AK564" s="24"/>
      <c r="AL564" s="24"/>
      <c r="AM564" s="24"/>
      <c r="AN564" s="24"/>
      <c r="AO564" s="24"/>
      <c r="AP564" s="24"/>
      <c r="AQ564" s="24"/>
      <c r="AR564" s="24"/>
      <c r="AS564" s="18"/>
      <c r="AT564" s="18"/>
      <c r="AU564" s="18"/>
      <c r="AV564" s="18"/>
      <c r="AW564" s="18"/>
      <c r="AX564" s="18"/>
      <c r="AY564" s="18"/>
      <c r="AZ564" s="18"/>
    </row>
    <row r="565" spans="1:52" x14ac:dyDescent="0.25">
      <c r="A565" s="80"/>
      <c r="B565" s="80"/>
      <c r="C565" s="113"/>
      <c r="D565" s="80"/>
      <c r="E565" s="80"/>
      <c r="F565" s="80"/>
      <c r="G565" s="80"/>
      <c r="H565" s="80"/>
      <c r="I565" s="80"/>
      <c r="J565" s="80"/>
      <c r="K565" s="87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24"/>
      <c r="W565" s="24"/>
      <c r="X565" s="80"/>
      <c r="Y565" s="80"/>
      <c r="Z565" s="80"/>
      <c r="AA565" s="80"/>
      <c r="AB565" s="91"/>
      <c r="AC565" s="80"/>
      <c r="AD565" s="24"/>
      <c r="AE565" s="24"/>
      <c r="AF565" s="24"/>
      <c r="AG565" s="24"/>
      <c r="AH565" s="24"/>
      <c r="AI565" s="24"/>
      <c r="AJ565" s="24"/>
      <c r="AK565" s="24"/>
      <c r="AL565" s="24"/>
      <c r="AM565" s="24"/>
      <c r="AN565" s="24"/>
      <c r="AO565" s="24"/>
      <c r="AP565" s="24"/>
      <c r="AQ565" s="24"/>
      <c r="AR565" s="24"/>
      <c r="AS565" s="18"/>
      <c r="AT565" s="18"/>
      <c r="AU565" s="18"/>
      <c r="AV565" s="18"/>
      <c r="AW565" s="18"/>
      <c r="AX565" s="18"/>
      <c r="AY565" s="18"/>
      <c r="AZ565" s="18"/>
    </row>
    <row r="566" spans="1:52" x14ac:dyDescent="0.25">
      <c r="A566" s="80"/>
      <c r="B566" s="80"/>
      <c r="C566" s="113"/>
      <c r="D566" s="80"/>
      <c r="E566" s="80"/>
      <c r="F566" s="80"/>
      <c r="G566" s="80"/>
      <c r="H566" s="80"/>
      <c r="I566" s="80"/>
      <c r="J566" s="80"/>
      <c r="K566" s="87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24"/>
      <c r="W566" s="24"/>
      <c r="X566" s="80"/>
      <c r="Y566" s="80"/>
      <c r="Z566" s="80"/>
      <c r="AA566" s="80"/>
      <c r="AB566" s="91"/>
      <c r="AC566" s="80"/>
      <c r="AD566" s="24"/>
      <c r="AE566" s="24"/>
      <c r="AF566" s="24"/>
      <c r="AG566" s="24"/>
      <c r="AH566" s="24"/>
      <c r="AI566" s="24"/>
      <c r="AJ566" s="24"/>
      <c r="AK566" s="24"/>
      <c r="AL566" s="24"/>
      <c r="AM566" s="24"/>
      <c r="AN566" s="24"/>
      <c r="AO566" s="24"/>
      <c r="AP566" s="24"/>
      <c r="AQ566" s="24"/>
      <c r="AR566" s="24"/>
      <c r="AS566" s="18"/>
      <c r="AT566" s="18"/>
      <c r="AU566" s="18"/>
      <c r="AV566" s="18"/>
      <c r="AW566" s="18"/>
      <c r="AX566" s="18"/>
      <c r="AY566" s="18"/>
      <c r="AZ566" s="18"/>
    </row>
    <row r="567" spans="1:52" x14ac:dyDescent="0.25">
      <c r="A567" s="80"/>
      <c r="B567" s="80"/>
      <c r="C567" s="113"/>
      <c r="D567" s="80"/>
      <c r="E567" s="80"/>
      <c r="F567" s="80"/>
      <c r="G567" s="80"/>
      <c r="H567" s="80"/>
      <c r="I567" s="80"/>
      <c r="J567" s="80"/>
      <c r="K567" s="87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24"/>
      <c r="W567" s="24"/>
      <c r="X567" s="80"/>
      <c r="Y567" s="80"/>
      <c r="Z567" s="80"/>
      <c r="AA567" s="80"/>
      <c r="AB567" s="91"/>
      <c r="AC567" s="80"/>
      <c r="AD567" s="24"/>
      <c r="AE567" s="24"/>
      <c r="AF567" s="24"/>
      <c r="AG567" s="24"/>
      <c r="AH567" s="24"/>
      <c r="AI567" s="24"/>
      <c r="AJ567" s="24"/>
      <c r="AK567" s="24"/>
      <c r="AL567" s="24"/>
      <c r="AM567" s="24"/>
      <c r="AN567" s="24"/>
      <c r="AO567" s="24"/>
      <c r="AP567" s="24"/>
      <c r="AQ567" s="24"/>
      <c r="AR567" s="24"/>
      <c r="AS567" s="18"/>
      <c r="AT567" s="18"/>
      <c r="AU567" s="18"/>
      <c r="AV567" s="18"/>
      <c r="AW567" s="18"/>
      <c r="AX567" s="18"/>
      <c r="AY567" s="18"/>
      <c r="AZ567" s="18"/>
    </row>
    <row r="568" spans="1:52" x14ac:dyDescent="0.25">
      <c r="A568" s="80"/>
      <c r="B568" s="80"/>
      <c r="C568" s="113"/>
      <c r="D568" s="80"/>
      <c r="E568" s="80"/>
      <c r="F568" s="80"/>
      <c r="G568" s="80"/>
      <c r="H568" s="80"/>
      <c r="I568" s="80"/>
      <c r="J568" s="80"/>
      <c r="K568" s="87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24"/>
      <c r="W568" s="24"/>
      <c r="X568" s="80"/>
      <c r="Y568" s="80"/>
      <c r="Z568" s="80"/>
      <c r="AA568" s="80"/>
      <c r="AB568" s="91"/>
      <c r="AC568" s="80"/>
      <c r="AD568" s="24"/>
      <c r="AE568" s="24"/>
      <c r="AF568" s="24"/>
      <c r="AG568" s="24"/>
      <c r="AH568" s="24"/>
      <c r="AI568" s="24"/>
      <c r="AJ568" s="24"/>
      <c r="AK568" s="24"/>
      <c r="AL568" s="24"/>
      <c r="AM568" s="24"/>
      <c r="AN568" s="24"/>
      <c r="AO568" s="24"/>
      <c r="AP568" s="24"/>
      <c r="AQ568" s="24"/>
      <c r="AR568" s="24"/>
      <c r="AS568" s="18"/>
      <c r="AT568" s="18"/>
      <c r="AU568" s="18"/>
      <c r="AV568" s="18"/>
      <c r="AW568" s="18"/>
      <c r="AX568" s="18"/>
      <c r="AY568" s="18"/>
      <c r="AZ568" s="18"/>
    </row>
    <row r="569" spans="1:52" x14ac:dyDescent="0.25">
      <c r="A569" s="80"/>
      <c r="B569" s="80"/>
      <c r="C569" s="113"/>
      <c r="D569" s="80"/>
      <c r="E569" s="80"/>
      <c r="F569" s="80"/>
      <c r="G569" s="80"/>
      <c r="H569" s="80"/>
      <c r="I569" s="80"/>
      <c r="J569" s="80"/>
      <c r="K569" s="87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24"/>
      <c r="W569" s="24"/>
      <c r="X569" s="80"/>
      <c r="Y569" s="80"/>
      <c r="Z569" s="80"/>
      <c r="AA569" s="80"/>
      <c r="AB569" s="91"/>
      <c r="AC569" s="80"/>
      <c r="AD569" s="24"/>
      <c r="AE569" s="24"/>
      <c r="AF569" s="24"/>
      <c r="AG569" s="24"/>
      <c r="AH569" s="24"/>
      <c r="AI569" s="24"/>
      <c r="AJ569" s="24"/>
      <c r="AK569" s="24"/>
      <c r="AL569" s="24"/>
      <c r="AM569" s="24"/>
      <c r="AN569" s="24"/>
      <c r="AO569" s="24"/>
      <c r="AP569" s="24"/>
      <c r="AQ569" s="24"/>
      <c r="AR569" s="24"/>
      <c r="AS569" s="18"/>
      <c r="AT569" s="18"/>
      <c r="AU569" s="18"/>
      <c r="AV569" s="18"/>
      <c r="AW569" s="18"/>
      <c r="AX569" s="18"/>
      <c r="AY569" s="18"/>
      <c r="AZ569" s="18"/>
    </row>
    <row r="570" spans="1:52" x14ac:dyDescent="0.25">
      <c r="A570" s="80"/>
      <c r="B570" s="80"/>
      <c r="C570" s="113"/>
      <c r="D570" s="80"/>
      <c r="E570" s="80"/>
      <c r="F570" s="80"/>
      <c r="G570" s="80"/>
      <c r="H570" s="80"/>
      <c r="I570" s="80"/>
      <c r="J570" s="80"/>
      <c r="K570" s="87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24"/>
      <c r="W570" s="24"/>
      <c r="X570" s="80"/>
      <c r="Y570" s="80"/>
      <c r="Z570" s="80"/>
      <c r="AA570" s="80"/>
      <c r="AB570" s="91"/>
      <c r="AC570" s="80"/>
      <c r="AD570" s="24"/>
      <c r="AE570" s="24"/>
      <c r="AF570" s="24"/>
      <c r="AG570" s="24"/>
      <c r="AH570" s="24"/>
      <c r="AI570" s="24"/>
      <c r="AJ570" s="24"/>
      <c r="AK570" s="24"/>
      <c r="AL570" s="24"/>
      <c r="AM570" s="24"/>
      <c r="AN570" s="24"/>
      <c r="AO570" s="24"/>
      <c r="AP570" s="24"/>
      <c r="AQ570" s="24"/>
      <c r="AR570" s="24"/>
      <c r="AS570" s="18"/>
      <c r="AT570" s="18"/>
      <c r="AU570" s="18"/>
      <c r="AV570" s="18"/>
      <c r="AW570" s="18"/>
      <c r="AX570" s="18"/>
      <c r="AY570" s="18"/>
      <c r="AZ570" s="18"/>
    </row>
    <row r="571" spans="1:52" x14ac:dyDescent="0.25">
      <c r="A571" s="80"/>
      <c r="B571" s="80"/>
      <c r="C571" s="113"/>
      <c r="D571" s="80"/>
      <c r="E571" s="80"/>
      <c r="F571" s="80"/>
      <c r="G571" s="80"/>
      <c r="H571" s="80"/>
      <c r="I571" s="80"/>
      <c r="J571" s="80"/>
      <c r="K571" s="87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24"/>
      <c r="W571" s="24"/>
      <c r="X571" s="80"/>
      <c r="Y571" s="80"/>
      <c r="Z571" s="80"/>
      <c r="AA571" s="80"/>
      <c r="AB571" s="91"/>
      <c r="AC571" s="80"/>
      <c r="AD571" s="24"/>
      <c r="AE571" s="24"/>
      <c r="AF571" s="24"/>
      <c r="AG571" s="24"/>
      <c r="AH571" s="24"/>
      <c r="AI571" s="24"/>
      <c r="AJ571" s="24"/>
      <c r="AK571" s="24"/>
      <c r="AL571" s="24"/>
      <c r="AM571" s="24"/>
      <c r="AN571" s="24"/>
      <c r="AO571" s="24"/>
      <c r="AP571" s="24"/>
      <c r="AQ571" s="24"/>
      <c r="AR571" s="24"/>
      <c r="AS571" s="18"/>
      <c r="AT571" s="18"/>
      <c r="AU571" s="18"/>
      <c r="AV571" s="18"/>
      <c r="AW571" s="18"/>
      <c r="AX571" s="18"/>
      <c r="AY571" s="18"/>
      <c r="AZ571" s="18"/>
    </row>
    <row r="572" spans="1:52" x14ac:dyDescent="0.25">
      <c r="A572" s="80"/>
      <c r="B572" s="80"/>
      <c r="C572" s="113"/>
      <c r="D572" s="80"/>
      <c r="E572" s="80"/>
      <c r="F572" s="80"/>
      <c r="G572" s="80"/>
      <c r="H572" s="80"/>
      <c r="I572" s="80"/>
      <c r="J572" s="80"/>
      <c r="K572" s="87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24"/>
      <c r="W572" s="24"/>
      <c r="X572" s="80"/>
      <c r="Y572" s="80"/>
      <c r="Z572" s="80"/>
      <c r="AA572" s="80"/>
      <c r="AB572" s="91"/>
      <c r="AC572" s="80"/>
      <c r="AD572" s="24"/>
      <c r="AE572" s="24"/>
      <c r="AF572" s="24"/>
      <c r="AG572" s="24"/>
      <c r="AH572" s="24"/>
      <c r="AI572" s="24"/>
      <c r="AJ572" s="24"/>
      <c r="AK572" s="24"/>
      <c r="AL572" s="24"/>
      <c r="AM572" s="24"/>
      <c r="AN572" s="24"/>
      <c r="AO572" s="24"/>
      <c r="AP572" s="24"/>
      <c r="AQ572" s="24"/>
      <c r="AR572" s="24"/>
      <c r="AS572" s="18"/>
      <c r="AT572" s="18"/>
      <c r="AU572" s="18"/>
      <c r="AV572" s="18"/>
      <c r="AW572" s="18"/>
      <c r="AX572" s="18"/>
      <c r="AY572" s="18"/>
      <c r="AZ572" s="18"/>
    </row>
    <row r="573" spans="1:52" x14ac:dyDescent="0.25">
      <c r="A573" s="80"/>
      <c r="B573" s="80"/>
      <c r="C573" s="113"/>
      <c r="D573" s="80"/>
      <c r="E573" s="80"/>
      <c r="F573" s="80"/>
      <c r="G573" s="80"/>
      <c r="H573" s="80"/>
      <c r="I573" s="80"/>
      <c r="J573" s="80"/>
      <c r="K573" s="87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24"/>
      <c r="W573" s="24"/>
      <c r="X573" s="80"/>
      <c r="Y573" s="80"/>
      <c r="Z573" s="80"/>
      <c r="AA573" s="80"/>
      <c r="AB573" s="91"/>
      <c r="AC573" s="80"/>
      <c r="AD573" s="24"/>
      <c r="AE573" s="24"/>
      <c r="AF573" s="24"/>
      <c r="AG573" s="24"/>
      <c r="AH573" s="24"/>
      <c r="AI573" s="24"/>
      <c r="AJ573" s="24"/>
      <c r="AK573" s="24"/>
      <c r="AL573" s="24"/>
      <c r="AM573" s="24"/>
      <c r="AN573" s="24"/>
      <c r="AO573" s="24"/>
      <c r="AP573" s="24"/>
      <c r="AQ573" s="24"/>
      <c r="AR573" s="24"/>
      <c r="AS573" s="18"/>
      <c r="AT573" s="18"/>
      <c r="AU573" s="18"/>
      <c r="AV573" s="18"/>
      <c r="AW573" s="18"/>
      <c r="AX573" s="18"/>
      <c r="AY573" s="18"/>
      <c r="AZ573" s="18"/>
    </row>
    <row r="574" spans="1:52" x14ac:dyDescent="0.25">
      <c r="A574" s="80"/>
      <c r="B574" s="80"/>
      <c r="C574" s="113"/>
      <c r="D574" s="80"/>
      <c r="E574" s="80"/>
      <c r="F574" s="80"/>
      <c r="G574" s="80"/>
      <c r="H574" s="80"/>
      <c r="I574" s="80"/>
      <c r="J574" s="80"/>
      <c r="K574" s="87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24"/>
      <c r="W574" s="24"/>
      <c r="X574" s="80"/>
      <c r="Y574" s="80"/>
      <c r="Z574" s="80"/>
      <c r="AA574" s="80"/>
      <c r="AB574" s="91"/>
      <c r="AC574" s="80"/>
      <c r="AD574" s="24"/>
      <c r="AE574" s="24"/>
      <c r="AF574" s="24"/>
      <c r="AG574" s="24"/>
      <c r="AH574" s="24"/>
      <c r="AI574" s="24"/>
      <c r="AJ574" s="24"/>
      <c r="AK574" s="24"/>
      <c r="AL574" s="24"/>
      <c r="AM574" s="24"/>
      <c r="AN574" s="24"/>
      <c r="AO574" s="24"/>
      <c r="AP574" s="24"/>
      <c r="AQ574" s="24"/>
      <c r="AR574" s="24"/>
      <c r="AS574" s="18"/>
      <c r="AT574" s="18"/>
      <c r="AU574" s="18"/>
      <c r="AV574" s="18"/>
      <c r="AW574" s="18"/>
      <c r="AX574" s="18"/>
      <c r="AY574" s="18"/>
      <c r="AZ574" s="18"/>
    </row>
    <row r="575" spans="1:52" x14ac:dyDescent="0.25">
      <c r="A575" s="80"/>
      <c r="B575" s="80"/>
      <c r="C575" s="113"/>
      <c r="D575" s="80"/>
      <c r="E575" s="80"/>
      <c r="F575" s="80"/>
      <c r="G575" s="80"/>
      <c r="H575" s="80"/>
      <c r="I575" s="80"/>
      <c r="J575" s="80"/>
      <c r="K575" s="87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24"/>
      <c r="W575" s="24"/>
      <c r="X575" s="80"/>
      <c r="Y575" s="80"/>
      <c r="Z575" s="80"/>
      <c r="AA575" s="80"/>
      <c r="AB575" s="91"/>
      <c r="AC575" s="80"/>
      <c r="AD575" s="24"/>
      <c r="AE575" s="24"/>
      <c r="AF575" s="24"/>
      <c r="AG575" s="24"/>
      <c r="AH575" s="24"/>
      <c r="AI575" s="24"/>
      <c r="AJ575" s="24"/>
      <c r="AK575" s="24"/>
      <c r="AL575" s="24"/>
      <c r="AM575" s="24"/>
      <c r="AN575" s="24"/>
      <c r="AO575" s="24"/>
      <c r="AP575" s="24"/>
      <c r="AQ575" s="24"/>
      <c r="AR575" s="24"/>
      <c r="AS575" s="18"/>
      <c r="AT575" s="18"/>
      <c r="AU575" s="18"/>
      <c r="AV575" s="18"/>
      <c r="AW575" s="18"/>
      <c r="AX575" s="18"/>
      <c r="AY575" s="18"/>
      <c r="AZ575" s="18"/>
    </row>
    <row r="576" spans="1:52" x14ac:dyDescent="0.25">
      <c r="A576" s="80"/>
      <c r="B576" s="80"/>
      <c r="C576" s="113"/>
      <c r="D576" s="80"/>
      <c r="E576" s="80"/>
      <c r="F576" s="80"/>
      <c r="G576" s="80"/>
      <c r="H576" s="80"/>
      <c r="I576" s="80"/>
      <c r="J576" s="80"/>
      <c r="K576" s="87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24"/>
      <c r="W576" s="24"/>
      <c r="X576" s="80"/>
      <c r="Y576" s="80"/>
      <c r="Z576" s="80"/>
      <c r="AA576" s="80"/>
      <c r="AB576" s="91"/>
      <c r="AC576" s="80"/>
      <c r="AD576" s="24"/>
      <c r="AE576" s="24"/>
      <c r="AF576" s="24"/>
      <c r="AG576" s="24"/>
      <c r="AH576" s="24"/>
      <c r="AI576" s="24"/>
      <c r="AJ576" s="24"/>
      <c r="AK576" s="24"/>
      <c r="AL576" s="24"/>
      <c r="AM576" s="24"/>
      <c r="AN576" s="24"/>
      <c r="AO576" s="24"/>
      <c r="AP576" s="24"/>
      <c r="AQ576" s="24"/>
      <c r="AR576" s="24"/>
      <c r="AS576" s="18"/>
      <c r="AT576" s="18"/>
      <c r="AU576" s="18"/>
      <c r="AV576" s="18"/>
      <c r="AW576" s="18"/>
      <c r="AX576" s="18"/>
      <c r="AY576" s="18"/>
      <c r="AZ576" s="18"/>
    </row>
    <row r="577" spans="1:52" x14ac:dyDescent="0.25">
      <c r="A577" s="80"/>
      <c r="B577" s="80"/>
      <c r="C577" s="113"/>
      <c r="D577" s="80"/>
      <c r="E577" s="80"/>
      <c r="F577" s="80"/>
      <c r="G577" s="80"/>
      <c r="H577" s="80"/>
      <c r="I577" s="80"/>
      <c r="J577" s="80"/>
      <c r="K577" s="87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24"/>
      <c r="W577" s="24"/>
      <c r="X577" s="80"/>
      <c r="Y577" s="80"/>
      <c r="Z577" s="80"/>
      <c r="AA577" s="80"/>
      <c r="AB577" s="91"/>
      <c r="AC577" s="80"/>
      <c r="AD577" s="24"/>
      <c r="AE577" s="24"/>
      <c r="AF577" s="24"/>
      <c r="AG577" s="24"/>
      <c r="AH577" s="24"/>
      <c r="AI577" s="24"/>
      <c r="AJ577" s="24"/>
      <c r="AK577" s="24"/>
      <c r="AL577" s="24"/>
      <c r="AM577" s="24"/>
      <c r="AN577" s="24"/>
      <c r="AO577" s="24"/>
      <c r="AP577" s="24"/>
      <c r="AQ577" s="24"/>
      <c r="AR577" s="24"/>
      <c r="AS577" s="18"/>
      <c r="AT577" s="18"/>
      <c r="AU577" s="18"/>
      <c r="AV577" s="18"/>
      <c r="AW577" s="18"/>
      <c r="AX577" s="18"/>
      <c r="AY577" s="18"/>
      <c r="AZ577" s="18"/>
    </row>
    <row r="578" spans="1:52" x14ac:dyDescent="0.25">
      <c r="A578" s="80"/>
      <c r="B578" s="80"/>
      <c r="C578" s="113"/>
      <c r="D578" s="80"/>
      <c r="E578" s="80"/>
      <c r="F578" s="80"/>
      <c r="G578" s="80"/>
      <c r="H578" s="80"/>
      <c r="I578" s="80"/>
      <c r="J578" s="80"/>
      <c r="K578" s="87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24"/>
      <c r="W578" s="24"/>
      <c r="X578" s="80"/>
      <c r="Y578" s="80"/>
      <c r="Z578" s="80"/>
      <c r="AA578" s="80"/>
      <c r="AB578" s="91"/>
      <c r="AC578" s="80"/>
      <c r="AD578" s="24"/>
      <c r="AE578" s="24"/>
      <c r="AF578" s="24"/>
      <c r="AG578" s="24"/>
      <c r="AH578" s="24"/>
      <c r="AI578" s="24"/>
      <c r="AJ578" s="24"/>
      <c r="AK578" s="24"/>
      <c r="AL578" s="24"/>
      <c r="AM578" s="24"/>
      <c r="AN578" s="24"/>
      <c r="AO578" s="24"/>
      <c r="AP578" s="24"/>
      <c r="AQ578" s="24"/>
      <c r="AR578" s="24"/>
      <c r="AS578" s="18"/>
      <c r="AT578" s="18"/>
      <c r="AU578" s="18"/>
      <c r="AV578" s="18"/>
      <c r="AW578" s="18"/>
      <c r="AX578" s="18"/>
      <c r="AY578" s="18"/>
      <c r="AZ578" s="18"/>
    </row>
    <row r="579" spans="1:52" x14ac:dyDescent="0.25">
      <c r="A579" s="80"/>
      <c r="B579" s="80"/>
      <c r="C579" s="113"/>
      <c r="D579" s="80"/>
      <c r="E579" s="80"/>
      <c r="F579" s="80"/>
      <c r="G579" s="80"/>
      <c r="H579" s="80"/>
      <c r="I579" s="80"/>
      <c r="J579" s="80"/>
      <c r="K579" s="87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24"/>
      <c r="W579" s="24"/>
      <c r="X579" s="80"/>
      <c r="Y579" s="80"/>
      <c r="Z579" s="80"/>
      <c r="AA579" s="80"/>
      <c r="AB579" s="91"/>
      <c r="AC579" s="80"/>
      <c r="AD579" s="24"/>
      <c r="AE579" s="24"/>
      <c r="AF579" s="24"/>
      <c r="AG579" s="24"/>
      <c r="AH579" s="24"/>
      <c r="AI579" s="24"/>
      <c r="AJ579" s="24"/>
      <c r="AK579" s="24"/>
      <c r="AL579" s="24"/>
      <c r="AM579" s="24"/>
      <c r="AN579" s="24"/>
      <c r="AO579" s="24"/>
      <c r="AP579" s="24"/>
      <c r="AQ579" s="24"/>
      <c r="AR579" s="24"/>
      <c r="AS579" s="18"/>
      <c r="AT579" s="18"/>
      <c r="AU579" s="18"/>
      <c r="AV579" s="18"/>
      <c r="AW579" s="18"/>
      <c r="AX579" s="18"/>
      <c r="AY579" s="18"/>
      <c r="AZ579" s="18"/>
    </row>
    <row r="580" spans="1:52" x14ac:dyDescent="0.25">
      <c r="A580" s="80"/>
      <c r="B580" s="80"/>
      <c r="C580" s="113"/>
      <c r="D580" s="80"/>
      <c r="E580" s="80"/>
      <c r="F580" s="80"/>
      <c r="G580" s="80"/>
      <c r="H580" s="80"/>
      <c r="I580" s="80"/>
      <c r="J580" s="80"/>
      <c r="K580" s="87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24"/>
      <c r="W580" s="24"/>
      <c r="X580" s="80"/>
      <c r="Y580" s="80"/>
      <c r="Z580" s="80"/>
      <c r="AA580" s="80"/>
      <c r="AB580" s="91"/>
      <c r="AC580" s="80"/>
      <c r="AD580" s="24"/>
      <c r="AE580" s="24"/>
      <c r="AF580" s="24"/>
      <c r="AG580" s="24"/>
      <c r="AH580" s="24"/>
      <c r="AI580" s="24"/>
      <c r="AJ580" s="24"/>
      <c r="AK580" s="24"/>
      <c r="AL580" s="24"/>
      <c r="AM580" s="24"/>
      <c r="AN580" s="24"/>
      <c r="AO580" s="24"/>
      <c r="AP580" s="24"/>
      <c r="AQ580" s="24"/>
      <c r="AR580" s="24"/>
      <c r="AS580" s="18"/>
      <c r="AT580" s="18"/>
      <c r="AU580" s="18"/>
      <c r="AV580" s="18"/>
      <c r="AW580" s="18"/>
      <c r="AX580" s="18"/>
      <c r="AY580" s="18"/>
      <c r="AZ580" s="18"/>
    </row>
    <row r="581" spans="1:52" x14ac:dyDescent="0.25">
      <c r="A581" s="80"/>
      <c r="B581" s="80"/>
      <c r="C581" s="113"/>
      <c r="D581" s="80"/>
      <c r="E581" s="80"/>
      <c r="F581" s="80"/>
      <c r="G581" s="80"/>
      <c r="H581" s="80"/>
      <c r="I581" s="80"/>
      <c r="J581" s="80"/>
      <c r="K581" s="87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24"/>
      <c r="W581" s="24"/>
      <c r="X581" s="80"/>
      <c r="Y581" s="80"/>
      <c r="Z581" s="80"/>
      <c r="AA581" s="80"/>
      <c r="AB581" s="91"/>
      <c r="AC581" s="80"/>
      <c r="AD581" s="24"/>
      <c r="AE581" s="24"/>
      <c r="AF581" s="24"/>
      <c r="AG581" s="24"/>
      <c r="AH581" s="24"/>
      <c r="AI581" s="24"/>
      <c r="AJ581" s="24"/>
      <c r="AK581" s="24"/>
      <c r="AL581" s="24"/>
      <c r="AM581" s="24"/>
      <c r="AN581" s="24"/>
      <c r="AO581" s="24"/>
      <c r="AP581" s="24"/>
      <c r="AQ581" s="24"/>
      <c r="AR581" s="24"/>
      <c r="AS581" s="18"/>
      <c r="AT581" s="18"/>
      <c r="AU581" s="18"/>
      <c r="AV581" s="18"/>
      <c r="AW581" s="18"/>
      <c r="AX581" s="18"/>
      <c r="AY581" s="18"/>
      <c r="AZ581" s="18"/>
    </row>
    <row r="582" spans="1:52" x14ac:dyDescent="0.25">
      <c r="A582" s="80"/>
      <c r="B582" s="80"/>
      <c r="C582" s="113"/>
      <c r="D582" s="80"/>
      <c r="E582" s="80"/>
      <c r="F582" s="80"/>
      <c r="G582" s="80"/>
      <c r="H582" s="80"/>
      <c r="I582" s="80"/>
      <c r="J582" s="80"/>
      <c r="K582" s="87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24"/>
      <c r="W582" s="24"/>
      <c r="X582" s="80"/>
      <c r="Y582" s="80"/>
      <c r="Z582" s="80"/>
      <c r="AA582" s="80"/>
      <c r="AB582" s="91"/>
      <c r="AC582" s="80"/>
      <c r="AD582" s="24"/>
      <c r="AE582" s="24"/>
      <c r="AF582" s="24"/>
      <c r="AG582" s="24"/>
      <c r="AH582" s="24"/>
      <c r="AI582" s="24"/>
      <c r="AJ582" s="24"/>
      <c r="AK582" s="24"/>
      <c r="AL582" s="24"/>
      <c r="AM582" s="24"/>
      <c r="AN582" s="24"/>
      <c r="AO582" s="24"/>
      <c r="AP582" s="24"/>
      <c r="AQ582" s="24"/>
      <c r="AR582" s="24"/>
      <c r="AS582" s="18"/>
      <c r="AT582" s="18"/>
      <c r="AU582" s="18"/>
      <c r="AV582" s="18"/>
      <c r="AW582" s="18"/>
      <c r="AX582" s="18"/>
      <c r="AY582" s="18"/>
      <c r="AZ582" s="18"/>
    </row>
    <row r="583" spans="1:52" x14ac:dyDescent="0.25">
      <c r="A583" s="80"/>
      <c r="B583" s="80"/>
      <c r="C583" s="113"/>
      <c r="D583" s="80"/>
      <c r="E583" s="80"/>
      <c r="F583" s="80"/>
      <c r="G583" s="80"/>
      <c r="H583" s="80"/>
      <c r="I583" s="80"/>
      <c r="J583" s="80"/>
      <c r="K583" s="87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24"/>
      <c r="W583" s="24"/>
      <c r="X583" s="80"/>
      <c r="Y583" s="80"/>
      <c r="Z583" s="80"/>
      <c r="AA583" s="80"/>
      <c r="AB583" s="91"/>
      <c r="AC583" s="80"/>
      <c r="AD583" s="24"/>
      <c r="AE583" s="24"/>
      <c r="AF583" s="24"/>
      <c r="AG583" s="24"/>
      <c r="AH583" s="24"/>
      <c r="AI583" s="24"/>
      <c r="AJ583" s="24"/>
      <c r="AK583" s="24"/>
      <c r="AL583" s="24"/>
      <c r="AM583" s="24"/>
      <c r="AN583" s="24"/>
      <c r="AO583" s="24"/>
      <c r="AP583" s="24"/>
      <c r="AQ583" s="24"/>
      <c r="AR583" s="24"/>
      <c r="AS583" s="18"/>
      <c r="AT583" s="18"/>
      <c r="AU583" s="18"/>
      <c r="AV583" s="18"/>
      <c r="AW583" s="18"/>
      <c r="AX583" s="18"/>
      <c r="AY583" s="18"/>
      <c r="AZ583" s="18"/>
    </row>
    <row r="584" spans="1:52" x14ac:dyDescent="0.25">
      <c r="A584" s="80"/>
      <c r="B584" s="80"/>
      <c r="C584" s="113"/>
      <c r="D584" s="80"/>
      <c r="E584" s="80"/>
      <c r="F584" s="80"/>
      <c r="G584" s="80"/>
      <c r="H584" s="80"/>
      <c r="I584" s="80"/>
      <c r="J584" s="80"/>
      <c r="K584" s="87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24"/>
      <c r="W584" s="24"/>
      <c r="X584" s="80"/>
      <c r="Y584" s="80"/>
      <c r="Z584" s="80"/>
      <c r="AA584" s="80"/>
      <c r="AB584" s="91"/>
      <c r="AC584" s="80"/>
      <c r="AD584" s="24"/>
      <c r="AE584" s="24"/>
      <c r="AF584" s="24"/>
      <c r="AG584" s="24"/>
      <c r="AH584" s="24"/>
      <c r="AI584" s="24"/>
      <c r="AJ584" s="24"/>
      <c r="AK584" s="24"/>
      <c r="AL584" s="24"/>
      <c r="AM584" s="24"/>
      <c r="AN584" s="24"/>
      <c r="AO584" s="24"/>
      <c r="AP584" s="24"/>
      <c r="AQ584" s="24"/>
      <c r="AR584" s="24"/>
      <c r="AS584" s="18"/>
      <c r="AT584" s="18"/>
      <c r="AU584" s="18"/>
      <c r="AV584" s="18"/>
      <c r="AW584" s="18"/>
      <c r="AX584" s="18"/>
      <c r="AY584" s="18"/>
      <c r="AZ584" s="18"/>
    </row>
    <row r="585" spans="1:52" x14ac:dyDescent="0.25">
      <c r="A585" s="80"/>
      <c r="B585" s="80"/>
      <c r="C585" s="113"/>
      <c r="D585" s="80"/>
      <c r="E585" s="80"/>
      <c r="F585" s="80"/>
      <c r="G585" s="80"/>
      <c r="H585" s="80"/>
      <c r="I585" s="80"/>
      <c r="J585" s="80"/>
      <c r="K585" s="87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24"/>
      <c r="W585" s="24"/>
      <c r="X585" s="80"/>
      <c r="Y585" s="80"/>
      <c r="Z585" s="80"/>
      <c r="AA585" s="80"/>
      <c r="AB585" s="91"/>
      <c r="AC585" s="80"/>
      <c r="AD585" s="24"/>
      <c r="AE585" s="24"/>
      <c r="AF585" s="24"/>
      <c r="AG585" s="24"/>
      <c r="AH585" s="24"/>
      <c r="AI585" s="24"/>
      <c r="AJ585" s="24"/>
      <c r="AK585" s="24"/>
      <c r="AL585" s="24"/>
      <c r="AM585" s="24"/>
      <c r="AN585" s="24"/>
      <c r="AO585" s="24"/>
      <c r="AP585" s="24"/>
      <c r="AQ585" s="24"/>
      <c r="AR585" s="24"/>
      <c r="AS585" s="18"/>
      <c r="AT585" s="18"/>
      <c r="AU585" s="18"/>
      <c r="AV585" s="18"/>
      <c r="AW585" s="18"/>
      <c r="AX585" s="18"/>
      <c r="AY585" s="18"/>
      <c r="AZ585" s="18"/>
    </row>
    <row r="586" spans="1:52" x14ac:dyDescent="0.25">
      <c r="A586" s="80"/>
      <c r="B586" s="80"/>
      <c r="C586" s="113"/>
      <c r="D586" s="80"/>
      <c r="E586" s="80"/>
      <c r="F586" s="80"/>
      <c r="G586" s="80"/>
      <c r="H586" s="80"/>
      <c r="I586" s="80"/>
      <c r="J586" s="80"/>
      <c r="K586" s="87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24"/>
      <c r="W586" s="24"/>
      <c r="X586" s="80"/>
      <c r="Y586" s="80"/>
      <c r="Z586" s="80"/>
      <c r="AA586" s="80"/>
      <c r="AB586" s="91"/>
      <c r="AC586" s="80"/>
      <c r="AD586" s="24"/>
      <c r="AE586" s="24"/>
      <c r="AF586" s="24"/>
      <c r="AG586" s="24"/>
      <c r="AH586" s="24"/>
      <c r="AI586" s="24"/>
      <c r="AJ586" s="24"/>
      <c r="AK586" s="24"/>
      <c r="AL586" s="24"/>
      <c r="AM586" s="24"/>
      <c r="AN586" s="24"/>
      <c r="AO586" s="24"/>
      <c r="AP586" s="24"/>
      <c r="AQ586" s="24"/>
      <c r="AR586" s="24"/>
      <c r="AS586" s="18"/>
      <c r="AT586" s="18"/>
      <c r="AU586" s="18"/>
      <c r="AV586" s="18"/>
      <c r="AW586" s="18"/>
      <c r="AX586" s="18"/>
      <c r="AY586" s="18"/>
      <c r="AZ586" s="18"/>
    </row>
    <row r="587" spans="1:52" x14ac:dyDescent="0.25">
      <c r="A587" s="80"/>
      <c r="B587" s="80"/>
      <c r="C587" s="113"/>
      <c r="D587" s="80"/>
      <c r="E587" s="80"/>
      <c r="F587" s="80"/>
      <c r="G587" s="80"/>
      <c r="H587" s="80"/>
      <c r="I587" s="80"/>
      <c r="J587" s="80"/>
      <c r="K587" s="87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24"/>
      <c r="W587" s="24"/>
      <c r="X587" s="80"/>
      <c r="Y587" s="80"/>
      <c r="Z587" s="80"/>
      <c r="AA587" s="80"/>
      <c r="AB587" s="91"/>
      <c r="AC587" s="80"/>
      <c r="AD587" s="24"/>
      <c r="AE587" s="24"/>
      <c r="AF587" s="24"/>
      <c r="AG587" s="24"/>
      <c r="AH587" s="24"/>
      <c r="AI587" s="24"/>
      <c r="AJ587" s="24"/>
      <c r="AK587" s="24"/>
      <c r="AL587" s="24"/>
      <c r="AM587" s="24"/>
      <c r="AN587" s="24"/>
      <c r="AO587" s="24"/>
      <c r="AP587" s="24"/>
      <c r="AQ587" s="24"/>
      <c r="AR587" s="24"/>
      <c r="AS587" s="18"/>
      <c r="AT587" s="18"/>
      <c r="AU587" s="18"/>
      <c r="AV587" s="18"/>
      <c r="AW587" s="18"/>
      <c r="AX587" s="18"/>
      <c r="AY587" s="18"/>
      <c r="AZ587" s="18"/>
    </row>
    <row r="588" spans="1:52" x14ac:dyDescent="0.25">
      <c r="A588" s="80"/>
      <c r="B588" s="80"/>
      <c r="C588" s="113"/>
      <c r="D588" s="80"/>
      <c r="E588" s="80"/>
      <c r="F588" s="80"/>
      <c r="G588" s="80"/>
      <c r="H588" s="80"/>
      <c r="I588" s="80"/>
      <c r="J588" s="80"/>
      <c r="K588" s="87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24"/>
      <c r="W588" s="24"/>
      <c r="X588" s="80"/>
      <c r="Y588" s="80"/>
      <c r="Z588" s="80"/>
      <c r="AA588" s="80"/>
      <c r="AB588" s="91"/>
      <c r="AC588" s="80"/>
      <c r="AD588" s="24"/>
      <c r="AE588" s="24"/>
      <c r="AF588" s="24"/>
      <c r="AG588" s="24"/>
      <c r="AH588" s="24"/>
      <c r="AI588" s="24"/>
      <c r="AJ588" s="24"/>
      <c r="AK588" s="24"/>
      <c r="AL588" s="24"/>
      <c r="AM588" s="24"/>
      <c r="AN588" s="24"/>
      <c r="AO588" s="24"/>
      <c r="AP588" s="24"/>
      <c r="AQ588" s="24"/>
      <c r="AR588" s="24"/>
      <c r="AS588" s="18"/>
      <c r="AT588" s="18"/>
      <c r="AU588" s="18"/>
      <c r="AV588" s="18"/>
      <c r="AW588" s="18"/>
      <c r="AX588" s="18"/>
      <c r="AY588" s="18"/>
      <c r="AZ588" s="18"/>
    </row>
    <row r="589" spans="1:52" x14ac:dyDescent="0.25">
      <c r="A589" s="80"/>
      <c r="B589" s="80"/>
      <c r="C589" s="113"/>
      <c r="D589" s="80"/>
      <c r="E589" s="80"/>
      <c r="F589" s="80"/>
      <c r="G589" s="80"/>
      <c r="H589" s="80"/>
      <c r="I589" s="80"/>
      <c r="J589" s="80"/>
      <c r="K589" s="87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24"/>
      <c r="W589" s="24"/>
      <c r="X589" s="80"/>
      <c r="Y589" s="80"/>
      <c r="Z589" s="80"/>
      <c r="AA589" s="80"/>
      <c r="AB589" s="91"/>
      <c r="AC589" s="80"/>
      <c r="AD589" s="24"/>
      <c r="AE589" s="24"/>
      <c r="AF589" s="24"/>
      <c r="AG589" s="24"/>
      <c r="AH589" s="24"/>
      <c r="AI589" s="24"/>
      <c r="AJ589" s="24"/>
      <c r="AK589" s="24"/>
      <c r="AL589" s="24"/>
      <c r="AM589" s="24"/>
      <c r="AN589" s="24"/>
      <c r="AO589" s="24"/>
      <c r="AP589" s="24"/>
      <c r="AQ589" s="24"/>
      <c r="AR589" s="24"/>
      <c r="AS589" s="18"/>
      <c r="AT589" s="18"/>
      <c r="AU589" s="18"/>
      <c r="AV589" s="18"/>
      <c r="AW589" s="18"/>
      <c r="AX589" s="18"/>
      <c r="AY589" s="18"/>
      <c r="AZ589" s="18"/>
    </row>
    <row r="590" spans="1:52" x14ac:dyDescent="0.25">
      <c r="A590" s="80"/>
      <c r="B590" s="80"/>
      <c r="C590" s="113"/>
      <c r="D590" s="80"/>
      <c r="E590" s="80"/>
      <c r="F590" s="80"/>
      <c r="G590" s="80"/>
      <c r="H590" s="80"/>
      <c r="I590" s="80"/>
      <c r="J590" s="80"/>
      <c r="K590" s="87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24"/>
      <c r="W590" s="24"/>
      <c r="X590" s="80"/>
      <c r="Y590" s="80"/>
      <c r="Z590" s="80"/>
      <c r="AA590" s="80"/>
      <c r="AB590" s="91"/>
      <c r="AC590" s="80"/>
      <c r="AD590" s="24"/>
      <c r="AE590" s="24"/>
      <c r="AF590" s="24"/>
      <c r="AG590" s="24"/>
      <c r="AH590" s="24"/>
      <c r="AI590" s="24"/>
      <c r="AJ590" s="24"/>
      <c r="AK590" s="24"/>
      <c r="AL590" s="24"/>
      <c r="AM590" s="24"/>
      <c r="AN590" s="24"/>
      <c r="AO590" s="24"/>
      <c r="AP590" s="24"/>
      <c r="AQ590" s="24"/>
      <c r="AR590" s="24"/>
      <c r="AS590" s="18"/>
      <c r="AT590" s="18"/>
      <c r="AU590" s="18"/>
      <c r="AV590" s="18"/>
      <c r="AW590" s="18"/>
      <c r="AX590" s="18"/>
      <c r="AY590" s="18"/>
      <c r="AZ590" s="18"/>
    </row>
    <row r="591" spans="1:52" x14ac:dyDescent="0.25">
      <c r="A591" s="80"/>
      <c r="B591" s="80"/>
      <c r="C591" s="113"/>
      <c r="D591" s="80"/>
      <c r="E591" s="80"/>
      <c r="F591" s="80"/>
      <c r="G591" s="80"/>
      <c r="H591" s="80"/>
      <c r="I591" s="80"/>
      <c r="J591" s="80"/>
      <c r="K591" s="87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24"/>
      <c r="W591" s="24"/>
      <c r="X591" s="80"/>
      <c r="Y591" s="80"/>
      <c r="Z591" s="80"/>
      <c r="AA591" s="80"/>
      <c r="AB591" s="91"/>
      <c r="AC591" s="80"/>
      <c r="AD591" s="24"/>
      <c r="AE591" s="24"/>
      <c r="AF591" s="24"/>
      <c r="AG591" s="24"/>
      <c r="AH591" s="24"/>
      <c r="AI591" s="24"/>
      <c r="AJ591" s="24"/>
      <c r="AK591" s="24"/>
      <c r="AL591" s="24"/>
      <c r="AM591" s="24"/>
      <c r="AN591" s="24"/>
      <c r="AO591" s="24"/>
      <c r="AP591" s="24"/>
      <c r="AQ591" s="24"/>
      <c r="AR591" s="24"/>
      <c r="AS591" s="18"/>
      <c r="AT591" s="18"/>
      <c r="AU591" s="18"/>
      <c r="AV591" s="18"/>
      <c r="AW591" s="18"/>
      <c r="AX591" s="18"/>
      <c r="AY591" s="18"/>
      <c r="AZ591" s="18"/>
    </row>
    <row r="592" spans="1:52" x14ac:dyDescent="0.25">
      <c r="A592" s="80"/>
      <c r="B592" s="80"/>
      <c r="C592" s="113"/>
      <c r="D592" s="80"/>
      <c r="E592" s="80"/>
      <c r="F592" s="80"/>
      <c r="G592" s="80"/>
      <c r="H592" s="80"/>
      <c r="I592" s="80"/>
      <c r="J592" s="80"/>
      <c r="K592" s="87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24"/>
      <c r="W592" s="24"/>
      <c r="X592" s="80"/>
      <c r="Y592" s="80"/>
      <c r="Z592" s="80"/>
      <c r="AA592" s="80"/>
      <c r="AB592" s="91"/>
      <c r="AC592" s="80"/>
      <c r="AD592" s="24"/>
      <c r="AE592" s="24"/>
      <c r="AF592" s="24"/>
      <c r="AG592" s="24"/>
      <c r="AH592" s="24"/>
      <c r="AI592" s="24"/>
      <c r="AJ592" s="24"/>
      <c r="AK592" s="24"/>
      <c r="AL592" s="24"/>
      <c r="AM592" s="24"/>
      <c r="AN592" s="24"/>
      <c r="AO592" s="24"/>
      <c r="AP592" s="24"/>
      <c r="AQ592" s="24"/>
      <c r="AR592" s="24"/>
      <c r="AS592" s="18"/>
      <c r="AT592" s="18"/>
      <c r="AU592" s="18"/>
      <c r="AV592" s="18"/>
      <c r="AW592" s="18"/>
      <c r="AX592" s="18"/>
      <c r="AY592" s="18"/>
      <c r="AZ592" s="18"/>
    </row>
    <row r="593" spans="1:52" x14ac:dyDescent="0.25">
      <c r="A593" s="80"/>
      <c r="B593" s="80"/>
      <c r="C593" s="113"/>
      <c r="D593" s="80"/>
      <c r="E593" s="80"/>
      <c r="F593" s="80"/>
      <c r="G593" s="80"/>
      <c r="H593" s="80"/>
      <c r="I593" s="80"/>
      <c r="J593" s="80"/>
      <c r="K593" s="87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24"/>
      <c r="W593" s="24"/>
      <c r="X593" s="80"/>
      <c r="Y593" s="80"/>
      <c r="Z593" s="80"/>
      <c r="AA593" s="80"/>
      <c r="AB593" s="91"/>
      <c r="AC593" s="80"/>
      <c r="AD593" s="24"/>
      <c r="AE593" s="24"/>
      <c r="AF593" s="24"/>
      <c r="AG593" s="24"/>
      <c r="AH593" s="24"/>
      <c r="AI593" s="24"/>
      <c r="AJ593" s="24"/>
      <c r="AK593" s="24"/>
      <c r="AL593" s="24"/>
      <c r="AM593" s="24"/>
      <c r="AN593" s="24"/>
      <c r="AO593" s="24"/>
      <c r="AP593" s="24"/>
      <c r="AQ593" s="24"/>
      <c r="AR593" s="24"/>
      <c r="AS593" s="18"/>
      <c r="AT593" s="18"/>
      <c r="AU593" s="18"/>
      <c r="AV593" s="18"/>
      <c r="AW593" s="18"/>
      <c r="AX593" s="18"/>
      <c r="AY593" s="18"/>
      <c r="AZ593" s="18"/>
    </row>
    <row r="594" spans="1:52" x14ac:dyDescent="0.25">
      <c r="A594" s="80"/>
      <c r="B594" s="80"/>
      <c r="C594" s="113"/>
      <c r="D594" s="80"/>
      <c r="E594" s="80"/>
      <c r="F594" s="80"/>
      <c r="G594" s="80"/>
      <c r="H594" s="80"/>
      <c r="I594" s="80"/>
      <c r="J594" s="80"/>
      <c r="K594" s="87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24"/>
      <c r="W594" s="24"/>
      <c r="X594" s="80"/>
      <c r="Y594" s="80"/>
      <c r="Z594" s="80"/>
      <c r="AA594" s="80"/>
      <c r="AB594" s="91"/>
      <c r="AC594" s="80"/>
      <c r="AD594" s="24"/>
      <c r="AE594" s="24"/>
      <c r="AF594" s="24"/>
      <c r="AG594" s="24"/>
      <c r="AH594" s="24"/>
      <c r="AI594" s="24"/>
      <c r="AJ594" s="24"/>
      <c r="AK594" s="24"/>
      <c r="AL594" s="24"/>
      <c r="AM594" s="24"/>
      <c r="AN594" s="24"/>
      <c r="AO594" s="24"/>
      <c r="AP594" s="24"/>
      <c r="AQ594" s="24"/>
      <c r="AR594" s="24"/>
      <c r="AS594" s="18"/>
      <c r="AT594" s="18"/>
      <c r="AU594" s="18"/>
      <c r="AV594" s="18"/>
      <c r="AW594" s="18"/>
      <c r="AX594" s="18"/>
      <c r="AY594" s="18"/>
      <c r="AZ594" s="18"/>
    </row>
    <row r="595" spans="1:52" x14ac:dyDescent="0.25">
      <c r="A595" s="80"/>
      <c r="B595" s="80"/>
      <c r="C595" s="113"/>
      <c r="D595" s="80"/>
      <c r="E595" s="80"/>
      <c r="F595" s="80"/>
      <c r="G595" s="80"/>
      <c r="H595" s="80"/>
      <c r="I595" s="80"/>
      <c r="J595" s="80"/>
      <c r="K595" s="87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24"/>
      <c r="W595" s="24"/>
      <c r="X595" s="80"/>
      <c r="Y595" s="80"/>
      <c r="Z595" s="80"/>
      <c r="AA595" s="80"/>
      <c r="AB595" s="91"/>
      <c r="AC595" s="80"/>
      <c r="AD595" s="24"/>
      <c r="AE595" s="24"/>
      <c r="AF595" s="24"/>
      <c r="AG595" s="24"/>
      <c r="AH595" s="24"/>
      <c r="AI595" s="24"/>
      <c r="AJ595" s="24"/>
      <c r="AK595" s="24"/>
      <c r="AL595" s="24"/>
      <c r="AM595" s="24"/>
      <c r="AN595" s="24"/>
      <c r="AO595" s="24"/>
      <c r="AP595" s="24"/>
      <c r="AQ595" s="24"/>
      <c r="AR595" s="24"/>
      <c r="AS595" s="18"/>
      <c r="AT595" s="18"/>
      <c r="AU595" s="18"/>
      <c r="AV595" s="18"/>
      <c r="AW595" s="18"/>
      <c r="AX595" s="18"/>
      <c r="AY595" s="18"/>
      <c r="AZ595" s="18"/>
    </row>
    <row r="596" spans="1:52" x14ac:dyDescent="0.25">
      <c r="A596" s="80"/>
      <c r="B596" s="80"/>
      <c r="C596" s="113"/>
      <c r="D596" s="80"/>
      <c r="E596" s="80"/>
      <c r="F596" s="80"/>
      <c r="G596" s="80"/>
      <c r="H596" s="80"/>
      <c r="I596" s="80"/>
      <c r="J596" s="80"/>
      <c r="K596" s="87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24"/>
      <c r="W596" s="24"/>
      <c r="X596" s="80"/>
      <c r="Y596" s="80"/>
      <c r="Z596" s="80"/>
      <c r="AA596" s="80"/>
      <c r="AB596" s="91"/>
      <c r="AC596" s="80"/>
      <c r="AD596" s="24"/>
      <c r="AE596" s="24"/>
      <c r="AF596" s="24"/>
      <c r="AG596" s="24"/>
      <c r="AH596" s="24"/>
      <c r="AI596" s="24"/>
      <c r="AJ596" s="24"/>
      <c r="AK596" s="24"/>
      <c r="AL596" s="24"/>
      <c r="AM596" s="24"/>
      <c r="AN596" s="24"/>
      <c r="AO596" s="24"/>
      <c r="AP596" s="24"/>
      <c r="AQ596" s="24"/>
      <c r="AR596" s="24"/>
      <c r="AS596" s="18"/>
      <c r="AT596" s="18"/>
      <c r="AU596" s="18"/>
      <c r="AV596" s="18"/>
      <c r="AW596" s="18"/>
      <c r="AX596" s="18"/>
      <c r="AY596" s="18"/>
      <c r="AZ596" s="18"/>
    </row>
    <row r="597" spans="1:52" x14ac:dyDescent="0.25">
      <c r="A597" s="80"/>
      <c r="B597" s="80"/>
      <c r="C597" s="113"/>
      <c r="D597" s="80"/>
      <c r="E597" s="80"/>
      <c r="F597" s="80"/>
      <c r="G597" s="80"/>
      <c r="H597" s="80"/>
      <c r="I597" s="80"/>
      <c r="J597" s="80"/>
      <c r="K597" s="87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24"/>
      <c r="W597" s="24"/>
      <c r="X597" s="80"/>
      <c r="Y597" s="80"/>
      <c r="Z597" s="80"/>
      <c r="AA597" s="80"/>
      <c r="AB597" s="91"/>
      <c r="AC597" s="80"/>
      <c r="AD597" s="24"/>
      <c r="AE597" s="24"/>
      <c r="AF597" s="24"/>
      <c r="AG597" s="24"/>
      <c r="AH597" s="24"/>
      <c r="AI597" s="24"/>
      <c r="AJ597" s="24"/>
      <c r="AK597" s="24"/>
      <c r="AL597" s="24"/>
      <c r="AM597" s="24"/>
      <c r="AN597" s="24"/>
      <c r="AO597" s="24"/>
      <c r="AP597" s="24"/>
      <c r="AQ597" s="24"/>
      <c r="AR597" s="24"/>
      <c r="AS597" s="18"/>
      <c r="AT597" s="18"/>
      <c r="AU597" s="18"/>
      <c r="AV597" s="18"/>
      <c r="AW597" s="18"/>
      <c r="AX597" s="18"/>
      <c r="AY597" s="18"/>
      <c r="AZ597" s="18"/>
    </row>
    <row r="598" spans="1:52" x14ac:dyDescent="0.25">
      <c r="A598" s="80"/>
      <c r="B598" s="80"/>
      <c r="C598" s="113"/>
      <c r="D598" s="80"/>
      <c r="E598" s="80"/>
      <c r="F598" s="80"/>
      <c r="G598" s="80"/>
      <c r="H598" s="80"/>
      <c r="I598" s="80"/>
      <c r="J598" s="80"/>
      <c r="K598" s="87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24"/>
      <c r="W598" s="24"/>
      <c r="X598" s="80"/>
      <c r="Y598" s="80"/>
      <c r="Z598" s="80"/>
      <c r="AA598" s="80"/>
      <c r="AB598" s="91"/>
      <c r="AC598" s="80"/>
      <c r="AD598" s="24"/>
      <c r="AE598" s="24"/>
      <c r="AF598" s="24"/>
      <c r="AG598" s="24"/>
      <c r="AH598" s="24"/>
      <c r="AI598" s="24"/>
      <c r="AJ598" s="24"/>
      <c r="AK598" s="24"/>
      <c r="AL598" s="24"/>
      <c r="AM598" s="24"/>
      <c r="AN598" s="24"/>
      <c r="AO598" s="24"/>
      <c r="AP598" s="24"/>
      <c r="AQ598" s="24"/>
      <c r="AR598" s="24"/>
      <c r="AS598" s="18"/>
      <c r="AT598" s="18"/>
      <c r="AU598" s="18"/>
      <c r="AV598" s="18"/>
      <c r="AW598" s="18"/>
      <c r="AX598" s="18"/>
      <c r="AY598" s="18"/>
      <c r="AZ598" s="18"/>
    </row>
    <row r="599" spans="1:52" x14ac:dyDescent="0.25">
      <c r="A599" s="80"/>
      <c r="B599" s="80"/>
      <c r="C599" s="113"/>
      <c r="D599" s="80"/>
      <c r="E599" s="80"/>
      <c r="F599" s="80"/>
      <c r="G599" s="80"/>
      <c r="H599" s="80"/>
      <c r="I599" s="80"/>
      <c r="J599" s="80"/>
      <c r="K599" s="87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24"/>
      <c r="W599" s="24"/>
      <c r="X599" s="80"/>
      <c r="Y599" s="80"/>
      <c r="Z599" s="80"/>
      <c r="AA599" s="80"/>
      <c r="AB599" s="91"/>
      <c r="AC599" s="80"/>
      <c r="AD599" s="24"/>
      <c r="AE599" s="24"/>
      <c r="AF599" s="24"/>
      <c r="AG599" s="24"/>
      <c r="AH599" s="24"/>
      <c r="AI599" s="24"/>
      <c r="AJ599" s="24"/>
      <c r="AK599" s="24"/>
      <c r="AL599" s="24"/>
      <c r="AM599" s="24"/>
      <c r="AN599" s="24"/>
      <c r="AO599" s="24"/>
      <c r="AP599" s="24"/>
      <c r="AQ599" s="24"/>
      <c r="AR599" s="24"/>
      <c r="AS599" s="18"/>
      <c r="AT599" s="18"/>
      <c r="AU599" s="18"/>
      <c r="AV599" s="18"/>
      <c r="AW599" s="18"/>
      <c r="AX599" s="18"/>
      <c r="AY599" s="18"/>
      <c r="AZ599" s="18"/>
    </row>
    <row r="600" spans="1:52" x14ac:dyDescent="0.25">
      <c r="A600" s="80"/>
      <c r="B600" s="80"/>
      <c r="C600" s="113"/>
      <c r="D600" s="80"/>
      <c r="E600" s="80"/>
      <c r="F600" s="80"/>
      <c r="G600" s="80"/>
      <c r="H600" s="80"/>
      <c r="I600" s="80"/>
      <c r="J600" s="80"/>
      <c r="K600" s="87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24"/>
      <c r="W600" s="24"/>
      <c r="X600" s="80"/>
      <c r="Y600" s="80"/>
      <c r="Z600" s="80"/>
      <c r="AA600" s="80"/>
      <c r="AB600" s="91"/>
      <c r="AC600" s="80"/>
      <c r="AD600" s="24"/>
      <c r="AE600" s="24"/>
      <c r="AF600" s="24"/>
      <c r="AG600" s="24"/>
      <c r="AH600" s="24"/>
      <c r="AI600" s="24"/>
      <c r="AJ600" s="24"/>
      <c r="AK600" s="24"/>
      <c r="AL600" s="24"/>
      <c r="AM600" s="24"/>
      <c r="AN600" s="24"/>
      <c r="AO600" s="24"/>
      <c r="AP600" s="24"/>
      <c r="AQ600" s="24"/>
      <c r="AR600" s="24"/>
      <c r="AS600" s="18"/>
      <c r="AT600" s="18"/>
      <c r="AU600" s="18"/>
      <c r="AV600" s="18"/>
      <c r="AW600" s="18"/>
      <c r="AX600" s="18"/>
      <c r="AY600" s="18"/>
      <c r="AZ600" s="18"/>
    </row>
    <row r="601" spans="1:52" x14ac:dyDescent="0.25">
      <c r="A601" s="80"/>
      <c r="B601" s="80"/>
      <c r="C601" s="113"/>
      <c r="D601" s="80"/>
      <c r="E601" s="80"/>
      <c r="F601" s="80"/>
      <c r="G601" s="80"/>
      <c r="H601" s="80"/>
      <c r="I601" s="80"/>
      <c r="J601" s="80"/>
      <c r="K601" s="87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24"/>
      <c r="W601" s="24"/>
      <c r="X601" s="80"/>
      <c r="Y601" s="80"/>
      <c r="Z601" s="80"/>
      <c r="AA601" s="80"/>
      <c r="AB601" s="91"/>
      <c r="AC601" s="80"/>
      <c r="AD601" s="24"/>
      <c r="AE601" s="24"/>
      <c r="AF601" s="24"/>
      <c r="AG601" s="24"/>
      <c r="AH601" s="24"/>
      <c r="AI601" s="24"/>
      <c r="AJ601" s="24"/>
      <c r="AK601" s="24"/>
      <c r="AL601" s="24"/>
      <c r="AM601" s="24"/>
      <c r="AN601" s="24"/>
      <c r="AO601" s="24"/>
      <c r="AP601" s="24"/>
      <c r="AQ601" s="24"/>
      <c r="AR601" s="24"/>
      <c r="AS601" s="18"/>
      <c r="AT601" s="18"/>
      <c r="AU601" s="18"/>
      <c r="AV601" s="18"/>
      <c r="AW601" s="18"/>
      <c r="AX601" s="18"/>
      <c r="AY601" s="18"/>
      <c r="AZ601" s="18"/>
    </row>
    <row r="602" spans="1:52" x14ac:dyDescent="0.25">
      <c r="A602" s="80"/>
      <c r="B602" s="80"/>
      <c r="C602" s="113"/>
      <c r="D602" s="80"/>
      <c r="E602" s="80"/>
      <c r="F602" s="80"/>
      <c r="G602" s="80"/>
      <c r="H602" s="80"/>
      <c r="I602" s="80"/>
      <c r="J602" s="80"/>
      <c r="K602" s="87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24"/>
      <c r="W602" s="24"/>
      <c r="X602" s="80"/>
      <c r="Y602" s="80"/>
      <c r="Z602" s="80"/>
      <c r="AA602" s="80"/>
      <c r="AB602" s="91"/>
      <c r="AC602" s="80"/>
      <c r="AD602" s="24"/>
      <c r="AE602" s="24"/>
      <c r="AF602" s="24"/>
      <c r="AG602" s="24"/>
      <c r="AH602" s="24"/>
      <c r="AI602" s="24"/>
      <c r="AJ602" s="24"/>
      <c r="AK602" s="24"/>
      <c r="AL602" s="24"/>
      <c r="AM602" s="24"/>
      <c r="AN602" s="24"/>
      <c r="AO602" s="24"/>
      <c r="AP602" s="24"/>
      <c r="AQ602" s="24"/>
      <c r="AR602" s="24"/>
      <c r="AS602" s="18"/>
      <c r="AT602" s="18"/>
      <c r="AU602" s="18"/>
      <c r="AV602" s="18"/>
      <c r="AW602" s="18"/>
      <c r="AX602" s="18"/>
      <c r="AY602" s="18"/>
      <c r="AZ602" s="18"/>
    </row>
    <row r="603" spans="1:52" x14ac:dyDescent="0.25">
      <c r="A603" s="80"/>
      <c r="B603" s="80"/>
      <c r="C603" s="113"/>
      <c r="D603" s="80"/>
      <c r="E603" s="80"/>
      <c r="F603" s="80"/>
      <c r="G603" s="80"/>
      <c r="H603" s="80"/>
      <c r="I603" s="80"/>
      <c r="J603" s="80"/>
      <c r="K603" s="87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24"/>
      <c r="W603" s="24"/>
      <c r="X603" s="80"/>
      <c r="Y603" s="80"/>
      <c r="Z603" s="80"/>
      <c r="AA603" s="80"/>
      <c r="AB603" s="91"/>
      <c r="AC603" s="80"/>
      <c r="AD603" s="24"/>
      <c r="AE603" s="24"/>
      <c r="AF603" s="24"/>
      <c r="AG603" s="24"/>
      <c r="AH603" s="24"/>
      <c r="AI603" s="24"/>
      <c r="AJ603" s="24"/>
      <c r="AK603" s="24"/>
      <c r="AL603" s="24"/>
      <c r="AM603" s="24"/>
      <c r="AN603" s="24"/>
      <c r="AO603" s="24"/>
      <c r="AP603" s="24"/>
      <c r="AQ603" s="24"/>
      <c r="AR603" s="24"/>
      <c r="AS603" s="18"/>
      <c r="AT603" s="18"/>
      <c r="AU603" s="18"/>
      <c r="AV603" s="18"/>
      <c r="AW603" s="18"/>
      <c r="AX603" s="18"/>
      <c r="AY603" s="18"/>
      <c r="AZ603" s="18"/>
    </row>
    <row r="604" spans="1:52" x14ac:dyDescent="0.25">
      <c r="A604" s="80"/>
      <c r="B604" s="80"/>
      <c r="C604" s="113"/>
      <c r="D604" s="80"/>
      <c r="E604" s="80"/>
      <c r="F604" s="80"/>
      <c r="G604" s="80"/>
      <c r="H604" s="80"/>
      <c r="I604" s="80"/>
      <c r="J604" s="80"/>
      <c r="K604" s="87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24"/>
      <c r="W604" s="24"/>
      <c r="X604" s="80"/>
      <c r="Y604" s="80"/>
      <c r="Z604" s="80"/>
      <c r="AA604" s="80"/>
      <c r="AB604" s="91"/>
      <c r="AC604" s="80"/>
      <c r="AD604" s="24"/>
      <c r="AE604" s="24"/>
      <c r="AF604" s="24"/>
      <c r="AG604" s="24"/>
      <c r="AH604" s="24"/>
      <c r="AI604" s="24"/>
      <c r="AJ604" s="24"/>
      <c r="AK604" s="24"/>
      <c r="AL604" s="24"/>
      <c r="AM604" s="24"/>
      <c r="AN604" s="24"/>
      <c r="AO604" s="24"/>
      <c r="AP604" s="24"/>
      <c r="AQ604" s="24"/>
      <c r="AR604" s="24"/>
      <c r="AS604" s="18"/>
      <c r="AT604" s="18"/>
      <c r="AU604" s="18"/>
      <c r="AV604" s="18"/>
      <c r="AW604" s="18"/>
      <c r="AX604" s="18"/>
      <c r="AY604" s="18"/>
      <c r="AZ604" s="18"/>
    </row>
    <row r="605" spans="1:52" x14ac:dyDescent="0.25">
      <c r="A605" s="80"/>
      <c r="B605" s="80"/>
      <c r="C605" s="113"/>
      <c r="D605" s="80"/>
      <c r="E605" s="80"/>
      <c r="F605" s="80"/>
      <c r="G605" s="80"/>
      <c r="H605" s="80"/>
      <c r="I605" s="80"/>
      <c r="J605" s="80"/>
      <c r="K605" s="87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24"/>
      <c r="W605" s="24"/>
      <c r="X605" s="80"/>
      <c r="Y605" s="80"/>
      <c r="Z605" s="80"/>
      <c r="AA605" s="80"/>
      <c r="AB605" s="91"/>
      <c r="AC605" s="80"/>
      <c r="AD605" s="24"/>
      <c r="AE605" s="24"/>
      <c r="AF605" s="24"/>
      <c r="AG605" s="24"/>
      <c r="AH605" s="24"/>
      <c r="AI605" s="24"/>
      <c r="AJ605" s="24"/>
      <c r="AK605" s="24"/>
      <c r="AL605" s="24"/>
      <c r="AM605" s="24"/>
      <c r="AN605" s="24"/>
      <c r="AO605" s="24"/>
      <c r="AP605" s="24"/>
      <c r="AQ605" s="24"/>
      <c r="AR605" s="24"/>
      <c r="AS605" s="18"/>
      <c r="AT605" s="18"/>
      <c r="AU605" s="18"/>
      <c r="AV605" s="18"/>
      <c r="AW605" s="18"/>
      <c r="AX605" s="18"/>
      <c r="AY605" s="18"/>
      <c r="AZ605" s="18"/>
    </row>
    <row r="606" spans="1:52" x14ac:dyDescent="0.25">
      <c r="A606" s="80"/>
      <c r="B606" s="80"/>
      <c r="C606" s="113"/>
      <c r="D606" s="80"/>
      <c r="E606" s="80"/>
      <c r="F606" s="80"/>
      <c r="G606" s="80"/>
      <c r="H606" s="80"/>
      <c r="I606" s="80"/>
      <c r="J606" s="80"/>
      <c r="K606" s="87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24"/>
      <c r="W606" s="24"/>
      <c r="X606" s="80"/>
      <c r="Y606" s="80"/>
      <c r="Z606" s="80"/>
      <c r="AA606" s="80"/>
      <c r="AB606" s="91"/>
      <c r="AC606" s="80"/>
      <c r="AD606" s="24"/>
      <c r="AE606" s="24"/>
      <c r="AF606" s="24"/>
      <c r="AG606" s="24"/>
      <c r="AH606" s="24"/>
      <c r="AI606" s="24"/>
      <c r="AJ606" s="24"/>
      <c r="AK606" s="24"/>
      <c r="AL606" s="24"/>
      <c r="AM606" s="24"/>
      <c r="AN606" s="24"/>
      <c r="AO606" s="24"/>
      <c r="AP606" s="24"/>
      <c r="AQ606" s="24"/>
      <c r="AR606" s="24"/>
      <c r="AS606" s="18"/>
      <c r="AT606" s="18"/>
      <c r="AU606" s="18"/>
      <c r="AV606" s="18"/>
      <c r="AW606" s="18"/>
      <c r="AX606" s="18"/>
      <c r="AY606" s="18"/>
      <c r="AZ606" s="18"/>
    </row>
    <row r="607" spans="1:52" x14ac:dyDescent="0.25">
      <c r="A607" s="80"/>
      <c r="B607" s="80"/>
      <c r="C607" s="113"/>
      <c r="D607" s="80"/>
      <c r="E607" s="80"/>
      <c r="F607" s="80"/>
      <c r="G607" s="80"/>
      <c r="H607" s="80"/>
      <c r="I607" s="80"/>
      <c r="J607" s="80"/>
      <c r="K607" s="87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24"/>
      <c r="W607" s="24"/>
      <c r="X607" s="80"/>
      <c r="Y607" s="80"/>
      <c r="Z607" s="80"/>
      <c r="AA607" s="80"/>
      <c r="AB607" s="91"/>
      <c r="AC607" s="80"/>
      <c r="AD607" s="24"/>
      <c r="AE607" s="24"/>
      <c r="AF607" s="24"/>
      <c r="AG607" s="24"/>
      <c r="AH607" s="24"/>
      <c r="AI607" s="24"/>
      <c r="AJ607" s="24"/>
      <c r="AK607" s="24"/>
      <c r="AL607" s="24"/>
      <c r="AM607" s="24"/>
      <c r="AN607" s="24"/>
      <c r="AO607" s="24"/>
      <c r="AP607" s="24"/>
      <c r="AQ607" s="24"/>
      <c r="AR607" s="24"/>
      <c r="AS607" s="18"/>
      <c r="AT607" s="18"/>
      <c r="AU607" s="18"/>
      <c r="AV607" s="18"/>
      <c r="AW607" s="18"/>
      <c r="AX607" s="18"/>
      <c r="AY607" s="18"/>
      <c r="AZ607" s="18"/>
    </row>
    <row r="608" spans="1:52" x14ac:dyDescent="0.25">
      <c r="A608" s="80"/>
      <c r="B608" s="80"/>
      <c r="C608" s="113"/>
      <c r="D608" s="80"/>
      <c r="E608" s="80"/>
      <c r="F608" s="80"/>
      <c r="G608" s="80"/>
      <c r="H608" s="80"/>
      <c r="I608" s="80"/>
      <c r="J608" s="80"/>
      <c r="K608" s="87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24"/>
      <c r="W608" s="24"/>
      <c r="X608" s="80"/>
      <c r="Y608" s="80"/>
      <c r="Z608" s="80"/>
      <c r="AA608" s="80"/>
      <c r="AB608" s="91"/>
      <c r="AC608" s="80"/>
      <c r="AD608" s="24"/>
      <c r="AE608" s="24"/>
      <c r="AF608" s="24"/>
      <c r="AG608" s="24"/>
      <c r="AH608" s="24"/>
      <c r="AI608" s="24"/>
      <c r="AJ608" s="24"/>
      <c r="AK608" s="24"/>
      <c r="AL608" s="24"/>
      <c r="AM608" s="24"/>
      <c r="AN608" s="24"/>
      <c r="AO608" s="24"/>
      <c r="AP608" s="24"/>
      <c r="AQ608" s="24"/>
      <c r="AR608" s="24"/>
      <c r="AS608" s="18"/>
      <c r="AT608" s="18"/>
      <c r="AU608" s="18"/>
      <c r="AV608" s="18"/>
      <c r="AW608" s="18"/>
      <c r="AX608" s="18"/>
      <c r="AY608" s="18"/>
      <c r="AZ608" s="18"/>
    </row>
    <row r="609" spans="1:52" x14ac:dyDescent="0.25">
      <c r="A609" s="80"/>
      <c r="B609" s="80"/>
      <c r="C609" s="113"/>
      <c r="D609" s="80"/>
      <c r="E609" s="80"/>
      <c r="F609" s="80"/>
      <c r="G609" s="80"/>
      <c r="H609" s="80"/>
      <c r="I609" s="80"/>
      <c r="J609" s="80"/>
      <c r="K609" s="87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24"/>
      <c r="W609" s="24"/>
      <c r="X609" s="80"/>
      <c r="Y609" s="80"/>
      <c r="Z609" s="80"/>
      <c r="AA609" s="80"/>
      <c r="AB609" s="91"/>
      <c r="AC609" s="80"/>
      <c r="AD609" s="24"/>
      <c r="AE609" s="24"/>
      <c r="AF609" s="24"/>
      <c r="AG609" s="24"/>
      <c r="AH609" s="24"/>
      <c r="AI609" s="24"/>
      <c r="AJ609" s="24"/>
      <c r="AK609" s="24"/>
      <c r="AL609" s="24"/>
      <c r="AM609" s="24"/>
      <c r="AN609" s="24"/>
      <c r="AO609" s="24"/>
      <c r="AP609" s="24"/>
      <c r="AQ609" s="24"/>
      <c r="AR609" s="24"/>
      <c r="AS609" s="18"/>
      <c r="AT609" s="18"/>
      <c r="AU609" s="18"/>
      <c r="AV609" s="18"/>
      <c r="AW609" s="18"/>
      <c r="AX609" s="18"/>
      <c r="AY609" s="18"/>
      <c r="AZ609" s="18"/>
    </row>
    <row r="610" spans="1:52" x14ac:dyDescent="0.25">
      <c r="A610" s="80"/>
      <c r="B610" s="80"/>
      <c r="C610" s="113"/>
      <c r="D610" s="80"/>
      <c r="E610" s="80"/>
      <c r="F610" s="80"/>
      <c r="G610" s="80"/>
      <c r="H610" s="80"/>
      <c r="I610" s="80"/>
      <c r="J610" s="80"/>
      <c r="K610" s="87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24"/>
      <c r="W610" s="24"/>
      <c r="X610" s="80"/>
      <c r="Y610" s="80"/>
      <c r="Z610" s="80"/>
      <c r="AA610" s="80"/>
      <c r="AB610" s="91"/>
      <c r="AC610" s="80"/>
      <c r="AD610" s="24"/>
      <c r="AE610" s="24"/>
      <c r="AF610" s="24"/>
      <c r="AG610" s="24"/>
      <c r="AH610" s="24"/>
      <c r="AI610" s="24"/>
      <c r="AJ610" s="24"/>
      <c r="AK610" s="24"/>
      <c r="AL610" s="24"/>
      <c r="AM610" s="24"/>
      <c r="AN610" s="24"/>
      <c r="AO610" s="24"/>
      <c r="AP610" s="24"/>
      <c r="AQ610" s="24"/>
      <c r="AR610" s="24"/>
      <c r="AS610" s="18"/>
      <c r="AT610" s="18"/>
      <c r="AU610" s="18"/>
      <c r="AV610" s="18"/>
      <c r="AW610" s="18"/>
      <c r="AX610" s="18"/>
      <c r="AY610" s="18"/>
      <c r="AZ610" s="18"/>
    </row>
    <row r="611" spans="1:52" x14ac:dyDescent="0.25">
      <c r="A611" s="80"/>
      <c r="B611" s="80"/>
      <c r="C611" s="113"/>
      <c r="D611" s="80"/>
      <c r="E611" s="80"/>
      <c r="F611" s="80"/>
      <c r="G611" s="80"/>
      <c r="H611" s="80"/>
      <c r="I611" s="80"/>
      <c r="J611" s="80"/>
      <c r="K611" s="87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24"/>
      <c r="W611" s="24"/>
      <c r="X611" s="80"/>
      <c r="Y611" s="80"/>
      <c r="Z611" s="80"/>
      <c r="AA611" s="80"/>
      <c r="AB611" s="91"/>
      <c r="AC611" s="80"/>
      <c r="AD611" s="24"/>
      <c r="AE611" s="24"/>
      <c r="AF611" s="24"/>
      <c r="AG611" s="24"/>
      <c r="AH611" s="24"/>
      <c r="AI611" s="24"/>
      <c r="AJ611" s="24"/>
      <c r="AK611" s="24"/>
      <c r="AL611" s="24"/>
      <c r="AM611" s="24"/>
      <c r="AN611" s="24"/>
      <c r="AO611" s="24"/>
      <c r="AP611" s="24"/>
      <c r="AQ611" s="24"/>
      <c r="AR611" s="24"/>
      <c r="AS611" s="18"/>
      <c r="AT611" s="18"/>
      <c r="AU611" s="18"/>
      <c r="AV611" s="18"/>
      <c r="AW611" s="18"/>
      <c r="AX611" s="18"/>
      <c r="AY611" s="18"/>
      <c r="AZ611" s="18"/>
    </row>
    <row r="612" spans="1:52" x14ac:dyDescent="0.25">
      <c r="A612" s="80"/>
      <c r="B612" s="80"/>
      <c r="C612" s="113"/>
      <c r="D612" s="80"/>
      <c r="E612" s="80"/>
      <c r="F612" s="80"/>
      <c r="G612" s="80"/>
      <c r="H612" s="80"/>
      <c r="I612" s="80"/>
      <c r="J612" s="80"/>
      <c r="K612" s="87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24"/>
      <c r="W612" s="24"/>
      <c r="X612" s="80"/>
      <c r="Y612" s="80"/>
      <c r="Z612" s="80"/>
      <c r="AA612" s="80"/>
      <c r="AB612" s="91"/>
      <c r="AC612" s="80"/>
      <c r="AD612" s="24"/>
      <c r="AE612" s="24"/>
      <c r="AF612" s="24"/>
      <c r="AG612" s="24"/>
      <c r="AH612" s="24"/>
      <c r="AI612" s="24"/>
      <c r="AJ612" s="24"/>
      <c r="AK612" s="24"/>
      <c r="AL612" s="24"/>
      <c r="AM612" s="24"/>
      <c r="AN612" s="24"/>
      <c r="AO612" s="24"/>
      <c r="AP612" s="24"/>
      <c r="AQ612" s="24"/>
      <c r="AR612" s="24"/>
      <c r="AS612" s="18"/>
      <c r="AT612" s="18"/>
      <c r="AU612" s="18"/>
      <c r="AV612" s="18"/>
      <c r="AW612" s="18"/>
      <c r="AX612" s="18"/>
      <c r="AY612" s="18"/>
      <c r="AZ612" s="18"/>
    </row>
    <row r="613" spans="1:52" x14ac:dyDescent="0.25">
      <c r="A613" s="80"/>
      <c r="B613" s="80"/>
      <c r="C613" s="113"/>
      <c r="D613" s="80"/>
      <c r="E613" s="80"/>
      <c r="F613" s="80"/>
      <c r="G613" s="80"/>
      <c r="H613" s="80"/>
      <c r="I613" s="80"/>
      <c r="J613" s="80"/>
      <c r="K613" s="87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24"/>
      <c r="W613" s="24"/>
      <c r="X613" s="80"/>
      <c r="Y613" s="80"/>
      <c r="Z613" s="80"/>
      <c r="AA613" s="80"/>
      <c r="AB613" s="91"/>
      <c r="AC613" s="80"/>
      <c r="AD613" s="24"/>
      <c r="AE613" s="24"/>
      <c r="AF613" s="24"/>
      <c r="AG613" s="24"/>
      <c r="AH613" s="24"/>
      <c r="AI613" s="24"/>
      <c r="AJ613" s="24"/>
      <c r="AK613" s="24"/>
      <c r="AL613" s="24"/>
      <c r="AM613" s="24"/>
      <c r="AN613" s="24"/>
      <c r="AO613" s="24"/>
      <c r="AP613" s="24"/>
      <c r="AQ613" s="24"/>
      <c r="AR613" s="24"/>
      <c r="AS613" s="18"/>
      <c r="AT613" s="18"/>
      <c r="AU613" s="18"/>
      <c r="AV613" s="18"/>
      <c r="AW613" s="18"/>
      <c r="AX613" s="18"/>
      <c r="AY613" s="18"/>
      <c r="AZ613" s="18"/>
    </row>
    <row r="614" spans="1:52" x14ac:dyDescent="0.25">
      <c r="A614" s="80"/>
      <c r="B614" s="80"/>
      <c r="C614" s="113"/>
      <c r="D614" s="80"/>
      <c r="E614" s="80"/>
      <c r="F614" s="80"/>
      <c r="G614" s="80"/>
      <c r="H614" s="80"/>
      <c r="I614" s="80"/>
      <c r="J614" s="80"/>
      <c r="K614" s="87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24"/>
      <c r="W614" s="24"/>
      <c r="X614" s="80"/>
      <c r="Y614" s="80"/>
      <c r="Z614" s="80"/>
      <c r="AA614" s="80"/>
      <c r="AB614" s="91"/>
      <c r="AC614" s="80"/>
      <c r="AD614" s="24"/>
      <c r="AE614" s="24"/>
      <c r="AF614" s="24"/>
      <c r="AG614" s="24"/>
      <c r="AH614" s="24"/>
      <c r="AI614" s="24"/>
      <c r="AJ614" s="24"/>
      <c r="AK614" s="24"/>
      <c r="AL614" s="24"/>
      <c r="AM614" s="24"/>
      <c r="AN614" s="24"/>
      <c r="AO614" s="24"/>
      <c r="AP614" s="24"/>
      <c r="AQ614" s="24"/>
      <c r="AR614" s="24"/>
      <c r="AS614" s="18"/>
      <c r="AT614" s="18"/>
      <c r="AU614" s="18"/>
      <c r="AV614" s="18"/>
      <c r="AW614" s="18"/>
      <c r="AX614" s="18"/>
      <c r="AY614" s="18"/>
      <c r="AZ614" s="18"/>
    </row>
    <row r="615" spans="1:52" x14ac:dyDescent="0.25">
      <c r="A615" s="80"/>
      <c r="B615" s="80"/>
      <c r="C615" s="113"/>
      <c r="D615" s="80"/>
      <c r="E615" s="80"/>
      <c r="F615" s="80"/>
      <c r="G615" s="80"/>
      <c r="H615" s="80"/>
      <c r="I615" s="80"/>
      <c r="J615" s="80"/>
      <c r="K615" s="87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24"/>
      <c r="W615" s="24"/>
      <c r="X615" s="80"/>
      <c r="Y615" s="80"/>
      <c r="Z615" s="80"/>
      <c r="AA615" s="80"/>
      <c r="AB615" s="91"/>
      <c r="AC615" s="80"/>
      <c r="AD615" s="24"/>
      <c r="AE615" s="24"/>
      <c r="AF615" s="24"/>
      <c r="AG615" s="24"/>
      <c r="AH615" s="24"/>
      <c r="AI615" s="24"/>
      <c r="AJ615" s="24"/>
      <c r="AK615" s="24"/>
      <c r="AL615" s="24"/>
      <c r="AM615" s="24"/>
      <c r="AN615" s="24"/>
      <c r="AO615" s="24"/>
      <c r="AP615" s="24"/>
      <c r="AQ615" s="24"/>
      <c r="AR615" s="24"/>
      <c r="AS615" s="18"/>
      <c r="AT615" s="18"/>
      <c r="AU615" s="18"/>
      <c r="AV615" s="18"/>
      <c r="AW615" s="18"/>
      <c r="AX615" s="18"/>
      <c r="AY615" s="18"/>
      <c r="AZ615" s="18"/>
    </row>
    <row r="616" spans="1:52" x14ac:dyDescent="0.25">
      <c r="A616" s="80"/>
      <c r="B616" s="80"/>
      <c r="C616" s="113"/>
      <c r="D616" s="80"/>
      <c r="E616" s="80"/>
      <c r="F616" s="80"/>
      <c r="G616" s="80"/>
      <c r="H616" s="80"/>
      <c r="I616" s="80"/>
      <c r="J616" s="80"/>
      <c r="K616" s="87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24"/>
      <c r="W616" s="24"/>
      <c r="X616" s="80"/>
      <c r="Y616" s="80"/>
      <c r="Z616" s="80"/>
      <c r="AA616" s="80"/>
      <c r="AB616" s="91"/>
      <c r="AC616" s="80"/>
      <c r="AD616" s="24"/>
      <c r="AE616" s="24"/>
      <c r="AF616" s="24"/>
      <c r="AG616" s="24"/>
      <c r="AH616" s="24"/>
      <c r="AI616" s="24"/>
      <c r="AJ616" s="24"/>
      <c r="AK616" s="24"/>
      <c r="AL616" s="24"/>
      <c r="AM616" s="24"/>
      <c r="AN616" s="24"/>
      <c r="AO616" s="24"/>
      <c r="AP616" s="24"/>
      <c r="AQ616" s="24"/>
      <c r="AR616" s="24"/>
      <c r="AS616" s="18"/>
      <c r="AT616" s="18"/>
      <c r="AU616" s="18"/>
      <c r="AV616" s="18"/>
      <c r="AW616" s="18"/>
      <c r="AX616" s="18"/>
      <c r="AY616" s="18"/>
      <c r="AZ616" s="18"/>
    </row>
    <row r="617" spans="1:52" x14ac:dyDescent="0.25">
      <c r="A617" s="80"/>
      <c r="B617" s="80"/>
      <c r="C617" s="113"/>
      <c r="D617" s="80"/>
      <c r="E617" s="80"/>
      <c r="F617" s="80"/>
      <c r="G617" s="80"/>
      <c r="H617" s="80"/>
      <c r="I617" s="80"/>
      <c r="J617" s="80"/>
      <c r="K617" s="87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24"/>
      <c r="W617" s="24"/>
      <c r="X617" s="80"/>
      <c r="Y617" s="80"/>
      <c r="Z617" s="80"/>
      <c r="AA617" s="80"/>
      <c r="AB617" s="91"/>
      <c r="AC617" s="80"/>
      <c r="AD617" s="24"/>
      <c r="AE617" s="24"/>
      <c r="AF617" s="24"/>
      <c r="AG617" s="24"/>
      <c r="AH617" s="24"/>
      <c r="AI617" s="24"/>
      <c r="AJ617" s="24"/>
      <c r="AK617" s="24"/>
      <c r="AL617" s="24"/>
      <c r="AM617" s="24"/>
      <c r="AN617" s="24"/>
      <c r="AO617" s="24"/>
      <c r="AP617" s="24"/>
      <c r="AQ617" s="24"/>
      <c r="AR617" s="24"/>
      <c r="AS617" s="18"/>
      <c r="AT617" s="18"/>
      <c r="AU617" s="18"/>
      <c r="AV617" s="18"/>
      <c r="AW617" s="18"/>
      <c r="AX617" s="18"/>
      <c r="AY617" s="18"/>
      <c r="AZ617" s="18"/>
    </row>
    <row r="618" spans="1:52" x14ac:dyDescent="0.25">
      <c r="A618" s="80"/>
      <c r="B618" s="80"/>
      <c r="C618" s="113"/>
      <c r="D618" s="80"/>
      <c r="E618" s="80"/>
      <c r="F618" s="80"/>
      <c r="G618" s="80"/>
      <c r="H618" s="80"/>
      <c r="I618" s="80"/>
      <c r="J618" s="80"/>
      <c r="K618" s="87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24"/>
      <c r="W618" s="24"/>
      <c r="X618" s="80"/>
      <c r="Y618" s="80"/>
      <c r="Z618" s="80"/>
      <c r="AA618" s="80"/>
      <c r="AB618" s="91"/>
      <c r="AC618" s="80"/>
      <c r="AD618" s="24"/>
      <c r="AE618" s="24"/>
      <c r="AF618" s="24"/>
      <c r="AG618" s="24"/>
      <c r="AH618" s="24"/>
      <c r="AI618" s="24"/>
      <c r="AJ618" s="24"/>
      <c r="AK618" s="24"/>
      <c r="AL618" s="24"/>
      <c r="AM618" s="24"/>
      <c r="AN618" s="24"/>
      <c r="AO618" s="24"/>
      <c r="AP618" s="24"/>
      <c r="AQ618" s="24"/>
      <c r="AR618" s="24"/>
      <c r="AS618" s="18"/>
      <c r="AT618" s="18"/>
      <c r="AU618" s="18"/>
      <c r="AV618" s="18"/>
      <c r="AW618" s="18"/>
      <c r="AX618" s="18"/>
      <c r="AY618" s="18"/>
      <c r="AZ618" s="18"/>
    </row>
    <row r="619" spans="1:52" x14ac:dyDescent="0.25">
      <c r="A619" s="80"/>
      <c r="B619" s="80"/>
      <c r="C619" s="113"/>
      <c r="D619" s="80"/>
      <c r="E619" s="80"/>
      <c r="F619" s="80"/>
      <c r="G619" s="80"/>
      <c r="H619" s="80"/>
      <c r="I619" s="80"/>
      <c r="J619" s="80"/>
      <c r="K619" s="87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24"/>
      <c r="W619" s="24"/>
      <c r="X619" s="80"/>
      <c r="Y619" s="80"/>
      <c r="Z619" s="80"/>
      <c r="AA619" s="80"/>
      <c r="AB619" s="91"/>
      <c r="AC619" s="80"/>
      <c r="AD619" s="24"/>
      <c r="AE619" s="24"/>
      <c r="AF619" s="24"/>
      <c r="AG619" s="24"/>
      <c r="AH619" s="24"/>
      <c r="AI619" s="24"/>
      <c r="AJ619" s="24"/>
      <c r="AK619" s="24"/>
      <c r="AL619" s="24"/>
      <c r="AM619" s="24"/>
      <c r="AN619" s="24"/>
      <c r="AO619" s="24"/>
      <c r="AP619" s="24"/>
      <c r="AQ619" s="24"/>
      <c r="AR619" s="24"/>
      <c r="AS619" s="18"/>
      <c r="AT619" s="18"/>
      <c r="AU619" s="18"/>
      <c r="AV619" s="18"/>
      <c r="AW619" s="18"/>
      <c r="AX619" s="18"/>
      <c r="AY619" s="18"/>
      <c r="AZ619" s="18"/>
    </row>
    <row r="620" spans="1:52" x14ac:dyDescent="0.25">
      <c r="A620" s="80"/>
      <c r="B620" s="80"/>
      <c r="C620" s="113"/>
      <c r="D620" s="80"/>
      <c r="E620" s="80"/>
      <c r="F620" s="80"/>
      <c r="G620" s="80"/>
      <c r="H620" s="80"/>
      <c r="I620" s="80"/>
      <c r="J620" s="80"/>
      <c r="K620" s="87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24"/>
      <c r="W620" s="24"/>
      <c r="X620" s="80"/>
      <c r="Y620" s="80"/>
      <c r="Z620" s="80"/>
      <c r="AA620" s="80"/>
      <c r="AB620" s="91"/>
      <c r="AC620" s="80"/>
      <c r="AD620" s="24"/>
      <c r="AE620" s="24"/>
      <c r="AF620" s="24"/>
      <c r="AG620" s="24"/>
      <c r="AH620" s="24"/>
      <c r="AI620" s="24"/>
      <c r="AJ620" s="24"/>
      <c r="AK620" s="24"/>
      <c r="AL620" s="24"/>
      <c r="AM620" s="24"/>
      <c r="AN620" s="24"/>
      <c r="AO620" s="24"/>
      <c r="AP620" s="24"/>
      <c r="AQ620" s="24"/>
      <c r="AR620" s="24"/>
      <c r="AS620" s="18"/>
      <c r="AT620" s="18"/>
      <c r="AU620" s="18"/>
      <c r="AV620" s="18"/>
      <c r="AW620" s="18"/>
      <c r="AX620" s="18"/>
      <c r="AY620" s="18"/>
      <c r="AZ620" s="18"/>
    </row>
    <row r="621" spans="1:52" x14ac:dyDescent="0.25">
      <c r="A621" s="80"/>
      <c r="B621" s="80"/>
      <c r="C621" s="113"/>
      <c r="D621" s="80"/>
      <c r="E621" s="80"/>
      <c r="F621" s="80"/>
      <c r="G621" s="80"/>
      <c r="H621" s="80"/>
      <c r="I621" s="80"/>
      <c r="J621" s="80"/>
      <c r="K621" s="87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24"/>
      <c r="W621" s="24"/>
      <c r="X621" s="80"/>
      <c r="Y621" s="80"/>
      <c r="Z621" s="80"/>
      <c r="AA621" s="80"/>
      <c r="AB621" s="91"/>
      <c r="AC621" s="80"/>
      <c r="AD621" s="24"/>
      <c r="AE621" s="24"/>
      <c r="AF621" s="24"/>
      <c r="AG621" s="24"/>
      <c r="AH621" s="24"/>
      <c r="AI621" s="24"/>
      <c r="AJ621" s="24"/>
      <c r="AK621" s="24"/>
      <c r="AL621" s="24"/>
      <c r="AM621" s="24"/>
      <c r="AN621" s="24"/>
      <c r="AO621" s="24"/>
      <c r="AP621" s="24"/>
      <c r="AQ621" s="24"/>
      <c r="AR621" s="24"/>
      <c r="AS621" s="18"/>
      <c r="AT621" s="18"/>
      <c r="AU621" s="18"/>
      <c r="AV621" s="18"/>
      <c r="AW621" s="18"/>
      <c r="AX621" s="18"/>
      <c r="AY621" s="18"/>
      <c r="AZ621" s="18"/>
    </row>
    <row r="622" spans="1:52" x14ac:dyDescent="0.25">
      <c r="A622" s="80"/>
      <c r="B622" s="80"/>
      <c r="C622" s="113"/>
      <c r="D622" s="80"/>
      <c r="E622" s="80"/>
      <c r="F622" s="80"/>
      <c r="G622" s="80"/>
      <c r="H622" s="80"/>
      <c r="I622" s="80"/>
      <c r="J622" s="80"/>
      <c r="K622" s="87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24"/>
      <c r="W622" s="24"/>
      <c r="X622" s="80"/>
      <c r="Y622" s="80"/>
      <c r="Z622" s="80"/>
      <c r="AA622" s="80"/>
      <c r="AB622" s="91"/>
      <c r="AC622" s="80"/>
      <c r="AD622" s="24"/>
      <c r="AE622" s="24"/>
      <c r="AF622" s="24"/>
      <c r="AG622" s="24"/>
      <c r="AH622" s="24"/>
      <c r="AI622" s="24"/>
      <c r="AJ622" s="24"/>
      <c r="AK622" s="24"/>
      <c r="AL622" s="24"/>
      <c r="AM622" s="24"/>
      <c r="AN622" s="24"/>
      <c r="AO622" s="24"/>
      <c r="AP622" s="24"/>
      <c r="AQ622" s="24"/>
      <c r="AR622" s="24"/>
      <c r="AS622" s="18"/>
      <c r="AT622" s="18"/>
      <c r="AU622" s="18"/>
      <c r="AV622" s="18"/>
      <c r="AW622" s="18"/>
      <c r="AX622" s="18"/>
      <c r="AY622" s="18"/>
      <c r="AZ622" s="18"/>
    </row>
    <row r="623" spans="1:52" x14ac:dyDescent="0.25">
      <c r="A623" s="80"/>
      <c r="B623" s="80"/>
      <c r="C623" s="113"/>
      <c r="D623" s="80"/>
      <c r="E623" s="80"/>
      <c r="F623" s="80"/>
      <c r="G623" s="80"/>
      <c r="H623" s="80"/>
      <c r="I623" s="80"/>
      <c r="J623" s="80"/>
      <c r="K623" s="87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24"/>
      <c r="W623" s="24"/>
      <c r="X623" s="80"/>
      <c r="Y623" s="80"/>
      <c r="Z623" s="80"/>
      <c r="AA623" s="80"/>
      <c r="AB623" s="91"/>
      <c r="AC623" s="80"/>
      <c r="AD623" s="24"/>
      <c r="AE623" s="24"/>
      <c r="AF623" s="24"/>
      <c r="AG623" s="24"/>
      <c r="AH623" s="24"/>
      <c r="AI623" s="24"/>
      <c r="AJ623" s="24"/>
      <c r="AK623" s="24"/>
      <c r="AL623" s="24"/>
      <c r="AM623" s="24"/>
      <c r="AN623" s="24"/>
      <c r="AO623" s="24"/>
      <c r="AP623" s="24"/>
      <c r="AQ623" s="24"/>
      <c r="AR623" s="24"/>
      <c r="AS623" s="18"/>
      <c r="AT623" s="18"/>
      <c r="AU623" s="18"/>
      <c r="AV623" s="18"/>
      <c r="AW623" s="18"/>
      <c r="AX623" s="18"/>
      <c r="AY623" s="18"/>
      <c r="AZ623" s="18"/>
    </row>
    <row r="624" spans="1:52" x14ac:dyDescent="0.25">
      <c r="A624" s="80"/>
      <c r="B624" s="80"/>
      <c r="C624" s="113"/>
      <c r="D624" s="80"/>
      <c r="E624" s="80"/>
      <c r="F624" s="80"/>
      <c r="G624" s="80"/>
      <c r="H624" s="80"/>
      <c r="I624" s="80"/>
      <c r="J624" s="80"/>
      <c r="K624" s="87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24"/>
      <c r="W624" s="24"/>
      <c r="X624" s="80"/>
      <c r="Y624" s="80"/>
      <c r="Z624" s="80"/>
      <c r="AA624" s="80"/>
      <c r="AB624" s="91"/>
      <c r="AC624" s="80"/>
      <c r="AD624" s="24"/>
      <c r="AE624" s="24"/>
      <c r="AF624" s="24"/>
      <c r="AG624" s="24"/>
      <c r="AH624" s="24"/>
      <c r="AI624" s="24"/>
      <c r="AJ624" s="24"/>
      <c r="AK624" s="24"/>
      <c r="AL624" s="24"/>
      <c r="AM624" s="24"/>
      <c r="AN624" s="24"/>
      <c r="AO624" s="24"/>
      <c r="AP624" s="24"/>
      <c r="AQ624" s="24"/>
      <c r="AR624" s="24"/>
      <c r="AS624" s="18"/>
      <c r="AT624" s="18"/>
      <c r="AU624" s="18"/>
      <c r="AV624" s="18"/>
      <c r="AW624" s="18"/>
      <c r="AX624" s="18"/>
      <c r="AY624" s="18"/>
      <c r="AZ624" s="18"/>
    </row>
    <row r="625" spans="1:52" x14ac:dyDescent="0.25">
      <c r="A625" s="80"/>
      <c r="B625" s="80"/>
      <c r="C625" s="113"/>
      <c r="D625" s="80"/>
      <c r="E625" s="80"/>
      <c r="F625" s="80"/>
      <c r="G625" s="80"/>
      <c r="H625" s="80"/>
      <c r="I625" s="80"/>
      <c r="J625" s="80"/>
      <c r="K625" s="87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24"/>
      <c r="W625" s="24"/>
      <c r="X625" s="80"/>
      <c r="Y625" s="80"/>
      <c r="Z625" s="80"/>
      <c r="AA625" s="80"/>
      <c r="AB625" s="91"/>
      <c r="AC625" s="80"/>
      <c r="AD625" s="24"/>
      <c r="AE625" s="24"/>
      <c r="AF625" s="24"/>
      <c r="AG625" s="24"/>
      <c r="AH625" s="24"/>
      <c r="AI625" s="24"/>
      <c r="AJ625" s="24"/>
      <c r="AK625" s="24"/>
      <c r="AL625" s="24"/>
      <c r="AM625" s="24"/>
      <c r="AN625" s="24"/>
      <c r="AO625" s="24"/>
      <c r="AP625" s="24"/>
      <c r="AQ625" s="24"/>
      <c r="AR625" s="24"/>
      <c r="AS625" s="18"/>
      <c r="AT625" s="18"/>
      <c r="AU625" s="18"/>
      <c r="AV625" s="18"/>
      <c r="AW625" s="18"/>
      <c r="AX625" s="18"/>
      <c r="AY625" s="18"/>
      <c r="AZ625" s="18"/>
    </row>
    <row r="626" spans="1:52" x14ac:dyDescent="0.25">
      <c r="A626" s="80"/>
      <c r="B626" s="80"/>
      <c r="C626" s="113"/>
      <c r="D626" s="80"/>
      <c r="E626" s="80"/>
      <c r="F626" s="80"/>
      <c r="G626" s="80"/>
      <c r="H626" s="80"/>
      <c r="I626" s="80"/>
      <c r="J626" s="80"/>
      <c r="K626" s="87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24"/>
      <c r="W626" s="24"/>
      <c r="X626" s="80"/>
      <c r="Y626" s="80"/>
      <c r="Z626" s="80"/>
      <c r="AA626" s="80"/>
      <c r="AB626" s="91"/>
      <c r="AC626" s="80"/>
      <c r="AD626" s="24"/>
      <c r="AE626" s="24"/>
      <c r="AF626" s="24"/>
      <c r="AG626" s="24"/>
      <c r="AH626" s="24"/>
      <c r="AI626" s="24"/>
      <c r="AJ626" s="24"/>
      <c r="AK626" s="24"/>
      <c r="AL626" s="24"/>
      <c r="AM626" s="24"/>
      <c r="AN626" s="24"/>
      <c r="AO626" s="24"/>
      <c r="AP626" s="24"/>
      <c r="AQ626" s="24"/>
      <c r="AR626" s="24"/>
      <c r="AS626" s="18"/>
      <c r="AT626" s="18"/>
      <c r="AU626" s="18"/>
      <c r="AV626" s="18"/>
      <c r="AW626" s="18"/>
      <c r="AX626" s="18"/>
      <c r="AY626" s="18"/>
      <c r="AZ626" s="18"/>
    </row>
    <row r="627" spans="1:52" x14ac:dyDescent="0.25">
      <c r="A627" s="80"/>
      <c r="B627" s="80"/>
      <c r="C627" s="113"/>
      <c r="D627" s="80"/>
      <c r="E627" s="80"/>
      <c r="F627" s="80"/>
      <c r="G627" s="80"/>
      <c r="H627" s="80"/>
      <c r="I627" s="80"/>
      <c r="J627" s="80"/>
      <c r="K627" s="87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24"/>
      <c r="W627" s="24"/>
      <c r="X627" s="80"/>
      <c r="Y627" s="80"/>
      <c r="Z627" s="80"/>
      <c r="AA627" s="80"/>
      <c r="AB627" s="91"/>
      <c r="AC627" s="80"/>
      <c r="AD627" s="24"/>
      <c r="AE627" s="24"/>
      <c r="AF627" s="24"/>
      <c r="AG627" s="24"/>
      <c r="AH627" s="24"/>
      <c r="AI627" s="24"/>
      <c r="AJ627" s="24"/>
      <c r="AK627" s="24"/>
      <c r="AL627" s="24"/>
      <c r="AM627" s="24"/>
      <c r="AN627" s="24"/>
      <c r="AO627" s="24"/>
      <c r="AP627" s="24"/>
      <c r="AQ627" s="24"/>
      <c r="AR627" s="24"/>
      <c r="AS627" s="18"/>
      <c r="AT627" s="18"/>
      <c r="AU627" s="18"/>
      <c r="AV627" s="18"/>
      <c r="AW627" s="18"/>
      <c r="AX627" s="18"/>
      <c r="AY627" s="18"/>
      <c r="AZ627" s="18"/>
    </row>
    <row r="628" spans="1:52" x14ac:dyDescent="0.25">
      <c r="A628" s="80"/>
      <c r="B628" s="80"/>
      <c r="C628" s="113"/>
      <c r="D628" s="80"/>
      <c r="E628" s="80"/>
      <c r="F628" s="80"/>
      <c r="G628" s="80"/>
      <c r="H628" s="80"/>
      <c r="I628" s="80"/>
      <c r="J628" s="80"/>
      <c r="K628" s="87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24"/>
      <c r="W628" s="24"/>
      <c r="X628" s="80"/>
      <c r="Y628" s="80"/>
      <c r="Z628" s="80"/>
      <c r="AA628" s="80"/>
      <c r="AB628" s="91"/>
      <c r="AC628" s="80"/>
      <c r="AD628" s="24"/>
      <c r="AE628" s="24"/>
      <c r="AF628" s="24"/>
      <c r="AG628" s="24"/>
      <c r="AH628" s="24"/>
      <c r="AI628" s="24"/>
      <c r="AJ628" s="24"/>
      <c r="AK628" s="24"/>
      <c r="AL628" s="24"/>
      <c r="AM628" s="24"/>
      <c r="AN628" s="24"/>
      <c r="AO628" s="24"/>
      <c r="AP628" s="24"/>
      <c r="AQ628" s="24"/>
      <c r="AR628" s="24"/>
      <c r="AS628" s="18"/>
      <c r="AT628" s="18"/>
      <c r="AU628" s="18"/>
      <c r="AV628" s="18"/>
      <c r="AW628" s="18"/>
      <c r="AX628" s="18"/>
      <c r="AY628" s="18"/>
      <c r="AZ628" s="18"/>
    </row>
    <row r="629" spans="1:52" x14ac:dyDescent="0.25">
      <c r="A629" s="80"/>
      <c r="B629" s="80"/>
      <c r="C629" s="113"/>
      <c r="D629" s="80"/>
      <c r="E629" s="80"/>
      <c r="F629" s="80"/>
      <c r="G629" s="80"/>
      <c r="H629" s="80"/>
      <c r="I629" s="80"/>
      <c r="J629" s="80"/>
      <c r="K629" s="87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24"/>
      <c r="W629" s="24"/>
      <c r="X629" s="80"/>
      <c r="Y629" s="80"/>
      <c r="Z629" s="80"/>
      <c r="AA629" s="80"/>
      <c r="AB629" s="91"/>
      <c r="AC629" s="80"/>
      <c r="AD629" s="24"/>
      <c r="AE629" s="24"/>
      <c r="AF629" s="24"/>
      <c r="AG629" s="24"/>
      <c r="AH629" s="24"/>
      <c r="AI629" s="24"/>
      <c r="AJ629" s="24"/>
      <c r="AK629" s="24"/>
      <c r="AL629" s="24"/>
      <c r="AM629" s="24"/>
      <c r="AN629" s="24"/>
      <c r="AO629" s="24"/>
      <c r="AP629" s="24"/>
      <c r="AQ629" s="24"/>
      <c r="AR629" s="24"/>
      <c r="AS629" s="18"/>
      <c r="AT629" s="18"/>
      <c r="AU629" s="18"/>
      <c r="AV629" s="18"/>
      <c r="AW629" s="18"/>
      <c r="AX629" s="18"/>
      <c r="AY629" s="18"/>
      <c r="AZ629" s="18"/>
    </row>
    <row r="630" spans="1:52" x14ac:dyDescent="0.25">
      <c r="A630" s="80"/>
      <c r="B630" s="80"/>
      <c r="C630" s="113"/>
      <c r="D630" s="80"/>
      <c r="E630" s="80"/>
      <c r="F630" s="80"/>
      <c r="G630" s="80"/>
      <c r="H630" s="80"/>
      <c r="I630" s="80"/>
      <c r="J630" s="80"/>
      <c r="K630" s="87"/>
      <c r="L630" s="80"/>
      <c r="M630" s="80"/>
      <c r="N630" s="80"/>
      <c r="O630" s="80"/>
      <c r="P630" s="80"/>
      <c r="Q630" s="80"/>
      <c r="R630" s="80"/>
      <c r="S630" s="80"/>
      <c r="T630" s="80"/>
      <c r="U630" s="80"/>
      <c r="V630" s="24"/>
      <c r="W630" s="24"/>
      <c r="X630" s="80"/>
      <c r="Y630" s="80"/>
      <c r="Z630" s="80"/>
      <c r="AA630" s="80"/>
      <c r="AB630" s="91"/>
      <c r="AC630" s="80"/>
      <c r="AD630" s="24"/>
      <c r="AE630" s="24"/>
      <c r="AF630" s="24"/>
      <c r="AG630" s="24"/>
      <c r="AH630" s="24"/>
      <c r="AI630" s="24"/>
      <c r="AJ630" s="24"/>
      <c r="AK630" s="24"/>
      <c r="AL630" s="24"/>
      <c r="AM630" s="24"/>
      <c r="AN630" s="24"/>
      <c r="AO630" s="24"/>
      <c r="AP630" s="24"/>
      <c r="AQ630" s="24"/>
      <c r="AR630" s="24"/>
      <c r="AS630" s="18"/>
      <c r="AT630" s="18"/>
      <c r="AU630" s="18"/>
      <c r="AV630" s="18"/>
      <c r="AW630" s="18"/>
      <c r="AX630" s="18"/>
      <c r="AY630" s="18"/>
      <c r="AZ630" s="18"/>
    </row>
    <row r="631" spans="1:52" x14ac:dyDescent="0.25">
      <c r="A631" s="80"/>
      <c r="B631" s="80"/>
      <c r="C631" s="113"/>
      <c r="D631" s="80"/>
      <c r="E631" s="80"/>
      <c r="F631" s="80"/>
      <c r="G631" s="80"/>
      <c r="H631" s="80"/>
      <c r="I631" s="80"/>
      <c r="J631" s="80"/>
      <c r="K631" s="87"/>
      <c r="L631" s="80"/>
      <c r="M631" s="80"/>
      <c r="N631" s="80"/>
      <c r="O631" s="80"/>
      <c r="P631" s="80"/>
      <c r="Q631" s="80"/>
      <c r="R631" s="80"/>
      <c r="S631" s="80"/>
      <c r="T631" s="80"/>
      <c r="U631" s="80"/>
      <c r="V631" s="24"/>
      <c r="W631" s="24"/>
      <c r="X631" s="80"/>
      <c r="Y631" s="80"/>
      <c r="Z631" s="80"/>
      <c r="AA631" s="80"/>
      <c r="AB631" s="91"/>
      <c r="AC631" s="80"/>
      <c r="AD631" s="24"/>
      <c r="AE631" s="24"/>
      <c r="AF631" s="24"/>
      <c r="AG631" s="24"/>
      <c r="AH631" s="24"/>
      <c r="AI631" s="24"/>
      <c r="AJ631" s="24"/>
      <c r="AK631" s="24"/>
      <c r="AL631" s="24"/>
      <c r="AM631" s="24"/>
      <c r="AN631" s="24"/>
      <c r="AO631" s="24"/>
      <c r="AP631" s="24"/>
      <c r="AQ631" s="24"/>
      <c r="AR631" s="24"/>
      <c r="AS631" s="18"/>
      <c r="AT631" s="18"/>
      <c r="AU631" s="18"/>
      <c r="AV631" s="18"/>
      <c r="AW631" s="18"/>
      <c r="AX631" s="18"/>
      <c r="AY631" s="18"/>
      <c r="AZ631" s="18"/>
    </row>
    <row r="632" spans="1:52" x14ac:dyDescent="0.25">
      <c r="A632" s="80"/>
      <c r="B632" s="80"/>
      <c r="C632" s="113"/>
      <c r="D632" s="80"/>
      <c r="E632" s="80"/>
      <c r="F632" s="80"/>
      <c r="G632" s="80"/>
      <c r="H632" s="80"/>
      <c r="I632" s="80"/>
      <c r="J632" s="80"/>
      <c r="K632" s="87"/>
      <c r="L632" s="80"/>
      <c r="M632" s="80"/>
      <c r="N632" s="80"/>
      <c r="O632" s="80"/>
      <c r="P632" s="80"/>
      <c r="Q632" s="80"/>
      <c r="R632" s="80"/>
      <c r="S632" s="80"/>
      <c r="T632" s="80"/>
      <c r="U632" s="80"/>
      <c r="V632" s="24"/>
      <c r="W632" s="24"/>
      <c r="X632" s="80"/>
      <c r="Y632" s="80"/>
      <c r="Z632" s="80"/>
      <c r="AA632" s="80"/>
      <c r="AB632" s="91"/>
      <c r="AC632" s="80"/>
      <c r="AD632" s="24"/>
      <c r="AE632" s="24"/>
      <c r="AF632" s="24"/>
      <c r="AG632" s="24"/>
      <c r="AH632" s="24"/>
      <c r="AI632" s="24"/>
      <c r="AJ632" s="24"/>
      <c r="AK632" s="24"/>
      <c r="AL632" s="24"/>
      <c r="AM632" s="24"/>
      <c r="AN632" s="24"/>
      <c r="AO632" s="24"/>
      <c r="AP632" s="24"/>
      <c r="AQ632" s="24"/>
      <c r="AR632" s="24"/>
      <c r="AS632" s="18"/>
      <c r="AT632" s="18"/>
      <c r="AU632" s="18"/>
      <c r="AV632" s="18"/>
      <c r="AW632" s="18"/>
      <c r="AX632" s="18"/>
      <c r="AY632" s="18"/>
      <c r="AZ632" s="18"/>
    </row>
    <row r="633" spans="1:52" x14ac:dyDescent="0.25">
      <c r="A633" s="80"/>
      <c r="B633" s="80"/>
      <c r="C633" s="113"/>
      <c r="D633" s="80"/>
      <c r="E633" s="80"/>
      <c r="F633" s="80"/>
      <c r="G633" s="80"/>
      <c r="H633" s="80"/>
      <c r="I633" s="80"/>
      <c r="J633" s="80"/>
      <c r="K633" s="87"/>
      <c r="L633" s="80"/>
      <c r="M633" s="80"/>
      <c r="N633" s="80"/>
      <c r="O633" s="80"/>
      <c r="P633" s="80"/>
      <c r="Q633" s="80"/>
      <c r="R633" s="80"/>
      <c r="S633" s="80"/>
      <c r="T633" s="80"/>
      <c r="U633" s="80"/>
      <c r="V633" s="24"/>
      <c r="W633" s="24"/>
      <c r="X633" s="80"/>
      <c r="Y633" s="80"/>
      <c r="Z633" s="80"/>
      <c r="AA633" s="80"/>
      <c r="AB633" s="91"/>
      <c r="AC633" s="80"/>
      <c r="AD633" s="24"/>
      <c r="AE633" s="24"/>
      <c r="AF633" s="24"/>
      <c r="AG633" s="24"/>
      <c r="AH633" s="24"/>
      <c r="AI633" s="24"/>
      <c r="AJ633" s="24"/>
      <c r="AK633" s="24"/>
      <c r="AL633" s="24"/>
      <c r="AM633" s="24"/>
      <c r="AN633" s="24"/>
      <c r="AO633" s="24"/>
      <c r="AP633" s="24"/>
      <c r="AQ633" s="24"/>
      <c r="AR633" s="24"/>
      <c r="AS633" s="18"/>
      <c r="AT633" s="18"/>
      <c r="AU633" s="18"/>
      <c r="AV633" s="18"/>
      <c r="AW633" s="18"/>
      <c r="AX633" s="18"/>
      <c r="AY633" s="18"/>
      <c r="AZ633" s="18"/>
    </row>
    <row r="634" spans="1:52" x14ac:dyDescent="0.25">
      <c r="A634" s="80"/>
      <c r="B634" s="80"/>
      <c r="C634" s="113"/>
      <c r="D634" s="80"/>
      <c r="E634" s="80"/>
      <c r="F634" s="80"/>
      <c r="G634" s="80"/>
      <c r="H634" s="80"/>
      <c r="I634" s="80"/>
      <c r="J634" s="80"/>
      <c r="K634" s="87"/>
      <c r="L634" s="80"/>
      <c r="M634" s="80"/>
      <c r="N634" s="80"/>
      <c r="O634" s="80"/>
      <c r="P634" s="80"/>
      <c r="Q634" s="80"/>
      <c r="R634" s="80"/>
      <c r="S634" s="80"/>
      <c r="T634" s="80"/>
      <c r="U634" s="80"/>
      <c r="V634" s="24"/>
      <c r="W634" s="24"/>
      <c r="X634" s="80"/>
      <c r="Y634" s="80"/>
      <c r="Z634" s="80"/>
      <c r="AA634" s="80"/>
      <c r="AB634" s="91"/>
      <c r="AC634" s="80"/>
      <c r="AD634" s="24"/>
      <c r="AE634" s="24"/>
      <c r="AF634" s="24"/>
      <c r="AG634" s="24"/>
      <c r="AH634" s="24"/>
      <c r="AI634" s="24"/>
      <c r="AJ634" s="24"/>
      <c r="AK634" s="24"/>
      <c r="AL634" s="24"/>
      <c r="AM634" s="24"/>
      <c r="AN634" s="24"/>
      <c r="AO634" s="24"/>
      <c r="AP634" s="24"/>
      <c r="AQ634" s="24"/>
      <c r="AR634" s="24"/>
      <c r="AS634" s="18"/>
      <c r="AT634" s="18"/>
      <c r="AU634" s="18"/>
      <c r="AV634" s="18"/>
      <c r="AW634" s="18"/>
      <c r="AX634" s="18"/>
      <c r="AY634" s="18"/>
      <c r="AZ634" s="18"/>
    </row>
    <row r="635" spans="1:52" x14ac:dyDescent="0.25">
      <c r="A635" s="80"/>
      <c r="B635" s="80"/>
      <c r="C635" s="113"/>
      <c r="D635" s="80"/>
      <c r="E635" s="80"/>
      <c r="F635" s="80"/>
      <c r="G635" s="80"/>
      <c r="H635" s="80"/>
      <c r="I635" s="80"/>
      <c r="J635" s="80"/>
      <c r="K635" s="87"/>
      <c r="L635" s="80"/>
      <c r="M635" s="80"/>
      <c r="N635" s="80"/>
      <c r="O635" s="80"/>
      <c r="P635" s="80"/>
      <c r="Q635" s="80"/>
      <c r="R635" s="80"/>
      <c r="S635" s="80"/>
      <c r="T635" s="80"/>
      <c r="U635" s="80"/>
      <c r="V635" s="24"/>
      <c r="W635" s="24"/>
      <c r="X635" s="80"/>
      <c r="Y635" s="80"/>
      <c r="Z635" s="80"/>
      <c r="AA635" s="80"/>
      <c r="AB635" s="91"/>
      <c r="AC635" s="80"/>
      <c r="AD635" s="24"/>
      <c r="AE635" s="24"/>
      <c r="AF635" s="24"/>
      <c r="AG635" s="24"/>
      <c r="AH635" s="24"/>
      <c r="AI635" s="24"/>
      <c r="AJ635" s="24"/>
      <c r="AK635" s="24"/>
      <c r="AL635" s="24"/>
      <c r="AM635" s="24"/>
      <c r="AN635" s="24"/>
      <c r="AO635" s="24"/>
      <c r="AP635" s="24"/>
      <c r="AQ635" s="24"/>
      <c r="AR635" s="24"/>
      <c r="AS635" s="18"/>
      <c r="AT635" s="18"/>
      <c r="AU635" s="18"/>
      <c r="AV635" s="18"/>
      <c r="AW635" s="18"/>
      <c r="AX635" s="18"/>
      <c r="AY635" s="18"/>
      <c r="AZ635" s="18"/>
    </row>
    <row r="636" spans="1:52" x14ac:dyDescent="0.25">
      <c r="A636" s="80"/>
      <c r="B636" s="80"/>
      <c r="C636" s="113"/>
      <c r="D636" s="80"/>
      <c r="E636" s="80"/>
      <c r="F636" s="80"/>
      <c r="G636" s="80"/>
      <c r="H636" s="80"/>
      <c r="I636" s="80"/>
      <c r="J636" s="80"/>
      <c r="K636" s="87"/>
      <c r="L636" s="80"/>
      <c r="M636" s="80"/>
      <c r="N636" s="80"/>
      <c r="O636" s="80"/>
      <c r="P636" s="80"/>
      <c r="Q636" s="80"/>
      <c r="R636" s="80"/>
      <c r="S636" s="80"/>
      <c r="T636" s="80"/>
      <c r="U636" s="80"/>
      <c r="V636" s="24"/>
      <c r="W636" s="24"/>
      <c r="X636" s="80"/>
      <c r="Y636" s="80"/>
      <c r="Z636" s="80"/>
      <c r="AA636" s="80"/>
      <c r="AB636" s="91"/>
      <c r="AC636" s="80"/>
      <c r="AD636" s="24"/>
      <c r="AE636" s="24"/>
      <c r="AF636" s="24"/>
      <c r="AG636" s="24"/>
      <c r="AH636" s="24"/>
      <c r="AI636" s="24"/>
      <c r="AJ636" s="24"/>
      <c r="AK636" s="24"/>
      <c r="AL636" s="24"/>
      <c r="AM636" s="24"/>
      <c r="AN636" s="24"/>
      <c r="AO636" s="24"/>
      <c r="AP636" s="24"/>
      <c r="AQ636" s="24"/>
      <c r="AR636" s="24"/>
      <c r="AS636" s="18"/>
      <c r="AT636" s="18"/>
      <c r="AU636" s="18"/>
      <c r="AV636" s="18"/>
      <c r="AW636" s="18"/>
      <c r="AX636" s="18"/>
      <c r="AY636" s="18"/>
      <c r="AZ636" s="18"/>
    </row>
    <row r="637" spans="1:52" x14ac:dyDescent="0.25">
      <c r="A637" s="80"/>
      <c r="B637" s="80"/>
      <c r="C637" s="113"/>
      <c r="D637" s="80"/>
      <c r="E637" s="80"/>
      <c r="F637" s="80"/>
      <c r="G637" s="80"/>
      <c r="H637" s="80"/>
      <c r="I637" s="80"/>
      <c r="J637" s="80"/>
      <c r="K637" s="87"/>
      <c r="L637" s="80"/>
      <c r="M637" s="80"/>
      <c r="N637" s="80"/>
      <c r="O637" s="80"/>
      <c r="P637" s="80"/>
      <c r="Q637" s="80"/>
      <c r="R637" s="80"/>
      <c r="S637" s="80"/>
      <c r="T637" s="80"/>
      <c r="U637" s="80"/>
      <c r="V637" s="24"/>
      <c r="W637" s="24"/>
      <c r="X637" s="80"/>
      <c r="Y637" s="80"/>
      <c r="Z637" s="80"/>
      <c r="AA637" s="80"/>
      <c r="AB637" s="91"/>
      <c r="AC637" s="80"/>
      <c r="AD637" s="24"/>
      <c r="AE637" s="24"/>
      <c r="AF637" s="24"/>
      <c r="AG637" s="24"/>
      <c r="AH637" s="24"/>
      <c r="AI637" s="24"/>
      <c r="AJ637" s="24"/>
      <c r="AK637" s="24"/>
      <c r="AL637" s="24"/>
      <c r="AM637" s="24"/>
      <c r="AN637" s="24"/>
      <c r="AO637" s="24"/>
      <c r="AP637" s="24"/>
      <c r="AQ637" s="24"/>
      <c r="AR637" s="24"/>
      <c r="AS637" s="18"/>
      <c r="AT637" s="18"/>
      <c r="AU637" s="18"/>
      <c r="AV637" s="18"/>
      <c r="AW637" s="18"/>
      <c r="AX637" s="18"/>
      <c r="AY637" s="18"/>
      <c r="AZ637" s="18"/>
    </row>
    <row r="638" spans="1:52" x14ac:dyDescent="0.25">
      <c r="A638" s="80"/>
      <c r="B638" s="80"/>
      <c r="C638" s="113"/>
      <c r="D638" s="80"/>
      <c r="E638" s="80"/>
      <c r="F638" s="80"/>
      <c r="G638" s="80"/>
      <c r="H638" s="80"/>
      <c r="I638" s="80"/>
      <c r="J638" s="80"/>
      <c r="K638" s="87"/>
      <c r="L638" s="80"/>
      <c r="M638" s="80"/>
      <c r="N638" s="80"/>
      <c r="O638" s="80"/>
      <c r="P638" s="80"/>
      <c r="Q638" s="80"/>
      <c r="R638" s="80"/>
      <c r="S638" s="80"/>
      <c r="T638" s="80"/>
      <c r="U638" s="80"/>
      <c r="V638" s="24"/>
      <c r="W638" s="24"/>
      <c r="X638" s="80"/>
      <c r="Y638" s="80"/>
      <c r="Z638" s="80"/>
      <c r="AA638" s="80"/>
      <c r="AB638" s="91"/>
      <c r="AC638" s="80"/>
      <c r="AD638" s="24"/>
      <c r="AE638" s="24"/>
      <c r="AF638" s="24"/>
      <c r="AG638" s="24"/>
      <c r="AH638" s="24"/>
      <c r="AI638" s="24"/>
      <c r="AJ638" s="24"/>
      <c r="AK638" s="24"/>
      <c r="AL638" s="24"/>
      <c r="AM638" s="24"/>
      <c r="AN638" s="24"/>
      <c r="AO638" s="24"/>
      <c r="AP638" s="24"/>
      <c r="AQ638" s="24"/>
      <c r="AR638" s="24"/>
      <c r="AS638" s="18"/>
      <c r="AT638" s="18"/>
      <c r="AU638" s="18"/>
      <c r="AV638" s="18"/>
      <c r="AW638" s="18"/>
      <c r="AX638" s="18"/>
      <c r="AY638" s="18"/>
      <c r="AZ638" s="18"/>
    </row>
    <row r="639" spans="1:52" x14ac:dyDescent="0.25">
      <c r="A639" s="80"/>
      <c r="B639" s="80"/>
      <c r="C639" s="113"/>
      <c r="D639" s="80"/>
      <c r="E639" s="80"/>
      <c r="F639" s="80"/>
      <c r="G639" s="80"/>
      <c r="H639" s="80"/>
      <c r="I639" s="80"/>
      <c r="J639" s="80"/>
      <c r="K639" s="87"/>
      <c r="L639" s="80"/>
      <c r="M639" s="80"/>
      <c r="N639" s="80"/>
      <c r="O639" s="80"/>
      <c r="P639" s="80"/>
      <c r="Q639" s="80"/>
      <c r="R639" s="80"/>
      <c r="S639" s="80"/>
      <c r="T639" s="80"/>
      <c r="U639" s="80"/>
      <c r="V639" s="24"/>
      <c r="W639" s="24"/>
      <c r="X639" s="80"/>
      <c r="Y639" s="80"/>
      <c r="Z639" s="80"/>
      <c r="AA639" s="80"/>
      <c r="AB639" s="91"/>
      <c r="AC639" s="80"/>
      <c r="AD639" s="24"/>
      <c r="AE639" s="24"/>
      <c r="AF639" s="24"/>
      <c r="AG639" s="24"/>
      <c r="AH639" s="24"/>
      <c r="AI639" s="24"/>
      <c r="AJ639" s="24"/>
      <c r="AK639" s="24"/>
      <c r="AL639" s="24"/>
      <c r="AM639" s="24"/>
      <c r="AN639" s="24"/>
      <c r="AO639" s="24"/>
      <c r="AP639" s="24"/>
      <c r="AQ639" s="24"/>
      <c r="AR639" s="24"/>
      <c r="AS639" s="18"/>
      <c r="AT639" s="18"/>
      <c r="AU639" s="18"/>
      <c r="AV639" s="18"/>
      <c r="AW639" s="18"/>
      <c r="AX639" s="18"/>
      <c r="AY639" s="18"/>
      <c r="AZ639" s="18"/>
    </row>
    <row r="640" spans="1:52" x14ac:dyDescent="0.25">
      <c r="A640" s="80"/>
      <c r="B640" s="80"/>
      <c r="C640" s="113"/>
      <c r="D640" s="80"/>
      <c r="E640" s="80"/>
      <c r="F640" s="80"/>
      <c r="G640" s="80"/>
      <c r="H640" s="80"/>
      <c r="I640" s="80"/>
      <c r="J640" s="80"/>
      <c r="K640" s="87"/>
      <c r="L640" s="80"/>
      <c r="M640" s="80"/>
      <c r="N640" s="80"/>
      <c r="O640" s="80"/>
      <c r="P640" s="80"/>
      <c r="Q640" s="80"/>
      <c r="R640" s="80"/>
      <c r="S640" s="80"/>
      <c r="T640" s="80"/>
      <c r="U640" s="80"/>
      <c r="V640" s="24"/>
      <c r="W640" s="24"/>
      <c r="X640" s="80"/>
      <c r="Y640" s="80"/>
      <c r="Z640" s="80"/>
      <c r="AA640" s="80"/>
      <c r="AB640" s="91"/>
      <c r="AC640" s="80"/>
      <c r="AD640" s="24"/>
      <c r="AE640" s="24"/>
      <c r="AF640" s="24"/>
      <c r="AG640" s="24"/>
      <c r="AH640" s="24"/>
      <c r="AI640" s="24"/>
      <c r="AJ640" s="24"/>
      <c r="AK640" s="24"/>
      <c r="AL640" s="24"/>
      <c r="AM640" s="24"/>
      <c r="AN640" s="24"/>
      <c r="AO640" s="24"/>
      <c r="AP640" s="24"/>
      <c r="AQ640" s="24"/>
      <c r="AR640" s="24"/>
      <c r="AS640" s="18"/>
      <c r="AT640" s="18"/>
      <c r="AU640" s="18"/>
      <c r="AV640" s="18"/>
      <c r="AW640" s="18"/>
      <c r="AX640" s="18"/>
      <c r="AY640" s="18"/>
      <c r="AZ640" s="18"/>
    </row>
    <row r="641" spans="1:52" x14ac:dyDescent="0.25">
      <c r="A641" s="80"/>
      <c r="B641" s="80"/>
      <c r="C641" s="113"/>
      <c r="D641" s="80"/>
      <c r="E641" s="80"/>
      <c r="F641" s="80"/>
      <c r="G641" s="80"/>
      <c r="H641" s="80"/>
      <c r="I641" s="80"/>
      <c r="J641" s="80"/>
      <c r="K641" s="87"/>
      <c r="L641" s="80"/>
      <c r="M641" s="80"/>
      <c r="N641" s="80"/>
      <c r="O641" s="80"/>
      <c r="P641" s="80"/>
      <c r="Q641" s="80"/>
      <c r="R641" s="80"/>
      <c r="S641" s="80"/>
      <c r="T641" s="80"/>
      <c r="U641" s="80"/>
      <c r="V641" s="24"/>
      <c r="W641" s="24"/>
      <c r="X641" s="80"/>
      <c r="Y641" s="80"/>
      <c r="Z641" s="80"/>
      <c r="AA641" s="80"/>
      <c r="AB641" s="91"/>
      <c r="AC641" s="80"/>
      <c r="AD641" s="24"/>
      <c r="AE641" s="24"/>
      <c r="AF641" s="24"/>
      <c r="AG641" s="24"/>
      <c r="AH641" s="24"/>
      <c r="AI641" s="24"/>
      <c r="AJ641" s="24"/>
      <c r="AK641" s="24"/>
      <c r="AL641" s="24"/>
      <c r="AM641" s="24"/>
      <c r="AN641" s="24"/>
      <c r="AO641" s="24"/>
      <c r="AP641" s="24"/>
      <c r="AQ641" s="24"/>
      <c r="AR641" s="24"/>
      <c r="AS641" s="18"/>
      <c r="AT641" s="18"/>
      <c r="AU641" s="18"/>
      <c r="AV641" s="18"/>
      <c r="AW641" s="18"/>
      <c r="AX641" s="18"/>
      <c r="AY641" s="18"/>
      <c r="AZ641" s="18"/>
    </row>
    <row r="642" spans="1:52" x14ac:dyDescent="0.25">
      <c r="A642" s="80"/>
      <c r="B642" s="80"/>
      <c r="C642" s="113"/>
      <c r="D642" s="80"/>
      <c r="E642" s="80"/>
      <c r="F642" s="80"/>
      <c r="G642" s="80"/>
      <c r="H642" s="80"/>
      <c r="I642" s="80"/>
      <c r="J642" s="80"/>
      <c r="K642" s="87"/>
      <c r="L642" s="80"/>
      <c r="M642" s="80"/>
      <c r="N642" s="80"/>
      <c r="O642" s="80"/>
      <c r="P642" s="80"/>
      <c r="Q642" s="80"/>
      <c r="R642" s="80"/>
      <c r="S642" s="80"/>
      <c r="T642" s="80"/>
      <c r="U642" s="80"/>
      <c r="V642" s="24"/>
      <c r="W642" s="24"/>
      <c r="X642" s="80"/>
      <c r="Y642" s="80"/>
      <c r="Z642" s="80"/>
      <c r="AA642" s="80"/>
      <c r="AB642" s="91"/>
      <c r="AC642" s="80"/>
      <c r="AD642" s="24"/>
      <c r="AE642" s="24"/>
      <c r="AF642" s="24"/>
      <c r="AG642" s="24"/>
      <c r="AH642" s="24"/>
      <c r="AI642" s="24"/>
      <c r="AJ642" s="24"/>
      <c r="AK642" s="24"/>
      <c r="AL642" s="24"/>
      <c r="AM642" s="24"/>
      <c r="AN642" s="24"/>
      <c r="AO642" s="24"/>
      <c r="AP642" s="24"/>
      <c r="AQ642" s="24"/>
      <c r="AR642" s="24"/>
      <c r="AS642" s="18"/>
      <c r="AT642" s="18"/>
      <c r="AU642" s="18"/>
      <c r="AV642" s="18"/>
      <c r="AW642" s="18"/>
      <c r="AX642" s="18"/>
      <c r="AY642" s="18"/>
      <c r="AZ642" s="18"/>
    </row>
    <row r="643" spans="1:52" x14ac:dyDescent="0.25">
      <c r="A643" s="80"/>
      <c r="B643" s="80"/>
      <c r="C643" s="113"/>
      <c r="D643" s="80"/>
      <c r="E643" s="80"/>
      <c r="F643" s="80"/>
      <c r="G643" s="80"/>
      <c r="H643" s="80"/>
      <c r="I643" s="80"/>
      <c r="J643" s="80"/>
      <c r="K643" s="87"/>
      <c r="L643" s="80"/>
      <c r="M643" s="80"/>
      <c r="N643" s="80"/>
      <c r="O643" s="80"/>
      <c r="P643" s="80"/>
      <c r="Q643" s="80"/>
      <c r="R643" s="80"/>
      <c r="S643" s="80"/>
      <c r="T643" s="80"/>
      <c r="U643" s="80"/>
      <c r="V643" s="24"/>
      <c r="W643" s="24"/>
      <c r="X643" s="80"/>
      <c r="Y643" s="80"/>
      <c r="Z643" s="80"/>
      <c r="AA643" s="80"/>
      <c r="AB643" s="91"/>
      <c r="AC643" s="80"/>
      <c r="AD643" s="24"/>
      <c r="AE643" s="24"/>
      <c r="AF643" s="24"/>
      <c r="AG643" s="24"/>
      <c r="AH643" s="24"/>
      <c r="AI643" s="24"/>
      <c r="AJ643" s="24"/>
      <c r="AK643" s="24"/>
      <c r="AL643" s="24"/>
      <c r="AM643" s="24"/>
      <c r="AN643" s="24"/>
      <c r="AO643" s="24"/>
      <c r="AP643" s="24"/>
      <c r="AQ643" s="24"/>
      <c r="AR643" s="24"/>
      <c r="AS643" s="18"/>
      <c r="AT643" s="18"/>
      <c r="AU643" s="18"/>
      <c r="AV643" s="18"/>
      <c r="AW643" s="18"/>
      <c r="AX643" s="18"/>
      <c r="AY643" s="18"/>
      <c r="AZ643" s="18"/>
    </row>
    <row r="644" spans="1:52" x14ac:dyDescent="0.25">
      <c r="A644" s="80"/>
      <c r="B644" s="80"/>
      <c r="C644" s="113"/>
      <c r="D644" s="80"/>
      <c r="E644" s="80"/>
      <c r="F644" s="80"/>
      <c r="G644" s="80"/>
      <c r="H644" s="80"/>
      <c r="I644" s="80"/>
      <c r="J644" s="80"/>
      <c r="K644" s="87"/>
      <c r="L644" s="80"/>
      <c r="M644" s="80"/>
      <c r="N644" s="80"/>
      <c r="O644" s="80"/>
      <c r="P644" s="80"/>
      <c r="Q644" s="80"/>
      <c r="R644" s="80"/>
      <c r="S644" s="80"/>
      <c r="T644" s="80"/>
      <c r="U644" s="80"/>
      <c r="V644" s="24"/>
      <c r="W644" s="24"/>
      <c r="X644" s="80"/>
      <c r="Y644" s="80"/>
      <c r="Z644" s="80"/>
      <c r="AA644" s="80"/>
      <c r="AB644" s="91"/>
      <c r="AC644" s="80"/>
      <c r="AD644" s="24"/>
      <c r="AE644" s="24"/>
      <c r="AF644" s="24"/>
      <c r="AG644" s="24"/>
      <c r="AH644" s="24"/>
      <c r="AI644" s="24"/>
      <c r="AJ644" s="24"/>
      <c r="AK644" s="24"/>
      <c r="AL644" s="24"/>
      <c r="AM644" s="24"/>
      <c r="AN644" s="24"/>
      <c r="AO644" s="24"/>
      <c r="AP644" s="24"/>
      <c r="AQ644" s="24"/>
      <c r="AR644" s="24"/>
      <c r="AS644" s="18"/>
      <c r="AT644" s="18"/>
      <c r="AU644" s="18"/>
      <c r="AV644" s="18"/>
      <c r="AW644" s="18"/>
      <c r="AX644" s="18"/>
      <c r="AY644" s="18"/>
      <c r="AZ644" s="18"/>
    </row>
    <row r="645" spans="1:52" x14ac:dyDescent="0.25">
      <c r="A645" s="80"/>
      <c r="B645" s="80"/>
      <c r="C645" s="113"/>
      <c r="D645" s="80"/>
      <c r="E645" s="80"/>
      <c r="F645" s="80"/>
      <c r="G645" s="80"/>
      <c r="H645" s="80"/>
      <c r="I645" s="80"/>
      <c r="J645" s="80"/>
      <c r="K645" s="87"/>
      <c r="L645" s="80"/>
      <c r="M645" s="80"/>
      <c r="N645" s="80"/>
      <c r="O645" s="80"/>
      <c r="P645" s="80"/>
      <c r="Q645" s="80"/>
      <c r="R645" s="80"/>
      <c r="S645" s="80"/>
      <c r="T645" s="80"/>
      <c r="U645" s="80"/>
      <c r="V645" s="24"/>
      <c r="W645" s="24"/>
      <c r="X645" s="80"/>
      <c r="Y645" s="80"/>
      <c r="Z645" s="80"/>
      <c r="AA645" s="80"/>
      <c r="AB645" s="91"/>
      <c r="AC645" s="80"/>
      <c r="AD645" s="24"/>
      <c r="AE645" s="24"/>
      <c r="AF645" s="24"/>
      <c r="AG645" s="24"/>
      <c r="AH645" s="24"/>
      <c r="AI645" s="24"/>
      <c r="AJ645" s="24"/>
      <c r="AK645" s="24"/>
      <c r="AL645" s="24"/>
      <c r="AM645" s="24"/>
      <c r="AN645" s="24"/>
      <c r="AO645" s="24"/>
      <c r="AP645" s="24"/>
      <c r="AQ645" s="24"/>
      <c r="AR645" s="24"/>
      <c r="AS645" s="18"/>
      <c r="AT645" s="18"/>
      <c r="AU645" s="18"/>
      <c r="AV645" s="18"/>
      <c r="AW645" s="18"/>
      <c r="AX645" s="18"/>
      <c r="AY645" s="18"/>
      <c r="AZ645" s="18"/>
    </row>
    <row r="646" spans="1:52" x14ac:dyDescent="0.25">
      <c r="A646" s="80"/>
      <c r="B646" s="80"/>
      <c r="C646" s="113"/>
      <c r="D646" s="80"/>
      <c r="E646" s="80"/>
      <c r="F646" s="80"/>
      <c r="G646" s="80"/>
      <c r="H646" s="80"/>
      <c r="I646" s="80"/>
      <c r="J646" s="80"/>
      <c r="K646" s="87"/>
      <c r="L646" s="80"/>
      <c r="M646" s="80"/>
      <c r="N646" s="80"/>
      <c r="O646" s="80"/>
      <c r="P646" s="80"/>
      <c r="Q646" s="80"/>
      <c r="R646" s="80"/>
      <c r="S646" s="80"/>
      <c r="T646" s="80"/>
      <c r="U646" s="80"/>
      <c r="V646" s="24"/>
      <c r="W646" s="24"/>
      <c r="X646" s="80"/>
      <c r="Y646" s="80"/>
      <c r="Z646" s="80"/>
      <c r="AA646" s="80"/>
      <c r="AB646" s="91"/>
      <c r="AC646" s="80"/>
      <c r="AD646" s="24"/>
      <c r="AE646" s="24"/>
      <c r="AF646" s="24"/>
      <c r="AG646" s="24"/>
      <c r="AH646" s="24"/>
      <c r="AI646" s="24"/>
      <c r="AJ646" s="24"/>
      <c r="AK646" s="24"/>
      <c r="AL646" s="24"/>
      <c r="AM646" s="24"/>
      <c r="AN646" s="24"/>
      <c r="AO646" s="24"/>
      <c r="AP646" s="24"/>
      <c r="AQ646" s="24"/>
      <c r="AR646" s="24"/>
      <c r="AS646" s="18"/>
      <c r="AT646" s="18"/>
      <c r="AU646" s="18"/>
      <c r="AV646" s="18"/>
      <c r="AW646" s="18"/>
      <c r="AX646" s="18"/>
      <c r="AY646" s="18"/>
      <c r="AZ646" s="18"/>
    </row>
    <row r="647" spans="1:52" x14ac:dyDescent="0.25">
      <c r="A647" s="80"/>
      <c r="B647" s="80"/>
      <c r="C647" s="113"/>
      <c r="D647" s="80"/>
      <c r="E647" s="80"/>
      <c r="F647" s="80"/>
      <c r="G647" s="80"/>
      <c r="H647" s="80"/>
      <c r="I647" s="80"/>
      <c r="J647" s="80"/>
      <c r="K647" s="87"/>
      <c r="L647" s="80"/>
      <c r="M647" s="80"/>
      <c r="N647" s="80"/>
      <c r="O647" s="80"/>
      <c r="P647" s="80"/>
      <c r="Q647" s="80"/>
      <c r="R647" s="80"/>
      <c r="S647" s="80"/>
      <c r="T647" s="80"/>
      <c r="U647" s="80"/>
      <c r="V647" s="24"/>
      <c r="W647" s="24"/>
      <c r="X647" s="80"/>
      <c r="Y647" s="80"/>
      <c r="Z647" s="80"/>
      <c r="AA647" s="80"/>
      <c r="AB647" s="91"/>
      <c r="AC647" s="80"/>
      <c r="AD647" s="24"/>
      <c r="AE647" s="24"/>
      <c r="AF647" s="24"/>
      <c r="AG647" s="24"/>
      <c r="AH647" s="24"/>
      <c r="AI647" s="24"/>
      <c r="AJ647" s="24"/>
      <c r="AK647" s="24"/>
      <c r="AL647" s="24"/>
      <c r="AM647" s="24"/>
      <c r="AN647" s="24"/>
      <c r="AO647" s="24"/>
      <c r="AP647" s="24"/>
      <c r="AQ647" s="24"/>
      <c r="AR647" s="24"/>
      <c r="AS647" s="18"/>
      <c r="AT647" s="18"/>
      <c r="AU647" s="18"/>
      <c r="AV647" s="18"/>
      <c r="AW647" s="18"/>
      <c r="AX647" s="18"/>
      <c r="AY647" s="18"/>
      <c r="AZ647" s="18"/>
    </row>
    <row r="648" spans="1:52" x14ac:dyDescent="0.25">
      <c r="A648" s="80"/>
      <c r="B648" s="80"/>
      <c r="C648" s="113"/>
      <c r="D648" s="80"/>
      <c r="E648" s="80"/>
      <c r="F648" s="80"/>
      <c r="G648" s="80"/>
      <c r="H648" s="80"/>
      <c r="I648" s="80"/>
      <c r="J648" s="80"/>
      <c r="K648" s="87"/>
      <c r="L648" s="80"/>
      <c r="M648" s="80"/>
      <c r="N648" s="80"/>
      <c r="O648" s="80"/>
      <c r="P648" s="80"/>
      <c r="Q648" s="80"/>
      <c r="R648" s="80"/>
      <c r="S648" s="80"/>
      <c r="T648" s="80"/>
      <c r="U648" s="80"/>
      <c r="V648" s="24"/>
      <c r="W648" s="24"/>
      <c r="X648" s="80"/>
      <c r="Y648" s="80"/>
      <c r="Z648" s="80"/>
      <c r="AA648" s="80"/>
      <c r="AB648" s="91"/>
      <c r="AC648" s="80"/>
      <c r="AD648" s="24"/>
      <c r="AE648" s="24"/>
      <c r="AF648" s="24"/>
      <c r="AG648" s="24"/>
      <c r="AH648" s="24"/>
      <c r="AI648" s="24"/>
      <c r="AJ648" s="24"/>
      <c r="AK648" s="24"/>
      <c r="AL648" s="24"/>
      <c r="AM648" s="24"/>
      <c r="AN648" s="24"/>
      <c r="AO648" s="24"/>
      <c r="AP648" s="24"/>
      <c r="AQ648" s="24"/>
      <c r="AR648" s="24"/>
      <c r="AS648" s="18"/>
      <c r="AT648" s="18"/>
      <c r="AU648" s="18"/>
      <c r="AV648" s="18"/>
      <c r="AW648" s="18"/>
      <c r="AX648" s="18"/>
      <c r="AY648" s="18"/>
      <c r="AZ648" s="18"/>
    </row>
    <row r="649" spans="1:52" x14ac:dyDescent="0.25">
      <c r="A649" s="80"/>
      <c r="B649" s="80"/>
      <c r="C649" s="113"/>
      <c r="D649" s="80"/>
      <c r="E649" s="80"/>
      <c r="F649" s="80"/>
      <c r="G649" s="80"/>
      <c r="H649" s="80"/>
      <c r="I649" s="80"/>
      <c r="J649" s="80"/>
      <c r="K649" s="87"/>
      <c r="L649" s="80"/>
      <c r="M649" s="80"/>
      <c r="N649" s="80"/>
      <c r="O649" s="80"/>
      <c r="P649" s="80"/>
      <c r="Q649" s="80"/>
      <c r="R649" s="80"/>
      <c r="S649" s="80"/>
      <c r="T649" s="80"/>
      <c r="U649" s="80"/>
      <c r="V649" s="24"/>
      <c r="W649" s="24"/>
      <c r="X649" s="80"/>
      <c r="Y649" s="80"/>
      <c r="Z649" s="80"/>
      <c r="AA649" s="80"/>
      <c r="AB649" s="91"/>
      <c r="AC649" s="80"/>
      <c r="AD649" s="24"/>
      <c r="AE649" s="24"/>
      <c r="AF649" s="24"/>
      <c r="AG649" s="24"/>
      <c r="AH649" s="24"/>
      <c r="AI649" s="24"/>
      <c r="AJ649" s="24"/>
      <c r="AK649" s="24"/>
      <c r="AL649" s="24"/>
      <c r="AM649" s="24"/>
      <c r="AN649" s="24"/>
      <c r="AO649" s="24"/>
      <c r="AP649" s="24"/>
      <c r="AQ649" s="24"/>
      <c r="AR649" s="24"/>
      <c r="AS649" s="18"/>
      <c r="AT649" s="18"/>
      <c r="AU649" s="18"/>
      <c r="AV649" s="18"/>
      <c r="AW649" s="18"/>
      <c r="AX649" s="18"/>
      <c r="AY649" s="18"/>
      <c r="AZ649" s="18"/>
    </row>
    <row r="650" spans="1:52" x14ac:dyDescent="0.25">
      <c r="A650" s="80"/>
      <c r="B650" s="80"/>
      <c r="C650" s="113"/>
      <c r="D650" s="80"/>
      <c r="E650" s="80"/>
      <c r="F650" s="80"/>
      <c r="G650" s="80"/>
      <c r="H650" s="80"/>
      <c r="I650" s="80"/>
      <c r="J650" s="80"/>
      <c r="K650" s="87"/>
      <c r="L650" s="80"/>
      <c r="M650" s="80"/>
      <c r="N650" s="80"/>
      <c r="O650" s="80"/>
      <c r="P650" s="80"/>
      <c r="Q650" s="80"/>
      <c r="R650" s="80"/>
      <c r="S650" s="80"/>
      <c r="T650" s="80"/>
      <c r="U650" s="80"/>
      <c r="V650" s="24"/>
      <c r="W650" s="24"/>
      <c r="X650" s="80"/>
      <c r="Y650" s="80"/>
      <c r="Z650" s="80"/>
      <c r="AA650" s="80"/>
      <c r="AB650" s="91"/>
      <c r="AC650" s="80"/>
      <c r="AD650" s="24"/>
      <c r="AE650" s="24"/>
      <c r="AF650" s="24"/>
      <c r="AG650" s="24"/>
      <c r="AH650" s="24"/>
      <c r="AI650" s="24"/>
      <c r="AJ650" s="24"/>
      <c r="AK650" s="24"/>
      <c r="AL650" s="24"/>
      <c r="AM650" s="24"/>
      <c r="AN650" s="24"/>
      <c r="AO650" s="24"/>
      <c r="AP650" s="24"/>
      <c r="AQ650" s="24"/>
      <c r="AR650" s="24"/>
      <c r="AS650" s="18"/>
      <c r="AT650" s="18"/>
      <c r="AU650" s="18"/>
      <c r="AV650" s="18"/>
      <c r="AW650" s="18"/>
      <c r="AX650" s="18"/>
      <c r="AY650" s="18"/>
      <c r="AZ650" s="18"/>
    </row>
    <row r="651" spans="1:52" x14ac:dyDescent="0.25">
      <c r="A651" s="80"/>
      <c r="B651" s="80"/>
      <c r="C651" s="113"/>
      <c r="D651" s="80"/>
      <c r="E651" s="80"/>
      <c r="F651" s="80"/>
      <c r="G651" s="80"/>
      <c r="H651" s="80"/>
      <c r="I651" s="80"/>
      <c r="J651" s="80"/>
      <c r="K651" s="87"/>
      <c r="L651" s="80"/>
      <c r="M651" s="80"/>
      <c r="N651" s="80"/>
      <c r="O651" s="80"/>
      <c r="P651" s="80"/>
      <c r="Q651" s="80"/>
      <c r="R651" s="80"/>
      <c r="S651" s="80"/>
      <c r="T651" s="80"/>
      <c r="U651" s="80"/>
      <c r="V651" s="24"/>
      <c r="W651" s="24"/>
      <c r="X651" s="80"/>
      <c r="Y651" s="80"/>
      <c r="Z651" s="80"/>
      <c r="AA651" s="80"/>
      <c r="AB651" s="91"/>
      <c r="AC651" s="80"/>
      <c r="AD651" s="24"/>
      <c r="AE651" s="24"/>
      <c r="AF651" s="24"/>
      <c r="AG651" s="24"/>
      <c r="AH651" s="24"/>
      <c r="AI651" s="24"/>
      <c r="AJ651" s="24"/>
      <c r="AK651" s="24"/>
      <c r="AL651" s="24"/>
      <c r="AM651" s="24"/>
      <c r="AN651" s="24"/>
      <c r="AO651" s="24"/>
      <c r="AP651" s="24"/>
      <c r="AQ651" s="24"/>
      <c r="AR651" s="24"/>
      <c r="AS651" s="18"/>
      <c r="AT651" s="18"/>
      <c r="AU651" s="18"/>
      <c r="AV651" s="18"/>
      <c r="AW651" s="18"/>
      <c r="AX651" s="18"/>
      <c r="AY651" s="18"/>
      <c r="AZ651" s="18"/>
    </row>
    <row r="652" spans="1:52" x14ac:dyDescent="0.25">
      <c r="A652" s="80"/>
      <c r="B652" s="80"/>
      <c r="C652" s="113"/>
      <c r="D652" s="80"/>
      <c r="E652" s="80"/>
      <c r="F652" s="80"/>
      <c r="G652" s="80"/>
      <c r="H652" s="80"/>
      <c r="I652" s="80"/>
      <c r="J652" s="80"/>
      <c r="K652" s="87"/>
      <c r="L652" s="80"/>
      <c r="M652" s="80"/>
      <c r="N652" s="80"/>
      <c r="O652" s="80"/>
      <c r="P652" s="80"/>
      <c r="Q652" s="80"/>
      <c r="R652" s="80"/>
      <c r="S652" s="80"/>
      <c r="T652" s="80"/>
      <c r="U652" s="80"/>
      <c r="V652" s="24"/>
      <c r="W652" s="24"/>
      <c r="X652" s="80"/>
      <c r="Y652" s="80"/>
      <c r="Z652" s="80"/>
      <c r="AA652" s="80"/>
      <c r="AB652" s="91"/>
      <c r="AC652" s="80"/>
      <c r="AD652" s="24"/>
      <c r="AE652" s="24"/>
      <c r="AF652" s="24"/>
      <c r="AG652" s="24"/>
      <c r="AH652" s="24"/>
      <c r="AI652" s="24"/>
      <c r="AJ652" s="24"/>
      <c r="AK652" s="24"/>
      <c r="AL652" s="24"/>
      <c r="AM652" s="24"/>
      <c r="AN652" s="24"/>
      <c r="AO652" s="24"/>
      <c r="AP652" s="24"/>
      <c r="AQ652" s="24"/>
      <c r="AR652" s="24"/>
      <c r="AS652" s="18"/>
      <c r="AT652" s="18"/>
      <c r="AU652" s="18"/>
      <c r="AV652" s="18"/>
      <c r="AW652" s="18"/>
      <c r="AX652" s="18"/>
      <c r="AY652" s="18"/>
      <c r="AZ652" s="18"/>
    </row>
    <row r="653" spans="1:52" x14ac:dyDescent="0.25">
      <c r="A653" s="80"/>
      <c r="B653" s="80"/>
      <c r="C653" s="113"/>
      <c r="D653" s="80"/>
      <c r="E653" s="80"/>
      <c r="F653" s="80"/>
      <c r="G653" s="80"/>
      <c r="H653" s="80"/>
      <c r="I653" s="80"/>
      <c r="J653" s="80"/>
      <c r="K653" s="87"/>
      <c r="L653" s="80"/>
      <c r="M653" s="80"/>
      <c r="N653" s="80"/>
      <c r="O653" s="80"/>
      <c r="P653" s="80"/>
      <c r="Q653" s="80"/>
      <c r="R653" s="80"/>
      <c r="S653" s="80"/>
      <c r="T653" s="80"/>
      <c r="U653" s="80"/>
      <c r="V653" s="24"/>
      <c r="W653" s="24"/>
      <c r="X653" s="80"/>
      <c r="Y653" s="80"/>
      <c r="Z653" s="80"/>
      <c r="AA653" s="80"/>
      <c r="AB653" s="91"/>
      <c r="AC653" s="80"/>
      <c r="AD653" s="24"/>
      <c r="AE653" s="24"/>
      <c r="AF653" s="24"/>
      <c r="AG653" s="24"/>
      <c r="AH653" s="24"/>
      <c r="AI653" s="24"/>
      <c r="AJ653" s="24"/>
      <c r="AK653" s="24"/>
      <c r="AL653" s="24"/>
      <c r="AM653" s="24"/>
      <c r="AN653" s="24"/>
      <c r="AO653" s="24"/>
      <c r="AP653" s="24"/>
      <c r="AQ653" s="24"/>
      <c r="AR653" s="24"/>
      <c r="AS653" s="18"/>
      <c r="AT653" s="18"/>
      <c r="AU653" s="18"/>
      <c r="AV653" s="18"/>
      <c r="AW653" s="18"/>
      <c r="AX653" s="18"/>
      <c r="AY653" s="18"/>
      <c r="AZ653" s="18"/>
    </row>
    <row r="654" spans="1:52" x14ac:dyDescent="0.25">
      <c r="A654" s="80"/>
      <c r="B654" s="80"/>
      <c r="C654" s="113"/>
      <c r="D654" s="80"/>
      <c r="E654" s="80"/>
      <c r="F654" s="80"/>
      <c r="G654" s="80"/>
      <c r="H654" s="80"/>
      <c r="I654" s="80"/>
      <c r="J654" s="80"/>
      <c r="K654" s="87"/>
      <c r="L654" s="80"/>
      <c r="M654" s="80"/>
      <c r="N654" s="80"/>
      <c r="O654" s="80"/>
      <c r="P654" s="80"/>
      <c r="Q654" s="80"/>
      <c r="R654" s="80"/>
      <c r="S654" s="80"/>
      <c r="T654" s="80"/>
      <c r="U654" s="80"/>
      <c r="V654" s="24"/>
      <c r="W654" s="24"/>
      <c r="X654" s="80"/>
      <c r="Y654" s="80"/>
      <c r="Z654" s="80"/>
      <c r="AA654" s="80"/>
      <c r="AB654" s="91"/>
      <c r="AC654" s="80"/>
      <c r="AD654" s="24"/>
      <c r="AE654" s="24"/>
      <c r="AF654" s="24"/>
      <c r="AG654" s="24"/>
      <c r="AH654" s="24"/>
      <c r="AI654" s="24"/>
      <c r="AJ654" s="24"/>
      <c r="AK654" s="24"/>
      <c r="AL654" s="24"/>
      <c r="AM654" s="24"/>
      <c r="AN654" s="24"/>
      <c r="AO654" s="24"/>
      <c r="AP654" s="24"/>
      <c r="AQ654" s="24"/>
      <c r="AR654" s="24"/>
      <c r="AS654" s="18"/>
      <c r="AT654" s="18"/>
      <c r="AU654" s="18"/>
      <c r="AV654" s="18"/>
      <c r="AW654" s="18"/>
      <c r="AX654" s="18"/>
      <c r="AY654" s="18"/>
      <c r="AZ654" s="18"/>
    </row>
    <row r="655" spans="1:52" x14ac:dyDescent="0.25">
      <c r="A655" s="80"/>
      <c r="B655" s="80"/>
      <c r="C655" s="113"/>
      <c r="D655" s="80"/>
      <c r="E655" s="80"/>
      <c r="F655" s="80"/>
      <c r="G655" s="80"/>
      <c r="H655" s="80"/>
      <c r="I655" s="80"/>
      <c r="J655" s="80"/>
      <c r="K655" s="87"/>
      <c r="L655" s="80"/>
      <c r="M655" s="80"/>
      <c r="N655" s="80"/>
      <c r="O655" s="80"/>
      <c r="P655" s="80"/>
      <c r="Q655" s="80"/>
      <c r="R655" s="80"/>
      <c r="S655" s="80"/>
      <c r="T655" s="80"/>
      <c r="U655" s="80"/>
      <c r="V655" s="24"/>
      <c r="W655" s="24"/>
      <c r="X655" s="80"/>
      <c r="Y655" s="80"/>
      <c r="Z655" s="80"/>
      <c r="AA655" s="80"/>
      <c r="AB655" s="91"/>
      <c r="AC655" s="80"/>
      <c r="AD655" s="24"/>
      <c r="AE655" s="24"/>
      <c r="AF655" s="24"/>
      <c r="AG655" s="2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18"/>
      <c r="AT655" s="18"/>
      <c r="AU655" s="18"/>
      <c r="AV655" s="18"/>
      <c r="AW655" s="18"/>
      <c r="AX655" s="18"/>
      <c r="AY655" s="18"/>
      <c r="AZ655" s="18"/>
    </row>
    <row r="656" spans="1:52" x14ac:dyDescent="0.25">
      <c r="A656" s="80"/>
      <c r="B656" s="80"/>
      <c r="C656" s="113"/>
      <c r="D656" s="80"/>
      <c r="E656" s="80"/>
      <c r="F656" s="80"/>
      <c r="G656" s="80"/>
      <c r="H656" s="80"/>
      <c r="I656" s="80"/>
      <c r="J656" s="80"/>
      <c r="K656" s="87"/>
      <c r="L656" s="80"/>
      <c r="M656" s="80"/>
      <c r="N656" s="80"/>
      <c r="O656" s="80"/>
      <c r="P656" s="80"/>
      <c r="Q656" s="80"/>
      <c r="R656" s="80"/>
      <c r="S656" s="80"/>
      <c r="T656" s="80"/>
      <c r="U656" s="80"/>
      <c r="V656" s="24"/>
      <c r="W656" s="24"/>
      <c r="X656" s="80"/>
      <c r="Y656" s="80"/>
      <c r="Z656" s="80"/>
      <c r="AA656" s="80"/>
      <c r="AB656" s="91"/>
      <c r="AC656" s="80"/>
      <c r="AD656" s="24"/>
      <c r="AE656" s="24"/>
      <c r="AF656" s="24"/>
      <c r="AG656" s="2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18"/>
      <c r="AT656" s="18"/>
      <c r="AU656" s="18"/>
      <c r="AV656" s="18"/>
      <c r="AW656" s="18"/>
      <c r="AX656" s="18"/>
      <c r="AY656" s="18"/>
      <c r="AZ656" s="18"/>
    </row>
    <row r="657" spans="1:52" x14ac:dyDescent="0.25">
      <c r="A657" s="80"/>
      <c r="B657" s="80"/>
      <c r="C657" s="113"/>
      <c r="D657" s="80"/>
      <c r="E657" s="80"/>
      <c r="F657" s="80"/>
      <c r="G657" s="80"/>
      <c r="H657" s="80"/>
      <c r="I657" s="80"/>
      <c r="J657" s="80"/>
      <c r="K657" s="87"/>
      <c r="L657" s="80"/>
      <c r="M657" s="80"/>
      <c r="N657" s="80"/>
      <c r="O657" s="80"/>
      <c r="P657" s="80"/>
      <c r="Q657" s="80"/>
      <c r="R657" s="80"/>
      <c r="S657" s="80"/>
      <c r="T657" s="80"/>
      <c r="U657" s="80"/>
      <c r="V657" s="24"/>
      <c r="W657" s="24"/>
      <c r="X657" s="80"/>
      <c r="Y657" s="80"/>
      <c r="Z657" s="80"/>
      <c r="AA657" s="80"/>
      <c r="AB657" s="91"/>
      <c r="AC657" s="80"/>
      <c r="AD657" s="24"/>
      <c r="AE657" s="24"/>
      <c r="AF657" s="24"/>
      <c r="AG657" s="2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18"/>
      <c r="AT657" s="18"/>
      <c r="AU657" s="18"/>
      <c r="AV657" s="18"/>
      <c r="AW657" s="18"/>
      <c r="AX657" s="18"/>
      <c r="AY657" s="18"/>
      <c r="AZ657" s="18"/>
    </row>
    <row r="658" spans="1:52" x14ac:dyDescent="0.25">
      <c r="A658" s="80"/>
      <c r="B658" s="80"/>
      <c r="C658" s="113"/>
      <c r="D658" s="80"/>
      <c r="E658" s="80"/>
      <c r="F658" s="80"/>
      <c r="G658" s="80"/>
      <c r="H658" s="80"/>
      <c r="I658" s="80"/>
      <c r="J658" s="80"/>
      <c r="K658" s="87"/>
      <c r="L658" s="80"/>
      <c r="M658" s="80"/>
      <c r="N658" s="80"/>
      <c r="O658" s="80"/>
      <c r="P658" s="80"/>
      <c r="Q658" s="80"/>
      <c r="R658" s="80"/>
      <c r="S658" s="80"/>
      <c r="T658" s="80"/>
      <c r="U658" s="80"/>
      <c r="V658" s="24"/>
      <c r="W658" s="24"/>
      <c r="X658" s="80"/>
      <c r="Y658" s="80"/>
      <c r="Z658" s="80"/>
      <c r="AA658" s="80"/>
      <c r="AB658" s="91"/>
      <c r="AC658" s="80"/>
      <c r="AD658" s="24"/>
      <c r="AE658" s="24"/>
      <c r="AF658" s="24"/>
      <c r="AG658" s="24"/>
      <c r="AH658" s="24"/>
      <c r="AI658" s="24"/>
      <c r="AJ658" s="24"/>
      <c r="AK658" s="24"/>
      <c r="AL658" s="24"/>
      <c r="AM658" s="24"/>
      <c r="AN658" s="24"/>
      <c r="AO658" s="24"/>
      <c r="AP658" s="24"/>
      <c r="AQ658" s="24"/>
      <c r="AR658" s="24"/>
      <c r="AS658" s="18"/>
      <c r="AT658" s="18"/>
      <c r="AU658" s="18"/>
      <c r="AV658" s="18"/>
      <c r="AW658" s="18"/>
      <c r="AX658" s="18"/>
      <c r="AY658" s="18"/>
      <c r="AZ658" s="18"/>
    </row>
    <row r="659" spans="1:52" x14ac:dyDescent="0.25">
      <c r="A659" s="80"/>
      <c r="B659" s="80"/>
      <c r="C659" s="113"/>
      <c r="D659" s="80"/>
      <c r="E659" s="80"/>
      <c r="F659" s="80"/>
      <c r="G659" s="80"/>
      <c r="H659" s="80"/>
      <c r="I659" s="80"/>
      <c r="J659" s="80"/>
      <c r="K659" s="87"/>
      <c r="L659" s="80"/>
      <c r="M659" s="80"/>
      <c r="N659" s="80"/>
      <c r="O659" s="80"/>
      <c r="P659" s="80"/>
      <c r="Q659" s="80"/>
      <c r="R659" s="80"/>
      <c r="S659" s="80"/>
      <c r="T659" s="80"/>
      <c r="U659" s="80"/>
      <c r="V659" s="24"/>
      <c r="W659" s="24"/>
      <c r="X659" s="80"/>
      <c r="Y659" s="80"/>
      <c r="Z659" s="80"/>
      <c r="AA659" s="80"/>
      <c r="AB659" s="91"/>
      <c r="AC659" s="80"/>
      <c r="AD659" s="24"/>
      <c r="AE659" s="24"/>
      <c r="AF659" s="24"/>
      <c r="AG659" s="24"/>
      <c r="AH659" s="24"/>
      <c r="AI659" s="24"/>
      <c r="AJ659" s="24"/>
      <c r="AK659" s="24"/>
      <c r="AL659" s="24"/>
      <c r="AM659" s="24"/>
      <c r="AN659" s="24"/>
      <c r="AO659" s="24"/>
      <c r="AP659" s="24"/>
      <c r="AQ659" s="24"/>
      <c r="AR659" s="24"/>
      <c r="AS659" s="18"/>
      <c r="AT659" s="18"/>
      <c r="AU659" s="18"/>
      <c r="AV659" s="18"/>
      <c r="AW659" s="18"/>
      <c r="AX659" s="18"/>
      <c r="AY659" s="18"/>
      <c r="AZ659" s="18"/>
    </row>
    <row r="660" spans="1:52" x14ac:dyDescent="0.25">
      <c r="A660" s="80"/>
      <c r="B660" s="80"/>
      <c r="C660" s="113"/>
      <c r="D660" s="80"/>
      <c r="E660" s="80"/>
      <c r="F660" s="80"/>
      <c r="G660" s="80"/>
      <c r="H660" s="80"/>
      <c r="I660" s="80"/>
      <c r="J660" s="80"/>
      <c r="K660" s="87"/>
      <c r="L660" s="80"/>
      <c r="M660" s="80"/>
      <c r="N660" s="80"/>
      <c r="O660" s="80"/>
      <c r="P660" s="80"/>
      <c r="Q660" s="80"/>
      <c r="R660" s="80"/>
      <c r="S660" s="80"/>
      <c r="T660" s="80"/>
      <c r="U660" s="80"/>
      <c r="V660" s="24"/>
      <c r="W660" s="24"/>
      <c r="X660" s="80"/>
      <c r="Y660" s="80"/>
      <c r="Z660" s="80"/>
      <c r="AA660" s="80"/>
      <c r="AB660" s="91"/>
      <c r="AC660" s="80"/>
      <c r="AD660" s="24"/>
      <c r="AE660" s="24"/>
      <c r="AF660" s="24"/>
      <c r="AG660" s="24"/>
      <c r="AH660" s="24"/>
      <c r="AI660" s="24"/>
      <c r="AJ660" s="24"/>
      <c r="AK660" s="24"/>
      <c r="AL660" s="24"/>
      <c r="AM660" s="24"/>
      <c r="AN660" s="24"/>
      <c r="AO660" s="24"/>
      <c r="AP660" s="24"/>
      <c r="AQ660" s="24"/>
      <c r="AR660" s="24"/>
      <c r="AS660" s="18"/>
      <c r="AT660" s="18"/>
      <c r="AU660" s="18"/>
      <c r="AV660" s="18"/>
      <c r="AW660" s="18"/>
      <c r="AX660" s="18"/>
      <c r="AY660" s="18"/>
      <c r="AZ660" s="18"/>
    </row>
    <row r="661" spans="1:52" x14ac:dyDescent="0.25">
      <c r="A661" s="80"/>
      <c r="B661" s="80"/>
      <c r="C661" s="113"/>
      <c r="D661" s="80"/>
      <c r="E661" s="80"/>
      <c r="F661" s="80"/>
      <c r="G661" s="80"/>
      <c r="H661" s="80"/>
      <c r="I661" s="80"/>
      <c r="J661" s="80"/>
      <c r="K661" s="87"/>
      <c r="L661" s="80"/>
      <c r="M661" s="80"/>
      <c r="N661" s="80"/>
      <c r="O661" s="80"/>
      <c r="P661" s="80"/>
      <c r="Q661" s="80"/>
      <c r="R661" s="80"/>
      <c r="S661" s="80"/>
      <c r="T661" s="80"/>
      <c r="U661" s="80"/>
      <c r="V661" s="24"/>
      <c r="W661" s="24"/>
      <c r="X661" s="80"/>
      <c r="Y661" s="80"/>
      <c r="Z661" s="80"/>
      <c r="AA661" s="80"/>
      <c r="AB661" s="91"/>
      <c r="AC661" s="80"/>
      <c r="AD661" s="24"/>
      <c r="AE661" s="24"/>
      <c r="AF661" s="24"/>
      <c r="AG661" s="24"/>
      <c r="AH661" s="24"/>
      <c r="AI661" s="24"/>
      <c r="AJ661" s="24"/>
      <c r="AK661" s="24"/>
      <c r="AL661" s="24"/>
      <c r="AM661" s="24"/>
      <c r="AN661" s="24"/>
      <c r="AO661" s="24"/>
      <c r="AP661" s="24"/>
      <c r="AQ661" s="24"/>
      <c r="AR661" s="24"/>
      <c r="AS661" s="18"/>
      <c r="AT661" s="18"/>
      <c r="AU661" s="18"/>
      <c r="AV661" s="18"/>
      <c r="AW661" s="18"/>
      <c r="AX661" s="18"/>
      <c r="AY661" s="18"/>
      <c r="AZ661" s="18"/>
    </row>
    <row r="662" spans="1:52" x14ac:dyDescent="0.25">
      <c r="A662" s="80"/>
      <c r="B662" s="80"/>
      <c r="C662" s="113"/>
      <c r="D662" s="80"/>
      <c r="E662" s="80"/>
      <c r="F662" s="80"/>
      <c r="G662" s="80"/>
      <c r="H662" s="80"/>
      <c r="I662" s="80"/>
      <c r="J662" s="80"/>
      <c r="K662" s="87"/>
      <c r="L662" s="80"/>
      <c r="M662" s="80"/>
      <c r="N662" s="80"/>
      <c r="O662" s="80"/>
      <c r="P662" s="80"/>
      <c r="Q662" s="80"/>
      <c r="R662" s="80"/>
      <c r="S662" s="80"/>
      <c r="T662" s="80"/>
      <c r="U662" s="80"/>
      <c r="V662" s="24"/>
      <c r="W662" s="24"/>
      <c r="X662" s="80"/>
      <c r="Y662" s="80"/>
      <c r="Z662" s="80"/>
      <c r="AA662" s="80"/>
      <c r="AB662" s="91"/>
      <c r="AC662" s="80"/>
      <c r="AD662" s="24"/>
      <c r="AE662" s="24"/>
      <c r="AF662" s="24"/>
      <c r="AG662" s="24"/>
      <c r="AH662" s="24"/>
      <c r="AI662" s="24"/>
      <c r="AJ662" s="24"/>
      <c r="AK662" s="24"/>
      <c r="AL662" s="24"/>
      <c r="AM662" s="24"/>
      <c r="AN662" s="24"/>
      <c r="AO662" s="24"/>
      <c r="AP662" s="24"/>
      <c r="AQ662" s="24"/>
      <c r="AR662" s="24"/>
      <c r="AS662" s="18"/>
      <c r="AT662" s="18"/>
      <c r="AU662" s="18"/>
      <c r="AV662" s="18"/>
      <c r="AW662" s="18"/>
      <c r="AX662" s="18"/>
      <c r="AY662" s="18"/>
      <c r="AZ662" s="18"/>
    </row>
    <row r="663" spans="1:52" x14ac:dyDescent="0.25">
      <c r="A663" s="80"/>
      <c r="B663" s="80"/>
      <c r="C663" s="113"/>
      <c r="D663" s="80"/>
      <c r="E663" s="80"/>
      <c r="F663" s="80"/>
      <c r="G663" s="80"/>
      <c r="H663" s="80"/>
      <c r="I663" s="80"/>
      <c r="J663" s="80"/>
      <c r="K663" s="87"/>
      <c r="L663" s="80"/>
      <c r="M663" s="80"/>
      <c r="N663" s="80"/>
      <c r="O663" s="80"/>
      <c r="P663" s="80"/>
      <c r="Q663" s="80"/>
      <c r="R663" s="80"/>
      <c r="S663" s="80"/>
      <c r="T663" s="80"/>
      <c r="U663" s="80"/>
      <c r="V663" s="24"/>
      <c r="W663" s="24"/>
      <c r="X663" s="80"/>
      <c r="Y663" s="80"/>
      <c r="Z663" s="80"/>
      <c r="AA663" s="80"/>
      <c r="AB663" s="91"/>
      <c r="AC663" s="80"/>
      <c r="AD663" s="24"/>
      <c r="AE663" s="24"/>
      <c r="AF663" s="24"/>
      <c r="AG663" s="24"/>
      <c r="AH663" s="24"/>
      <c r="AI663" s="24"/>
      <c r="AJ663" s="24"/>
      <c r="AK663" s="24"/>
      <c r="AL663" s="24"/>
      <c r="AM663" s="24"/>
      <c r="AN663" s="24"/>
      <c r="AO663" s="24"/>
      <c r="AP663" s="24"/>
      <c r="AQ663" s="24"/>
      <c r="AR663" s="24"/>
      <c r="AS663" s="18"/>
      <c r="AT663" s="18"/>
      <c r="AU663" s="18"/>
      <c r="AV663" s="18"/>
      <c r="AW663" s="18"/>
      <c r="AX663" s="18"/>
      <c r="AY663" s="18"/>
      <c r="AZ663" s="18"/>
    </row>
    <row r="664" spans="1:52" x14ac:dyDescent="0.25">
      <c r="A664" s="80"/>
      <c r="B664" s="80"/>
      <c r="C664" s="113"/>
      <c r="D664" s="80"/>
      <c r="E664" s="80"/>
      <c r="F664" s="80"/>
      <c r="G664" s="80"/>
      <c r="H664" s="80"/>
      <c r="I664" s="80"/>
      <c r="J664" s="80"/>
      <c r="K664" s="87"/>
      <c r="L664" s="80"/>
      <c r="M664" s="80"/>
      <c r="N664" s="80"/>
      <c r="O664" s="80"/>
      <c r="P664" s="80"/>
      <c r="Q664" s="80"/>
      <c r="R664" s="80"/>
      <c r="S664" s="80"/>
      <c r="T664" s="80"/>
      <c r="U664" s="80"/>
      <c r="V664" s="24"/>
      <c r="W664" s="24"/>
      <c r="X664" s="80"/>
      <c r="Y664" s="80"/>
      <c r="Z664" s="80"/>
      <c r="AA664" s="80"/>
      <c r="AB664" s="91"/>
      <c r="AC664" s="80"/>
      <c r="AD664" s="24"/>
      <c r="AE664" s="24"/>
      <c r="AF664" s="24"/>
      <c r="AG664" s="24"/>
      <c r="AH664" s="24"/>
      <c r="AI664" s="24"/>
      <c r="AJ664" s="24"/>
      <c r="AK664" s="24"/>
      <c r="AL664" s="24"/>
      <c r="AM664" s="24"/>
      <c r="AN664" s="24"/>
      <c r="AO664" s="24"/>
      <c r="AP664" s="24"/>
      <c r="AQ664" s="24"/>
      <c r="AR664" s="24"/>
      <c r="AS664" s="18"/>
      <c r="AT664" s="18"/>
      <c r="AU664" s="18"/>
      <c r="AV664" s="18"/>
      <c r="AW664" s="18"/>
      <c r="AX664" s="18"/>
      <c r="AY664" s="18"/>
      <c r="AZ664" s="18"/>
    </row>
    <row r="665" spans="1:52" x14ac:dyDescent="0.25">
      <c r="A665" s="80"/>
      <c r="B665" s="80"/>
      <c r="C665" s="113"/>
      <c r="D665" s="80"/>
      <c r="E665" s="80"/>
      <c r="F665" s="80"/>
      <c r="G665" s="80"/>
      <c r="H665" s="80"/>
      <c r="I665" s="80"/>
      <c r="J665" s="80"/>
      <c r="K665" s="87"/>
      <c r="L665" s="80"/>
      <c r="M665" s="80"/>
      <c r="N665" s="80"/>
      <c r="O665" s="80"/>
      <c r="P665" s="80"/>
      <c r="Q665" s="80"/>
      <c r="R665" s="80"/>
      <c r="S665" s="80"/>
      <c r="T665" s="80"/>
      <c r="U665" s="80"/>
      <c r="V665" s="24"/>
      <c r="W665" s="24"/>
      <c r="X665" s="80"/>
      <c r="Y665" s="80"/>
      <c r="Z665" s="80"/>
      <c r="AA665" s="80"/>
      <c r="AB665" s="91"/>
      <c r="AC665" s="80"/>
      <c r="AD665" s="24"/>
      <c r="AE665" s="24"/>
      <c r="AF665" s="24"/>
      <c r="AG665" s="24"/>
      <c r="AH665" s="24"/>
      <c r="AI665" s="24"/>
      <c r="AJ665" s="24"/>
      <c r="AK665" s="24"/>
      <c r="AL665" s="24"/>
      <c r="AM665" s="24"/>
      <c r="AN665" s="24"/>
      <c r="AO665" s="24"/>
      <c r="AP665" s="24"/>
      <c r="AQ665" s="24"/>
      <c r="AR665" s="24"/>
      <c r="AS665" s="18"/>
      <c r="AT665" s="18"/>
      <c r="AU665" s="18"/>
      <c r="AV665" s="18"/>
      <c r="AW665" s="18"/>
      <c r="AX665" s="18"/>
      <c r="AY665" s="18"/>
      <c r="AZ665" s="18"/>
    </row>
    <row r="666" spans="1:52" x14ac:dyDescent="0.25">
      <c r="A666" s="80"/>
      <c r="B666" s="80"/>
      <c r="C666" s="113"/>
      <c r="D666" s="80"/>
      <c r="E666" s="80"/>
      <c r="F666" s="80"/>
      <c r="G666" s="80"/>
      <c r="H666" s="80"/>
      <c r="I666" s="80"/>
      <c r="J666" s="80"/>
      <c r="K666" s="87"/>
      <c r="L666" s="80"/>
      <c r="M666" s="80"/>
      <c r="N666" s="80"/>
      <c r="O666" s="80"/>
      <c r="P666" s="80"/>
      <c r="Q666" s="80"/>
      <c r="R666" s="80"/>
      <c r="S666" s="80"/>
      <c r="T666" s="80"/>
      <c r="U666" s="80"/>
      <c r="V666" s="24"/>
      <c r="W666" s="24"/>
      <c r="X666" s="80"/>
      <c r="Y666" s="80"/>
      <c r="Z666" s="80"/>
      <c r="AA666" s="80"/>
      <c r="AB666" s="91"/>
      <c r="AC666" s="80"/>
      <c r="AD666" s="24"/>
      <c r="AE666" s="24"/>
      <c r="AF666" s="24"/>
      <c r="AG666" s="24"/>
      <c r="AH666" s="24"/>
      <c r="AI666" s="24"/>
      <c r="AJ666" s="24"/>
      <c r="AK666" s="24"/>
      <c r="AL666" s="24"/>
      <c r="AM666" s="24"/>
      <c r="AN666" s="24"/>
      <c r="AO666" s="24"/>
      <c r="AP666" s="24"/>
      <c r="AQ666" s="24"/>
      <c r="AR666" s="24"/>
      <c r="AS666" s="18"/>
      <c r="AT666" s="18"/>
      <c r="AU666" s="18"/>
      <c r="AV666" s="18"/>
      <c r="AW666" s="18"/>
      <c r="AX666" s="18"/>
      <c r="AY666" s="18"/>
      <c r="AZ666" s="18"/>
    </row>
    <row r="667" spans="1:52" x14ac:dyDescent="0.25">
      <c r="A667" s="80"/>
      <c r="B667" s="80"/>
      <c r="C667" s="113"/>
      <c r="D667" s="80"/>
      <c r="E667" s="80"/>
      <c r="F667" s="80"/>
      <c r="G667" s="80"/>
      <c r="H667" s="80"/>
      <c r="I667" s="80"/>
      <c r="J667" s="80"/>
      <c r="K667" s="87"/>
      <c r="L667" s="80"/>
      <c r="M667" s="80"/>
      <c r="N667" s="80"/>
      <c r="O667" s="80"/>
      <c r="P667" s="80"/>
      <c r="Q667" s="80"/>
      <c r="R667" s="80"/>
      <c r="S667" s="80"/>
      <c r="T667" s="80"/>
      <c r="U667" s="80"/>
      <c r="V667" s="24"/>
      <c r="W667" s="24"/>
      <c r="X667" s="80"/>
      <c r="Y667" s="80"/>
      <c r="Z667" s="80"/>
      <c r="AA667" s="80"/>
      <c r="AB667" s="91"/>
      <c r="AC667" s="80"/>
      <c r="AD667" s="24"/>
      <c r="AE667" s="24"/>
      <c r="AF667" s="24"/>
      <c r="AG667" s="24"/>
      <c r="AH667" s="24"/>
      <c r="AI667" s="24"/>
      <c r="AJ667" s="24"/>
      <c r="AK667" s="24"/>
      <c r="AL667" s="24"/>
      <c r="AM667" s="24"/>
      <c r="AN667" s="24"/>
      <c r="AO667" s="24"/>
      <c r="AP667" s="24"/>
      <c r="AQ667" s="24"/>
      <c r="AR667" s="24"/>
      <c r="AS667" s="18"/>
      <c r="AT667" s="18"/>
      <c r="AU667" s="18"/>
      <c r="AV667" s="18"/>
      <c r="AW667" s="18"/>
      <c r="AX667" s="18"/>
      <c r="AY667" s="18"/>
      <c r="AZ667" s="18"/>
    </row>
    <row r="668" spans="1:52" x14ac:dyDescent="0.25">
      <c r="A668" s="80"/>
      <c r="B668" s="80"/>
      <c r="C668" s="113"/>
      <c r="D668" s="80"/>
      <c r="E668" s="80"/>
      <c r="F668" s="80"/>
      <c r="G668" s="80"/>
      <c r="H668" s="80"/>
      <c r="I668" s="80"/>
      <c r="J668" s="80"/>
      <c r="K668" s="87"/>
      <c r="L668" s="80"/>
      <c r="M668" s="80"/>
      <c r="N668" s="80"/>
      <c r="O668" s="80"/>
      <c r="P668" s="80"/>
      <c r="Q668" s="80"/>
      <c r="R668" s="80"/>
      <c r="S668" s="80"/>
      <c r="T668" s="80"/>
      <c r="U668" s="80"/>
      <c r="V668" s="24"/>
      <c r="W668" s="24"/>
      <c r="X668" s="80"/>
      <c r="Y668" s="80"/>
      <c r="Z668" s="80"/>
      <c r="AA668" s="80"/>
      <c r="AB668" s="91"/>
      <c r="AC668" s="80"/>
      <c r="AD668" s="24"/>
      <c r="AE668" s="24"/>
      <c r="AF668" s="24"/>
      <c r="AG668" s="24"/>
      <c r="AH668" s="24"/>
      <c r="AI668" s="24"/>
      <c r="AJ668" s="24"/>
      <c r="AK668" s="24"/>
      <c r="AL668" s="24"/>
      <c r="AM668" s="24"/>
      <c r="AN668" s="24"/>
      <c r="AO668" s="24"/>
      <c r="AP668" s="24"/>
      <c r="AQ668" s="24"/>
      <c r="AR668" s="24"/>
      <c r="AS668" s="18"/>
      <c r="AT668" s="18"/>
      <c r="AU668" s="18"/>
      <c r="AV668" s="18"/>
      <c r="AW668" s="18"/>
      <c r="AX668" s="18"/>
      <c r="AY668" s="18"/>
      <c r="AZ668" s="18"/>
    </row>
    <row r="669" spans="1:52" x14ac:dyDescent="0.25">
      <c r="A669" s="80"/>
      <c r="B669" s="80"/>
      <c r="C669" s="113"/>
      <c r="D669" s="80"/>
      <c r="E669" s="80"/>
      <c r="F669" s="80"/>
      <c r="G669" s="80"/>
      <c r="H669" s="80"/>
      <c r="I669" s="80"/>
      <c r="J669" s="80"/>
      <c r="K669" s="87"/>
      <c r="L669" s="80"/>
      <c r="M669" s="80"/>
      <c r="N669" s="80"/>
      <c r="O669" s="80"/>
      <c r="P669" s="80"/>
      <c r="Q669" s="80"/>
      <c r="R669" s="80"/>
      <c r="S669" s="80"/>
      <c r="T669" s="80"/>
      <c r="U669" s="80"/>
      <c r="V669" s="24"/>
      <c r="W669" s="24"/>
      <c r="X669" s="80"/>
      <c r="Y669" s="80"/>
      <c r="Z669" s="80"/>
      <c r="AA669" s="80"/>
      <c r="AB669" s="91"/>
      <c r="AC669" s="80"/>
      <c r="AD669" s="24"/>
      <c r="AE669" s="24"/>
      <c r="AF669" s="24"/>
      <c r="AG669" s="24"/>
      <c r="AH669" s="24"/>
      <c r="AI669" s="24"/>
      <c r="AJ669" s="24"/>
      <c r="AK669" s="24"/>
      <c r="AL669" s="24"/>
      <c r="AM669" s="24"/>
      <c r="AN669" s="24"/>
      <c r="AO669" s="24"/>
      <c r="AP669" s="24"/>
      <c r="AQ669" s="24"/>
      <c r="AR669" s="24"/>
      <c r="AS669" s="18"/>
      <c r="AT669" s="18"/>
      <c r="AU669" s="18"/>
      <c r="AV669" s="18"/>
      <c r="AW669" s="18"/>
      <c r="AX669" s="18"/>
      <c r="AY669" s="18"/>
      <c r="AZ669" s="18"/>
    </row>
    <row r="670" spans="1:52" x14ac:dyDescent="0.25">
      <c r="A670" s="80"/>
      <c r="B670" s="80"/>
      <c r="C670" s="113"/>
      <c r="D670" s="80"/>
      <c r="E670" s="80"/>
      <c r="F670" s="80"/>
      <c r="G670" s="80"/>
      <c r="H670" s="80"/>
      <c r="I670" s="80"/>
      <c r="J670" s="80"/>
      <c r="K670" s="87"/>
      <c r="L670" s="80"/>
      <c r="M670" s="80"/>
      <c r="N670" s="80"/>
      <c r="O670" s="80"/>
      <c r="P670" s="80"/>
      <c r="Q670" s="80"/>
      <c r="R670" s="80"/>
      <c r="S670" s="80"/>
      <c r="T670" s="80"/>
      <c r="U670" s="80"/>
      <c r="V670" s="24"/>
      <c r="W670" s="24"/>
      <c r="X670" s="80"/>
      <c r="Y670" s="80"/>
      <c r="Z670" s="80"/>
      <c r="AA670" s="80"/>
      <c r="AB670" s="91"/>
      <c r="AC670" s="80"/>
      <c r="AD670" s="24"/>
      <c r="AE670" s="24"/>
      <c r="AF670" s="24"/>
      <c r="AG670" s="24"/>
      <c r="AH670" s="24"/>
      <c r="AI670" s="24"/>
      <c r="AJ670" s="24"/>
      <c r="AK670" s="24"/>
      <c r="AL670" s="24"/>
      <c r="AM670" s="24"/>
      <c r="AN670" s="24"/>
      <c r="AO670" s="24"/>
      <c r="AP670" s="24"/>
      <c r="AQ670" s="24"/>
      <c r="AR670" s="24"/>
      <c r="AS670" s="18"/>
      <c r="AT670" s="18"/>
      <c r="AU670" s="18"/>
      <c r="AV670" s="18"/>
      <c r="AW670" s="18"/>
      <c r="AX670" s="18"/>
      <c r="AY670" s="18"/>
      <c r="AZ670" s="18"/>
    </row>
    <row r="671" spans="1:52" x14ac:dyDescent="0.25">
      <c r="A671" s="80"/>
      <c r="B671" s="80"/>
      <c r="C671" s="113"/>
      <c r="D671" s="80"/>
      <c r="E671" s="80"/>
      <c r="F671" s="80"/>
      <c r="G671" s="80"/>
      <c r="H671" s="80"/>
      <c r="I671" s="80"/>
      <c r="J671" s="80"/>
      <c r="K671" s="87"/>
      <c r="L671" s="80"/>
      <c r="M671" s="80"/>
      <c r="N671" s="80"/>
      <c r="O671" s="80"/>
      <c r="P671" s="80"/>
      <c r="Q671" s="80"/>
      <c r="R671" s="80"/>
      <c r="S671" s="80"/>
      <c r="T671" s="80"/>
      <c r="U671" s="80"/>
      <c r="V671" s="24"/>
      <c r="W671" s="24"/>
      <c r="X671" s="80"/>
      <c r="Y671" s="80"/>
      <c r="Z671" s="80"/>
      <c r="AA671" s="80"/>
      <c r="AB671" s="91"/>
      <c r="AC671" s="80"/>
      <c r="AD671" s="24"/>
      <c r="AE671" s="24"/>
      <c r="AF671" s="24"/>
      <c r="AG671" s="24"/>
      <c r="AH671" s="24"/>
      <c r="AI671" s="24"/>
      <c r="AJ671" s="24"/>
      <c r="AK671" s="24"/>
      <c r="AL671" s="24"/>
      <c r="AM671" s="24"/>
      <c r="AN671" s="24"/>
      <c r="AO671" s="24"/>
      <c r="AP671" s="24"/>
      <c r="AQ671" s="24"/>
      <c r="AR671" s="24"/>
      <c r="AS671" s="18"/>
      <c r="AT671" s="18"/>
      <c r="AU671" s="18"/>
      <c r="AV671" s="18"/>
      <c r="AW671" s="18"/>
      <c r="AX671" s="18"/>
      <c r="AY671" s="18"/>
      <c r="AZ671" s="18"/>
    </row>
    <row r="672" spans="1:52" x14ac:dyDescent="0.25">
      <c r="A672" s="80"/>
      <c r="B672" s="80"/>
      <c r="C672" s="113"/>
      <c r="D672" s="80"/>
      <c r="E672" s="80"/>
      <c r="F672" s="80"/>
      <c r="G672" s="80"/>
      <c r="H672" s="80"/>
      <c r="I672" s="80"/>
      <c r="J672" s="80"/>
      <c r="K672" s="87"/>
      <c r="L672" s="80"/>
      <c r="M672" s="80"/>
      <c r="N672" s="80"/>
      <c r="O672" s="80"/>
      <c r="P672" s="80"/>
      <c r="Q672" s="80"/>
      <c r="R672" s="80"/>
      <c r="S672" s="80"/>
      <c r="T672" s="80"/>
      <c r="U672" s="80"/>
      <c r="V672" s="24"/>
      <c r="W672" s="24"/>
      <c r="X672" s="80"/>
      <c r="Y672" s="80"/>
      <c r="Z672" s="80"/>
      <c r="AA672" s="80"/>
      <c r="AB672" s="91"/>
      <c r="AC672" s="80"/>
      <c r="AD672" s="24"/>
      <c r="AE672" s="24"/>
      <c r="AF672" s="24"/>
      <c r="AG672" s="24"/>
      <c r="AH672" s="24"/>
      <c r="AI672" s="24"/>
      <c r="AJ672" s="24"/>
      <c r="AK672" s="24"/>
      <c r="AL672" s="24"/>
      <c r="AM672" s="24"/>
      <c r="AN672" s="24"/>
      <c r="AO672" s="24"/>
      <c r="AP672" s="24"/>
      <c r="AQ672" s="24"/>
      <c r="AR672" s="24"/>
      <c r="AS672" s="18"/>
      <c r="AT672" s="18"/>
      <c r="AU672" s="18"/>
      <c r="AV672" s="18"/>
      <c r="AW672" s="18"/>
      <c r="AX672" s="18"/>
      <c r="AY672" s="18"/>
      <c r="AZ672" s="18"/>
    </row>
    <row r="673" spans="1:52" x14ac:dyDescent="0.25">
      <c r="A673" s="80"/>
      <c r="B673" s="80"/>
      <c r="C673" s="113"/>
      <c r="D673" s="80"/>
      <c r="E673" s="80"/>
      <c r="F673" s="80"/>
      <c r="G673" s="80"/>
      <c r="H673" s="80"/>
      <c r="I673" s="80"/>
      <c r="J673" s="80"/>
      <c r="K673" s="87"/>
      <c r="L673" s="80"/>
      <c r="M673" s="80"/>
      <c r="N673" s="80"/>
      <c r="O673" s="80"/>
      <c r="P673" s="80"/>
      <c r="Q673" s="80"/>
      <c r="R673" s="80"/>
      <c r="S673" s="80"/>
      <c r="T673" s="80"/>
      <c r="U673" s="80"/>
      <c r="V673" s="24"/>
      <c r="W673" s="24"/>
      <c r="X673" s="80"/>
      <c r="Y673" s="80"/>
      <c r="Z673" s="80"/>
      <c r="AA673" s="80"/>
      <c r="AB673" s="91"/>
      <c r="AC673" s="80"/>
      <c r="AD673" s="24"/>
      <c r="AE673" s="24"/>
      <c r="AF673" s="24"/>
      <c r="AG673" s="24"/>
      <c r="AH673" s="24"/>
      <c r="AI673" s="24"/>
      <c r="AJ673" s="24"/>
      <c r="AK673" s="24"/>
      <c r="AL673" s="24"/>
      <c r="AM673" s="24"/>
      <c r="AN673" s="24"/>
      <c r="AO673" s="24"/>
      <c r="AP673" s="24"/>
      <c r="AQ673" s="24"/>
      <c r="AR673" s="24"/>
      <c r="AS673" s="18"/>
      <c r="AT673" s="18"/>
      <c r="AU673" s="18"/>
      <c r="AV673" s="18"/>
      <c r="AW673" s="18"/>
      <c r="AX673" s="18"/>
      <c r="AY673" s="18"/>
      <c r="AZ673" s="18"/>
    </row>
    <row r="674" spans="1:52" x14ac:dyDescent="0.25">
      <c r="A674" s="80"/>
      <c r="B674" s="80"/>
      <c r="C674" s="113"/>
      <c r="D674" s="80"/>
      <c r="E674" s="80"/>
      <c r="F674" s="80"/>
      <c r="G674" s="80"/>
      <c r="H674" s="80"/>
      <c r="I674" s="80"/>
      <c r="J674" s="80"/>
      <c r="K674" s="87"/>
      <c r="L674" s="80"/>
      <c r="M674" s="80"/>
      <c r="N674" s="80"/>
      <c r="O674" s="80"/>
      <c r="P674" s="80"/>
      <c r="Q674" s="80"/>
      <c r="R674" s="80"/>
      <c r="S674" s="80"/>
      <c r="T674" s="80"/>
      <c r="U674" s="80"/>
      <c r="V674" s="24"/>
      <c r="W674" s="24"/>
      <c r="X674" s="80"/>
      <c r="Y674" s="80"/>
      <c r="Z674" s="80"/>
      <c r="AA674" s="80"/>
      <c r="AB674" s="91"/>
      <c r="AC674" s="80"/>
      <c r="AD674" s="24"/>
      <c r="AE674" s="24"/>
      <c r="AF674" s="24"/>
      <c r="AG674" s="24"/>
      <c r="AH674" s="24"/>
      <c r="AI674" s="24"/>
      <c r="AJ674" s="24"/>
      <c r="AK674" s="24"/>
      <c r="AL674" s="24"/>
      <c r="AM674" s="24"/>
      <c r="AN674" s="24"/>
      <c r="AO674" s="24"/>
      <c r="AP674" s="24"/>
      <c r="AQ674" s="24"/>
      <c r="AR674" s="24"/>
      <c r="AS674" s="18"/>
      <c r="AT674" s="18"/>
      <c r="AU674" s="18"/>
      <c r="AV674" s="18"/>
      <c r="AW674" s="18"/>
      <c r="AX674" s="18"/>
      <c r="AY674" s="18"/>
      <c r="AZ674" s="18"/>
    </row>
    <row r="675" spans="1:52" x14ac:dyDescent="0.25">
      <c r="A675" s="80"/>
      <c r="B675" s="80"/>
      <c r="C675" s="113"/>
      <c r="D675" s="80"/>
      <c r="E675" s="80"/>
      <c r="F675" s="80"/>
      <c r="G675" s="80"/>
      <c r="H675" s="80"/>
      <c r="I675" s="80"/>
      <c r="J675" s="80"/>
      <c r="K675" s="87"/>
      <c r="L675" s="80"/>
      <c r="M675" s="80"/>
      <c r="N675" s="80"/>
      <c r="O675" s="80"/>
      <c r="P675" s="80"/>
      <c r="Q675" s="80"/>
      <c r="R675" s="80"/>
      <c r="S675" s="80"/>
      <c r="T675" s="80"/>
      <c r="U675" s="80"/>
      <c r="V675" s="24"/>
      <c r="W675" s="24"/>
      <c r="X675" s="80"/>
      <c r="Y675" s="80"/>
      <c r="Z675" s="80"/>
      <c r="AA675" s="80"/>
      <c r="AB675" s="91"/>
      <c r="AC675" s="80"/>
      <c r="AD675" s="24"/>
      <c r="AE675" s="24"/>
      <c r="AF675" s="24"/>
      <c r="AG675" s="24"/>
      <c r="AH675" s="24"/>
      <c r="AI675" s="24"/>
      <c r="AJ675" s="24"/>
      <c r="AK675" s="24"/>
      <c r="AL675" s="24"/>
      <c r="AM675" s="24"/>
      <c r="AN675" s="24"/>
      <c r="AO675" s="24"/>
      <c r="AP675" s="24"/>
      <c r="AQ675" s="24"/>
      <c r="AR675" s="24"/>
      <c r="AS675" s="18"/>
      <c r="AT675" s="18"/>
      <c r="AU675" s="18"/>
      <c r="AV675" s="18"/>
      <c r="AW675" s="18"/>
      <c r="AX675" s="18"/>
      <c r="AY675" s="18"/>
      <c r="AZ675" s="18"/>
    </row>
    <row r="676" spans="1:52" x14ac:dyDescent="0.25">
      <c r="A676" s="80"/>
      <c r="B676" s="80"/>
      <c r="C676" s="113"/>
      <c r="D676" s="80"/>
      <c r="E676" s="80"/>
      <c r="F676" s="80"/>
      <c r="G676" s="80"/>
      <c r="H676" s="80"/>
      <c r="I676" s="80"/>
      <c r="J676" s="80"/>
      <c r="K676" s="87"/>
      <c r="L676" s="80"/>
      <c r="M676" s="80"/>
      <c r="N676" s="80"/>
      <c r="O676" s="80"/>
      <c r="P676" s="80"/>
      <c r="Q676" s="80"/>
      <c r="R676" s="80"/>
      <c r="S676" s="80"/>
      <c r="T676" s="80"/>
      <c r="U676" s="80"/>
      <c r="V676" s="24"/>
      <c r="W676" s="24"/>
      <c r="X676" s="80"/>
      <c r="Y676" s="80"/>
      <c r="Z676" s="80"/>
      <c r="AA676" s="80"/>
      <c r="AB676" s="91"/>
      <c r="AC676" s="80"/>
      <c r="AD676" s="24"/>
      <c r="AE676" s="24"/>
      <c r="AF676" s="24"/>
      <c r="AG676" s="24"/>
      <c r="AH676" s="24"/>
      <c r="AI676" s="24"/>
      <c r="AJ676" s="24"/>
      <c r="AK676" s="24"/>
      <c r="AL676" s="24"/>
      <c r="AM676" s="24"/>
      <c r="AN676" s="24"/>
      <c r="AO676" s="24"/>
      <c r="AP676" s="24"/>
      <c r="AQ676" s="24"/>
      <c r="AR676" s="24"/>
      <c r="AS676" s="18"/>
      <c r="AT676" s="18"/>
      <c r="AU676" s="18"/>
      <c r="AV676" s="18"/>
      <c r="AW676" s="18"/>
      <c r="AX676" s="18"/>
      <c r="AY676" s="18"/>
      <c r="AZ676" s="18"/>
    </row>
    <row r="677" spans="1:52" x14ac:dyDescent="0.25">
      <c r="A677" s="80"/>
      <c r="B677" s="80"/>
      <c r="C677" s="113"/>
      <c r="D677" s="80"/>
      <c r="E677" s="80"/>
      <c r="F677" s="80"/>
      <c r="G677" s="80"/>
      <c r="H677" s="80"/>
      <c r="I677" s="80"/>
      <c r="J677" s="80"/>
      <c r="K677" s="87"/>
      <c r="L677" s="80"/>
      <c r="M677" s="80"/>
      <c r="N677" s="80"/>
      <c r="O677" s="80"/>
      <c r="P677" s="80"/>
      <c r="Q677" s="80"/>
      <c r="R677" s="80"/>
      <c r="S677" s="80"/>
      <c r="T677" s="80"/>
      <c r="U677" s="80"/>
      <c r="V677" s="24"/>
      <c r="W677" s="24"/>
      <c r="X677" s="80"/>
      <c r="Y677" s="80"/>
      <c r="Z677" s="80"/>
      <c r="AA677" s="80"/>
      <c r="AB677" s="91"/>
      <c r="AC677" s="80"/>
      <c r="AD677" s="24"/>
      <c r="AE677" s="24"/>
      <c r="AF677" s="24"/>
      <c r="AG677" s="24"/>
      <c r="AH677" s="24"/>
      <c r="AI677" s="24"/>
      <c r="AJ677" s="24"/>
      <c r="AK677" s="24"/>
      <c r="AL677" s="24"/>
      <c r="AM677" s="24"/>
      <c r="AN677" s="24"/>
      <c r="AO677" s="24"/>
      <c r="AP677" s="24"/>
      <c r="AQ677" s="24"/>
      <c r="AR677" s="24"/>
      <c r="AS677" s="18"/>
      <c r="AT677" s="18"/>
      <c r="AU677" s="18"/>
      <c r="AV677" s="18"/>
      <c r="AW677" s="18"/>
      <c r="AX677" s="18"/>
      <c r="AY677" s="18"/>
      <c r="AZ677" s="18"/>
    </row>
    <row r="678" spans="1:52" x14ac:dyDescent="0.25">
      <c r="A678" s="80"/>
      <c r="B678" s="80"/>
      <c r="C678" s="113"/>
      <c r="D678" s="80"/>
      <c r="E678" s="80"/>
      <c r="F678" s="80"/>
      <c r="G678" s="80"/>
      <c r="H678" s="80"/>
      <c r="I678" s="80"/>
      <c r="J678" s="80"/>
      <c r="K678" s="87"/>
      <c r="L678" s="80"/>
      <c r="M678" s="80"/>
      <c r="N678" s="80"/>
      <c r="O678" s="80"/>
      <c r="P678" s="80"/>
      <c r="Q678" s="80"/>
      <c r="R678" s="80"/>
      <c r="S678" s="80"/>
      <c r="T678" s="80"/>
      <c r="U678" s="80"/>
      <c r="V678" s="24"/>
      <c r="W678" s="24"/>
      <c r="X678" s="80"/>
      <c r="Y678" s="80"/>
      <c r="Z678" s="80"/>
      <c r="AA678" s="80"/>
      <c r="AB678" s="91"/>
      <c r="AC678" s="80"/>
      <c r="AD678" s="24"/>
      <c r="AE678" s="24"/>
      <c r="AF678" s="24"/>
      <c r="AG678" s="24"/>
      <c r="AH678" s="24"/>
      <c r="AI678" s="24"/>
      <c r="AJ678" s="24"/>
      <c r="AK678" s="24"/>
      <c r="AL678" s="24"/>
      <c r="AM678" s="24"/>
      <c r="AN678" s="24"/>
      <c r="AO678" s="24"/>
      <c r="AP678" s="24"/>
      <c r="AQ678" s="24"/>
      <c r="AR678" s="24"/>
      <c r="AS678" s="18"/>
      <c r="AT678" s="18"/>
      <c r="AU678" s="18"/>
      <c r="AV678" s="18"/>
      <c r="AW678" s="18"/>
      <c r="AX678" s="18"/>
      <c r="AY678" s="18"/>
      <c r="AZ678" s="18"/>
    </row>
    <row r="679" spans="1:52" x14ac:dyDescent="0.25">
      <c r="A679" s="80"/>
      <c r="B679" s="80"/>
      <c r="C679" s="113"/>
      <c r="D679" s="80"/>
      <c r="E679" s="80"/>
      <c r="F679" s="80"/>
      <c r="G679" s="80"/>
      <c r="H679" s="80"/>
      <c r="I679" s="80"/>
      <c r="J679" s="80"/>
      <c r="K679" s="87"/>
      <c r="L679" s="80"/>
      <c r="M679" s="80"/>
      <c r="N679" s="80"/>
      <c r="O679" s="80"/>
      <c r="P679" s="80"/>
      <c r="Q679" s="80"/>
      <c r="R679" s="80"/>
      <c r="S679" s="80"/>
      <c r="T679" s="80"/>
      <c r="U679" s="80"/>
      <c r="V679" s="24"/>
      <c r="W679" s="24"/>
      <c r="X679" s="80"/>
      <c r="Y679" s="80"/>
      <c r="Z679" s="80"/>
      <c r="AA679" s="80"/>
      <c r="AB679" s="91"/>
      <c r="AC679" s="80"/>
      <c r="AD679" s="24"/>
      <c r="AE679" s="24"/>
      <c r="AF679" s="24"/>
      <c r="AG679" s="24"/>
      <c r="AH679" s="24"/>
      <c r="AI679" s="24"/>
      <c r="AJ679" s="24"/>
      <c r="AK679" s="24"/>
      <c r="AL679" s="24"/>
      <c r="AM679" s="24"/>
      <c r="AN679" s="24"/>
      <c r="AO679" s="24"/>
      <c r="AP679" s="24"/>
      <c r="AQ679" s="24"/>
      <c r="AR679" s="24"/>
      <c r="AS679" s="18"/>
      <c r="AT679" s="18"/>
      <c r="AU679" s="18"/>
      <c r="AV679" s="18"/>
      <c r="AW679" s="18"/>
      <c r="AX679" s="18"/>
      <c r="AY679" s="18"/>
      <c r="AZ679" s="18"/>
    </row>
    <row r="680" spans="1:52" x14ac:dyDescent="0.25">
      <c r="A680" s="80"/>
      <c r="B680" s="80"/>
      <c r="C680" s="113"/>
      <c r="D680" s="80"/>
      <c r="E680" s="80"/>
      <c r="F680" s="80"/>
      <c r="G680" s="80"/>
      <c r="H680" s="80"/>
      <c r="I680" s="80"/>
      <c r="J680" s="80"/>
      <c r="K680" s="87"/>
      <c r="L680" s="80"/>
      <c r="M680" s="80"/>
      <c r="N680" s="80"/>
      <c r="O680" s="80"/>
      <c r="P680" s="80"/>
      <c r="Q680" s="80"/>
      <c r="R680" s="80"/>
      <c r="S680" s="80"/>
      <c r="T680" s="80"/>
      <c r="U680" s="80"/>
      <c r="V680" s="24"/>
      <c r="W680" s="24"/>
      <c r="X680" s="80"/>
      <c r="Y680" s="80"/>
      <c r="Z680" s="80"/>
      <c r="AA680" s="80"/>
      <c r="AB680" s="91"/>
      <c r="AC680" s="80"/>
      <c r="AD680" s="24"/>
      <c r="AE680" s="24"/>
      <c r="AF680" s="24"/>
      <c r="AG680" s="24"/>
      <c r="AH680" s="24"/>
      <c r="AI680" s="24"/>
      <c r="AJ680" s="24"/>
      <c r="AK680" s="24"/>
      <c r="AL680" s="24"/>
      <c r="AM680" s="24"/>
      <c r="AN680" s="24"/>
      <c r="AO680" s="24"/>
      <c r="AP680" s="24"/>
      <c r="AQ680" s="24"/>
      <c r="AR680" s="24"/>
      <c r="AS680" s="18"/>
      <c r="AT680" s="18"/>
      <c r="AU680" s="18"/>
      <c r="AV680" s="18"/>
      <c r="AW680" s="18"/>
      <c r="AX680" s="18"/>
      <c r="AY680" s="18"/>
      <c r="AZ680" s="18"/>
    </row>
    <row r="681" spans="1:52" x14ac:dyDescent="0.25">
      <c r="A681" s="80"/>
      <c r="B681" s="80"/>
      <c r="C681" s="113"/>
      <c r="D681" s="80"/>
      <c r="E681" s="80"/>
      <c r="F681" s="80"/>
      <c r="G681" s="80"/>
      <c r="H681" s="80"/>
      <c r="I681" s="80"/>
      <c r="J681" s="80"/>
      <c r="K681" s="87"/>
      <c r="L681" s="80"/>
      <c r="M681" s="80"/>
      <c r="N681" s="80"/>
      <c r="O681" s="80"/>
      <c r="P681" s="80"/>
      <c r="Q681" s="80"/>
      <c r="R681" s="80"/>
      <c r="S681" s="80"/>
      <c r="T681" s="80"/>
      <c r="U681" s="80"/>
      <c r="V681" s="24"/>
      <c r="W681" s="24"/>
      <c r="X681" s="80"/>
      <c r="Y681" s="80"/>
      <c r="Z681" s="80"/>
      <c r="AA681" s="80"/>
      <c r="AB681" s="91"/>
      <c r="AC681" s="80"/>
      <c r="AD681" s="24"/>
      <c r="AE681" s="24"/>
      <c r="AF681" s="24"/>
      <c r="AG681" s="24"/>
      <c r="AH681" s="24"/>
      <c r="AI681" s="24"/>
      <c r="AJ681" s="24"/>
      <c r="AK681" s="24"/>
      <c r="AL681" s="24"/>
      <c r="AM681" s="24"/>
      <c r="AN681" s="24"/>
      <c r="AO681" s="24"/>
      <c r="AP681" s="24"/>
      <c r="AQ681" s="24"/>
      <c r="AR681" s="24"/>
      <c r="AS681" s="18"/>
      <c r="AT681" s="18"/>
      <c r="AU681" s="18"/>
      <c r="AV681" s="18"/>
      <c r="AW681" s="18"/>
      <c r="AX681" s="18"/>
      <c r="AY681" s="18"/>
      <c r="AZ681" s="18"/>
    </row>
    <row r="682" spans="1:52" x14ac:dyDescent="0.25">
      <c r="A682" s="80"/>
      <c r="B682" s="80"/>
      <c r="C682" s="113"/>
      <c r="D682" s="80"/>
      <c r="E682" s="80"/>
      <c r="F682" s="80"/>
      <c r="G682" s="80"/>
      <c r="H682" s="80"/>
      <c r="I682" s="80"/>
      <c r="J682" s="80"/>
      <c r="K682" s="87"/>
      <c r="L682" s="80"/>
      <c r="M682" s="80"/>
      <c r="N682" s="80"/>
      <c r="O682" s="80"/>
      <c r="P682" s="80"/>
      <c r="Q682" s="80"/>
      <c r="R682" s="80"/>
      <c r="S682" s="80"/>
      <c r="T682" s="80"/>
      <c r="U682" s="80"/>
      <c r="V682" s="24"/>
      <c r="W682" s="24"/>
      <c r="X682" s="80"/>
      <c r="Y682" s="80"/>
      <c r="Z682" s="80"/>
      <c r="AA682" s="80"/>
      <c r="AB682" s="91"/>
      <c r="AC682" s="80"/>
      <c r="AD682" s="24"/>
      <c r="AE682" s="24"/>
      <c r="AF682" s="24"/>
      <c r="AG682" s="24"/>
      <c r="AH682" s="24"/>
      <c r="AI682" s="24"/>
      <c r="AJ682" s="24"/>
      <c r="AK682" s="24"/>
      <c r="AL682" s="24"/>
      <c r="AM682" s="24"/>
      <c r="AN682" s="24"/>
      <c r="AO682" s="24"/>
      <c r="AP682" s="24"/>
      <c r="AQ682" s="24"/>
      <c r="AR682" s="24"/>
      <c r="AS682" s="18"/>
      <c r="AT682" s="18"/>
      <c r="AU682" s="18"/>
      <c r="AV682" s="18"/>
      <c r="AW682" s="18"/>
      <c r="AX682" s="18"/>
      <c r="AY682" s="18"/>
      <c r="AZ682" s="18"/>
    </row>
    <row r="683" spans="1:52" x14ac:dyDescent="0.25">
      <c r="A683" s="80"/>
      <c r="B683" s="80"/>
      <c r="C683" s="113"/>
      <c r="D683" s="80"/>
      <c r="E683" s="80"/>
      <c r="F683" s="80"/>
      <c r="G683" s="80"/>
      <c r="H683" s="80"/>
      <c r="I683" s="80"/>
      <c r="J683" s="80"/>
      <c r="K683" s="87"/>
      <c r="L683" s="80"/>
      <c r="M683" s="80"/>
      <c r="N683" s="80"/>
      <c r="O683" s="80"/>
      <c r="P683" s="80"/>
      <c r="Q683" s="80"/>
      <c r="R683" s="80"/>
      <c r="S683" s="80"/>
      <c r="T683" s="80"/>
      <c r="U683" s="80"/>
      <c r="V683" s="24"/>
      <c r="W683" s="24"/>
      <c r="X683" s="80"/>
      <c r="Y683" s="80"/>
      <c r="Z683" s="80"/>
      <c r="AA683" s="80"/>
      <c r="AB683" s="91"/>
      <c r="AC683" s="80"/>
      <c r="AD683" s="24"/>
      <c r="AE683" s="24"/>
      <c r="AF683" s="24"/>
      <c r="AG683" s="24"/>
      <c r="AH683" s="24"/>
      <c r="AI683" s="24"/>
      <c r="AJ683" s="24"/>
      <c r="AK683" s="24"/>
      <c r="AL683" s="24"/>
      <c r="AM683" s="24"/>
      <c r="AN683" s="24"/>
      <c r="AO683" s="24"/>
      <c r="AP683" s="24"/>
      <c r="AQ683" s="24"/>
      <c r="AR683" s="24"/>
      <c r="AS683" s="18"/>
      <c r="AT683" s="18"/>
      <c r="AU683" s="18"/>
      <c r="AV683" s="18"/>
      <c r="AW683" s="18"/>
      <c r="AX683" s="18"/>
      <c r="AY683" s="18"/>
      <c r="AZ683" s="18"/>
    </row>
    <row r="684" spans="1:52" x14ac:dyDescent="0.25">
      <c r="A684" s="80"/>
      <c r="B684" s="80"/>
      <c r="C684" s="113"/>
      <c r="D684" s="80"/>
      <c r="E684" s="80"/>
      <c r="F684" s="80"/>
      <c r="G684" s="80"/>
      <c r="H684" s="80"/>
      <c r="I684" s="80"/>
      <c r="J684" s="80"/>
      <c r="K684" s="87"/>
      <c r="L684" s="80"/>
      <c r="M684" s="80"/>
      <c r="N684" s="80"/>
      <c r="O684" s="80"/>
      <c r="P684" s="80"/>
      <c r="Q684" s="80"/>
      <c r="R684" s="80"/>
      <c r="S684" s="80"/>
      <c r="T684" s="80"/>
      <c r="U684" s="80"/>
      <c r="V684" s="24"/>
      <c r="W684" s="24"/>
      <c r="X684" s="80"/>
      <c r="Y684" s="80"/>
      <c r="Z684" s="80"/>
      <c r="AA684" s="80"/>
      <c r="AB684" s="91"/>
      <c r="AC684" s="80"/>
      <c r="AD684" s="24"/>
      <c r="AE684" s="24"/>
      <c r="AF684" s="24"/>
      <c r="AG684" s="24"/>
      <c r="AH684" s="24"/>
      <c r="AI684" s="24"/>
      <c r="AJ684" s="24"/>
      <c r="AK684" s="24"/>
      <c r="AL684" s="24"/>
      <c r="AM684" s="24"/>
      <c r="AN684" s="24"/>
      <c r="AO684" s="24"/>
      <c r="AP684" s="24"/>
      <c r="AQ684" s="24"/>
      <c r="AR684" s="24"/>
      <c r="AS684" s="18"/>
      <c r="AT684" s="18"/>
      <c r="AU684" s="18"/>
      <c r="AV684" s="18"/>
      <c r="AW684" s="18"/>
      <c r="AX684" s="18"/>
      <c r="AY684" s="18"/>
      <c r="AZ684" s="18"/>
    </row>
    <row r="685" spans="1:52" x14ac:dyDescent="0.25">
      <c r="A685" s="80"/>
      <c r="B685" s="80"/>
      <c r="C685" s="113"/>
      <c r="D685" s="80"/>
      <c r="E685" s="80"/>
      <c r="F685" s="80"/>
      <c r="G685" s="80"/>
      <c r="H685" s="80"/>
      <c r="I685" s="80"/>
      <c r="J685" s="80"/>
      <c r="K685" s="87"/>
      <c r="L685" s="80"/>
      <c r="M685" s="80"/>
      <c r="N685" s="80"/>
      <c r="O685" s="80"/>
      <c r="P685" s="80"/>
      <c r="Q685" s="80"/>
      <c r="R685" s="80"/>
      <c r="S685" s="80"/>
      <c r="T685" s="80"/>
      <c r="U685" s="80"/>
      <c r="V685" s="24"/>
      <c r="W685" s="24"/>
      <c r="X685" s="80"/>
      <c r="Y685" s="80"/>
      <c r="Z685" s="80"/>
      <c r="AA685" s="80"/>
      <c r="AB685" s="91"/>
      <c r="AC685" s="80"/>
      <c r="AD685" s="24"/>
      <c r="AE685" s="24"/>
      <c r="AF685" s="24"/>
      <c r="AG685" s="24"/>
      <c r="AH685" s="24"/>
      <c r="AI685" s="24"/>
      <c r="AJ685" s="24"/>
      <c r="AK685" s="24"/>
      <c r="AL685" s="24"/>
      <c r="AM685" s="24"/>
      <c r="AN685" s="24"/>
      <c r="AO685" s="24"/>
      <c r="AP685" s="24"/>
      <c r="AQ685" s="24"/>
      <c r="AR685" s="24"/>
      <c r="AS685" s="18"/>
      <c r="AT685" s="18"/>
      <c r="AU685" s="18"/>
      <c r="AV685" s="18"/>
      <c r="AW685" s="18"/>
      <c r="AX685" s="18"/>
      <c r="AY685" s="18"/>
      <c r="AZ685" s="18"/>
    </row>
    <row r="686" spans="1:52" x14ac:dyDescent="0.25">
      <c r="A686" s="80"/>
      <c r="B686" s="80"/>
      <c r="C686" s="113"/>
      <c r="D686" s="80"/>
      <c r="E686" s="80"/>
      <c r="F686" s="80"/>
      <c r="G686" s="80"/>
      <c r="H686" s="80"/>
      <c r="I686" s="80"/>
      <c r="J686" s="80"/>
      <c r="K686" s="87"/>
      <c r="L686" s="80"/>
      <c r="M686" s="80"/>
      <c r="N686" s="80"/>
      <c r="O686" s="80"/>
      <c r="P686" s="80"/>
      <c r="Q686" s="80"/>
      <c r="R686" s="80"/>
      <c r="S686" s="80"/>
      <c r="T686" s="80"/>
      <c r="U686" s="80"/>
      <c r="V686" s="24"/>
      <c r="W686" s="24"/>
      <c r="X686" s="80"/>
      <c r="Y686" s="80"/>
      <c r="Z686" s="80"/>
      <c r="AA686" s="80"/>
      <c r="AB686" s="91"/>
      <c r="AC686" s="80"/>
      <c r="AD686" s="24"/>
      <c r="AE686" s="24"/>
      <c r="AF686" s="24"/>
      <c r="AG686" s="24"/>
      <c r="AH686" s="24"/>
      <c r="AI686" s="24"/>
      <c r="AJ686" s="24"/>
      <c r="AK686" s="24"/>
      <c r="AL686" s="24"/>
      <c r="AM686" s="24"/>
      <c r="AN686" s="24"/>
      <c r="AO686" s="24"/>
      <c r="AP686" s="24"/>
      <c r="AQ686" s="24"/>
      <c r="AR686" s="24"/>
      <c r="AS686" s="18"/>
      <c r="AT686" s="18"/>
      <c r="AU686" s="18"/>
      <c r="AV686" s="18"/>
      <c r="AW686" s="18"/>
      <c r="AX686" s="18"/>
      <c r="AY686" s="18"/>
      <c r="AZ686" s="18"/>
    </row>
    <row r="687" spans="1:52" x14ac:dyDescent="0.25">
      <c r="A687" s="80"/>
      <c r="B687" s="80"/>
      <c r="C687" s="113"/>
      <c r="D687" s="80"/>
      <c r="E687" s="80"/>
      <c r="F687" s="80"/>
      <c r="G687" s="80"/>
      <c r="H687" s="80"/>
      <c r="I687" s="80"/>
      <c r="J687" s="80"/>
      <c r="K687" s="87"/>
      <c r="L687" s="80"/>
      <c r="M687" s="80"/>
      <c r="N687" s="80"/>
      <c r="O687" s="80"/>
      <c r="P687" s="80"/>
      <c r="Q687" s="80"/>
      <c r="R687" s="80"/>
      <c r="S687" s="80"/>
      <c r="T687" s="80"/>
      <c r="U687" s="80"/>
      <c r="V687" s="24"/>
      <c r="W687" s="24"/>
      <c r="X687" s="80"/>
      <c r="Y687" s="80"/>
      <c r="Z687" s="80"/>
      <c r="AA687" s="80"/>
      <c r="AB687" s="91"/>
      <c r="AC687" s="80"/>
      <c r="AD687" s="24"/>
      <c r="AE687" s="24"/>
      <c r="AF687" s="24"/>
      <c r="AG687" s="24"/>
      <c r="AH687" s="24"/>
      <c r="AI687" s="24"/>
      <c r="AJ687" s="24"/>
      <c r="AK687" s="24"/>
      <c r="AL687" s="24"/>
      <c r="AM687" s="24"/>
      <c r="AN687" s="24"/>
      <c r="AO687" s="24"/>
      <c r="AP687" s="24"/>
      <c r="AQ687" s="24"/>
      <c r="AR687" s="24"/>
      <c r="AS687" s="18"/>
      <c r="AT687" s="18"/>
      <c r="AU687" s="18"/>
      <c r="AV687" s="18"/>
      <c r="AW687" s="18"/>
      <c r="AX687" s="18"/>
      <c r="AY687" s="18"/>
      <c r="AZ687" s="18"/>
    </row>
    <row r="688" spans="1:52" x14ac:dyDescent="0.25">
      <c r="A688" s="80"/>
      <c r="B688" s="80"/>
      <c r="C688" s="113"/>
      <c r="D688" s="80"/>
      <c r="E688" s="80"/>
      <c r="F688" s="80"/>
      <c r="G688" s="80"/>
      <c r="H688" s="80"/>
      <c r="I688" s="80"/>
      <c r="J688" s="80"/>
      <c r="K688" s="87"/>
      <c r="L688" s="80"/>
      <c r="M688" s="80"/>
      <c r="N688" s="80"/>
      <c r="O688" s="80"/>
      <c r="P688" s="80"/>
      <c r="Q688" s="80"/>
      <c r="R688" s="80"/>
      <c r="S688" s="80"/>
      <c r="T688" s="80"/>
      <c r="U688" s="80"/>
      <c r="V688" s="24"/>
      <c r="W688" s="24"/>
      <c r="X688" s="80"/>
      <c r="Y688" s="80"/>
      <c r="Z688" s="80"/>
      <c r="AA688" s="80"/>
      <c r="AB688" s="91"/>
      <c r="AC688" s="80"/>
      <c r="AD688" s="24"/>
      <c r="AE688" s="24"/>
      <c r="AF688" s="24"/>
      <c r="AG688" s="24"/>
      <c r="AH688" s="24"/>
      <c r="AI688" s="24"/>
      <c r="AJ688" s="24"/>
      <c r="AK688" s="24"/>
      <c r="AL688" s="24"/>
      <c r="AM688" s="24"/>
      <c r="AN688" s="24"/>
      <c r="AO688" s="24"/>
      <c r="AP688" s="24"/>
      <c r="AQ688" s="24"/>
      <c r="AR688" s="24"/>
      <c r="AS688" s="18"/>
      <c r="AT688" s="18"/>
      <c r="AU688" s="18"/>
      <c r="AV688" s="18"/>
      <c r="AW688" s="18"/>
      <c r="AX688" s="18"/>
      <c r="AY688" s="18"/>
      <c r="AZ688" s="18"/>
    </row>
    <row r="689" spans="1:52" x14ac:dyDescent="0.25">
      <c r="A689" s="80"/>
      <c r="B689" s="80"/>
      <c r="C689" s="113"/>
      <c r="D689" s="80"/>
      <c r="E689" s="80"/>
      <c r="F689" s="80"/>
      <c r="G689" s="80"/>
      <c r="H689" s="80"/>
      <c r="I689" s="80"/>
      <c r="J689" s="80"/>
      <c r="K689" s="87"/>
      <c r="L689" s="80"/>
      <c r="M689" s="80"/>
      <c r="N689" s="80"/>
      <c r="O689" s="80"/>
      <c r="P689" s="80"/>
      <c r="Q689" s="80"/>
      <c r="R689" s="80"/>
      <c r="S689" s="80"/>
      <c r="T689" s="80"/>
      <c r="U689" s="80"/>
      <c r="V689" s="24"/>
      <c r="W689" s="24"/>
      <c r="X689" s="80"/>
      <c r="Y689" s="80"/>
      <c r="Z689" s="80"/>
      <c r="AA689" s="80"/>
      <c r="AB689" s="91"/>
      <c r="AC689" s="80"/>
      <c r="AD689" s="24"/>
      <c r="AE689" s="24"/>
      <c r="AF689" s="24"/>
      <c r="AG689" s="24"/>
      <c r="AH689" s="24"/>
      <c r="AI689" s="24"/>
      <c r="AJ689" s="24"/>
      <c r="AK689" s="24"/>
      <c r="AL689" s="24"/>
      <c r="AM689" s="24"/>
      <c r="AN689" s="24"/>
      <c r="AO689" s="24"/>
      <c r="AP689" s="24"/>
      <c r="AQ689" s="24"/>
      <c r="AR689" s="24"/>
      <c r="AS689" s="18"/>
      <c r="AT689" s="18"/>
      <c r="AU689" s="18"/>
      <c r="AV689" s="18"/>
      <c r="AW689" s="18"/>
      <c r="AX689" s="18"/>
      <c r="AY689" s="18"/>
      <c r="AZ689" s="18"/>
    </row>
    <row r="690" spans="1:52" x14ac:dyDescent="0.25">
      <c r="A690" s="80"/>
      <c r="B690" s="80"/>
      <c r="C690" s="113"/>
      <c r="D690" s="80"/>
      <c r="E690" s="80"/>
      <c r="F690" s="80"/>
      <c r="G690" s="80"/>
      <c r="H690" s="80"/>
      <c r="I690" s="80"/>
      <c r="J690" s="80"/>
      <c r="K690" s="87"/>
      <c r="L690" s="80"/>
      <c r="M690" s="80"/>
      <c r="N690" s="80"/>
      <c r="O690" s="80"/>
      <c r="P690" s="80"/>
      <c r="Q690" s="80"/>
      <c r="R690" s="80"/>
      <c r="S690" s="80"/>
      <c r="T690" s="80"/>
      <c r="U690" s="80"/>
      <c r="V690" s="24"/>
      <c r="W690" s="24"/>
      <c r="X690" s="80"/>
      <c r="Y690" s="80"/>
      <c r="Z690" s="80"/>
      <c r="AA690" s="80"/>
      <c r="AB690" s="91"/>
      <c r="AC690" s="80"/>
      <c r="AD690" s="24"/>
      <c r="AE690" s="24"/>
      <c r="AF690" s="24"/>
      <c r="AG690" s="24"/>
      <c r="AH690" s="24"/>
      <c r="AI690" s="24"/>
      <c r="AJ690" s="24"/>
      <c r="AK690" s="24"/>
      <c r="AL690" s="24"/>
      <c r="AM690" s="24"/>
      <c r="AN690" s="24"/>
      <c r="AO690" s="24"/>
      <c r="AP690" s="24"/>
      <c r="AQ690" s="24"/>
      <c r="AR690" s="24"/>
      <c r="AS690" s="18"/>
      <c r="AT690" s="18"/>
      <c r="AU690" s="18"/>
      <c r="AV690" s="18"/>
      <c r="AW690" s="18"/>
      <c r="AX690" s="18"/>
      <c r="AY690" s="18"/>
      <c r="AZ690" s="18"/>
    </row>
    <row r="691" spans="1:52" x14ac:dyDescent="0.25">
      <c r="A691" s="80"/>
      <c r="B691" s="80"/>
      <c r="C691" s="113"/>
      <c r="D691" s="80"/>
      <c r="E691" s="80"/>
      <c r="F691" s="80"/>
      <c r="G691" s="80"/>
      <c r="H691" s="80"/>
      <c r="I691" s="80"/>
      <c r="J691" s="80"/>
      <c r="K691" s="87"/>
      <c r="L691" s="80"/>
      <c r="M691" s="80"/>
      <c r="N691" s="80"/>
      <c r="O691" s="80"/>
      <c r="P691" s="80"/>
      <c r="Q691" s="80"/>
      <c r="R691" s="80"/>
      <c r="S691" s="80"/>
      <c r="T691" s="80"/>
      <c r="U691" s="80"/>
      <c r="V691" s="24"/>
      <c r="W691" s="24"/>
      <c r="X691" s="80"/>
      <c r="Y691" s="80"/>
      <c r="Z691" s="80"/>
      <c r="AA691" s="80"/>
      <c r="AB691" s="91"/>
      <c r="AC691" s="80"/>
      <c r="AD691" s="24"/>
      <c r="AE691" s="24"/>
      <c r="AF691" s="24"/>
      <c r="AG691" s="24"/>
      <c r="AH691" s="24"/>
      <c r="AI691" s="24"/>
      <c r="AJ691" s="24"/>
      <c r="AK691" s="24"/>
      <c r="AL691" s="24"/>
      <c r="AM691" s="24"/>
      <c r="AN691" s="24"/>
      <c r="AO691" s="24"/>
      <c r="AP691" s="24"/>
      <c r="AQ691" s="24"/>
      <c r="AR691" s="24"/>
      <c r="AS691" s="18"/>
      <c r="AT691" s="18"/>
      <c r="AU691" s="18"/>
      <c r="AV691" s="18"/>
      <c r="AW691" s="18"/>
      <c r="AX691" s="18"/>
      <c r="AY691" s="18"/>
      <c r="AZ691" s="18"/>
    </row>
    <row r="692" spans="1:52" x14ac:dyDescent="0.25">
      <c r="A692" s="80"/>
      <c r="B692" s="80"/>
      <c r="C692" s="113"/>
      <c r="D692" s="80"/>
      <c r="E692" s="80"/>
      <c r="F692" s="80"/>
      <c r="G692" s="80"/>
      <c r="H692" s="80"/>
      <c r="I692" s="80"/>
      <c r="J692" s="80"/>
      <c r="K692" s="87"/>
      <c r="L692" s="80"/>
      <c r="M692" s="80"/>
      <c r="N692" s="80"/>
      <c r="O692" s="80"/>
      <c r="P692" s="80"/>
      <c r="Q692" s="80"/>
      <c r="R692" s="80"/>
      <c r="S692" s="80"/>
      <c r="T692" s="80"/>
      <c r="U692" s="80"/>
      <c r="V692" s="24"/>
      <c r="W692" s="24"/>
      <c r="X692" s="80"/>
      <c r="Y692" s="80"/>
      <c r="Z692" s="80"/>
      <c r="AA692" s="80"/>
      <c r="AB692" s="91"/>
      <c r="AC692" s="80"/>
      <c r="AD692" s="24"/>
      <c r="AE692" s="24"/>
      <c r="AF692" s="24"/>
      <c r="AG692" s="24"/>
      <c r="AH692" s="24"/>
      <c r="AI692" s="24"/>
      <c r="AJ692" s="24"/>
      <c r="AK692" s="24"/>
      <c r="AL692" s="24"/>
      <c r="AM692" s="24"/>
      <c r="AN692" s="24"/>
      <c r="AO692" s="24"/>
      <c r="AP692" s="24"/>
      <c r="AQ692" s="24"/>
      <c r="AR692" s="24"/>
      <c r="AS692" s="18"/>
      <c r="AT692" s="18"/>
      <c r="AU692" s="18"/>
      <c r="AV692" s="18"/>
      <c r="AW692" s="18"/>
      <c r="AX692" s="18"/>
      <c r="AY692" s="18"/>
      <c r="AZ692" s="18"/>
    </row>
    <row r="693" spans="1:52" x14ac:dyDescent="0.25">
      <c r="A693" s="80"/>
      <c r="B693" s="80"/>
      <c r="C693" s="113"/>
      <c r="D693" s="80"/>
      <c r="E693" s="80"/>
      <c r="F693" s="80"/>
      <c r="G693" s="80"/>
      <c r="H693" s="80"/>
      <c r="I693" s="80"/>
      <c r="J693" s="80"/>
      <c r="K693" s="87"/>
      <c r="L693" s="80"/>
      <c r="M693" s="80"/>
      <c r="N693" s="80"/>
      <c r="O693" s="80"/>
      <c r="P693" s="80"/>
      <c r="Q693" s="80"/>
      <c r="R693" s="80"/>
      <c r="S693" s="80"/>
      <c r="T693" s="80"/>
      <c r="U693" s="80"/>
      <c r="V693" s="24"/>
      <c r="W693" s="24"/>
      <c r="X693" s="80"/>
      <c r="Y693" s="80"/>
      <c r="Z693" s="80"/>
      <c r="AA693" s="80"/>
      <c r="AB693" s="91"/>
      <c r="AC693" s="80"/>
      <c r="AD693" s="24"/>
      <c r="AE693" s="24"/>
      <c r="AF693" s="24"/>
      <c r="AG693" s="24"/>
      <c r="AH693" s="24"/>
      <c r="AI693" s="24"/>
      <c r="AJ693" s="24"/>
      <c r="AK693" s="24"/>
      <c r="AL693" s="24"/>
      <c r="AM693" s="24"/>
      <c r="AN693" s="24"/>
      <c r="AO693" s="24"/>
      <c r="AP693" s="24"/>
      <c r="AQ693" s="24"/>
      <c r="AR693" s="24"/>
      <c r="AS693" s="18"/>
      <c r="AT693" s="18"/>
      <c r="AU693" s="18"/>
      <c r="AV693" s="18"/>
      <c r="AW693" s="18"/>
      <c r="AX693" s="18"/>
      <c r="AY693" s="18"/>
      <c r="AZ693" s="18"/>
    </row>
    <row r="694" spans="1:52" x14ac:dyDescent="0.25">
      <c r="A694" s="80"/>
      <c r="B694" s="80"/>
      <c r="C694" s="113"/>
      <c r="D694" s="80"/>
      <c r="E694" s="80"/>
      <c r="F694" s="80"/>
      <c r="G694" s="80"/>
      <c r="H694" s="80"/>
      <c r="I694" s="80"/>
      <c r="J694" s="80"/>
      <c r="K694" s="87"/>
      <c r="L694" s="80"/>
      <c r="M694" s="80"/>
      <c r="N694" s="80"/>
      <c r="O694" s="80"/>
      <c r="P694" s="80"/>
      <c r="Q694" s="80"/>
      <c r="R694" s="80"/>
      <c r="S694" s="80"/>
      <c r="T694" s="80"/>
      <c r="U694" s="80"/>
      <c r="V694" s="24"/>
      <c r="W694" s="24"/>
      <c r="X694" s="80"/>
      <c r="Y694" s="80"/>
      <c r="Z694" s="80"/>
      <c r="AA694" s="80"/>
      <c r="AB694" s="91"/>
      <c r="AC694" s="80"/>
      <c r="AD694" s="24"/>
      <c r="AE694" s="24"/>
      <c r="AF694" s="24"/>
      <c r="AG694" s="24"/>
      <c r="AH694" s="24"/>
      <c r="AI694" s="24"/>
      <c r="AJ694" s="24"/>
      <c r="AK694" s="24"/>
      <c r="AL694" s="24"/>
      <c r="AM694" s="24"/>
      <c r="AN694" s="24"/>
      <c r="AO694" s="24"/>
      <c r="AP694" s="24"/>
      <c r="AQ694" s="24"/>
      <c r="AR694" s="24"/>
      <c r="AS694" s="18"/>
      <c r="AT694" s="18"/>
      <c r="AU694" s="18"/>
      <c r="AV694" s="18"/>
      <c r="AW694" s="18"/>
      <c r="AX694" s="18"/>
      <c r="AY694" s="18"/>
      <c r="AZ694" s="18"/>
    </row>
    <row r="695" spans="1:52" x14ac:dyDescent="0.25">
      <c r="A695" s="80"/>
      <c r="B695" s="80"/>
      <c r="C695" s="113"/>
      <c r="D695" s="80"/>
      <c r="E695" s="80"/>
      <c r="F695" s="80"/>
      <c r="G695" s="80"/>
      <c r="H695" s="80"/>
      <c r="I695" s="80"/>
      <c r="J695" s="80"/>
      <c r="K695" s="87"/>
      <c r="L695" s="80"/>
      <c r="M695" s="80"/>
      <c r="N695" s="80"/>
      <c r="O695" s="80"/>
      <c r="P695" s="80"/>
      <c r="Q695" s="80"/>
      <c r="R695" s="80"/>
      <c r="S695" s="80"/>
      <c r="T695" s="80"/>
      <c r="U695" s="80"/>
      <c r="V695" s="24"/>
      <c r="W695" s="24"/>
      <c r="X695" s="80"/>
      <c r="Y695" s="80"/>
      <c r="Z695" s="80"/>
      <c r="AA695" s="80"/>
      <c r="AB695" s="91"/>
      <c r="AC695" s="80"/>
      <c r="AD695" s="24"/>
      <c r="AE695" s="24"/>
      <c r="AF695" s="24"/>
      <c r="AG695" s="24"/>
      <c r="AH695" s="24"/>
      <c r="AI695" s="24"/>
      <c r="AJ695" s="24"/>
      <c r="AK695" s="24"/>
      <c r="AL695" s="24"/>
      <c r="AM695" s="24"/>
      <c r="AN695" s="24"/>
      <c r="AO695" s="24"/>
      <c r="AP695" s="24"/>
      <c r="AQ695" s="24"/>
      <c r="AR695" s="24"/>
      <c r="AS695" s="18"/>
      <c r="AT695" s="18"/>
      <c r="AU695" s="18"/>
      <c r="AV695" s="18"/>
      <c r="AW695" s="18"/>
      <c r="AX695" s="18"/>
      <c r="AY695" s="18"/>
      <c r="AZ695" s="18"/>
    </row>
    <row r="696" spans="1:52" x14ac:dyDescent="0.25">
      <c r="A696" s="80"/>
      <c r="B696" s="80"/>
      <c r="C696" s="113"/>
      <c r="D696" s="80"/>
      <c r="E696" s="80"/>
      <c r="F696" s="80"/>
      <c r="G696" s="80"/>
      <c r="H696" s="80"/>
      <c r="I696" s="80"/>
      <c r="J696" s="80"/>
      <c r="K696" s="87"/>
      <c r="L696" s="80"/>
      <c r="M696" s="80"/>
      <c r="N696" s="80"/>
      <c r="O696" s="80"/>
      <c r="P696" s="80"/>
      <c r="Q696" s="80"/>
      <c r="R696" s="80"/>
      <c r="S696" s="80"/>
      <c r="T696" s="80"/>
      <c r="U696" s="80"/>
      <c r="V696" s="24"/>
      <c r="W696" s="24"/>
      <c r="X696" s="80"/>
      <c r="Y696" s="80"/>
      <c r="Z696" s="80"/>
      <c r="AA696" s="80"/>
      <c r="AB696" s="91"/>
      <c r="AC696" s="80"/>
      <c r="AD696" s="24"/>
      <c r="AE696" s="24"/>
      <c r="AF696" s="24"/>
      <c r="AG696" s="24"/>
      <c r="AH696" s="24"/>
      <c r="AI696" s="24"/>
      <c r="AJ696" s="24"/>
      <c r="AK696" s="24"/>
      <c r="AL696" s="24"/>
      <c r="AM696" s="24"/>
      <c r="AN696" s="24"/>
      <c r="AO696" s="24"/>
      <c r="AP696" s="24"/>
      <c r="AQ696" s="24"/>
      <c r="AR696" s="24"/>
      <c r="AS696" s="18"/>
      <c r="AT696" s="18"/>
      <c r="AU696" s="18"/>
      <c r="AV696" s="18"/>
      <c r="AW696" s="18"/>
      <c r="AX696" s="18"/>
      <c r="AY696" s="18"/>
      <c r="AZ696" s="18"/>
    </row>
    <row r="697" spans="1:52" x14ac:dyDescent="0.25">
      <c r="A697" s="80"/>
      <c r="B697" s="80"/>
      <c r="C697" s="113"/>
      <c r="D697" s="80"/>
      <c r="E697" s="80"/>
      <c r="F697" s="80"/>
      <c r="G697" s="80"/>
      <c r="H697" s="80"/>
      <c r="I697" s="80"/>
      <c r="J697" s="80"/>
      <c r="K697" s="87"/>
      <c r="L697" s="80"/>
      <c r="M697" s="80"/>
      <c r="N697" s="80"/>
      <c r="O697" s="80"/>
      <c r="P697" s="80"/>
      <c r="Q697" s="80"/>
      <c r="R697" s="80"/>
      <c r="S697" s="80"/>
      <c r="T697" s="80"/>
      <c r="U697" s="80"/>
      <c r="V697" s="24"/>
      <c r="W697" s="24"/>
      <c r="X697" s="80"/>
      <c r="Y697" s="80"/>
      <c r="Z697" s="80"/>
      <c r="AA697" s="80"/>
      <c r="AB697" s="91"/>
      <c r="AC697" s="80"/>
      <c r="AD697" s="24"/>
      <c r="AE697" s="24"/>
      <c r="AF697" s="24"/>
      <c r="AG697" s="24"/>
      <c r="AH697" s="24"/>
      <c r="AI697" s="24"/>
      <c r="AJ697" s="24"/>
      <c r="AK697" s="24"/>
      <c r="AL697" s="24"/>
      <c r="AM697" s="24"/>
      <c r="AN697" s="24"/>
      <c r="AO697" s="24"/>
      <c r="AP697" s="24"/>
      <c r="AQ697" s="24"/>
      <c r="AR697" s="24"/>
      <c r="AS697" s="18"/>
      <c r="AT697" s="18"/>
      <c r="AU697" s="18"/>
      <c r="AV697" s="18"/>
      <c r="AW697" s="18"/>
      <c r="AX697" s="18"/>
      <c r="AY697" s="18"/>
      <c r="AZ697" s="18"/>
    </row>
    <row r="698" spans="1:52" x14ac:dyDescent="0.25">
      <c r="A698" s="80"/>
      <c r="B698" s="80"/>
      <c r="C698" s="113"/>
      <c r="D698" s="80"/>
      <c r="E698" s="80"/>
      <c r="F698" s="80"/>
      <c r="G698" s="80"/>
      <c r="H698" s="80"/>
      <c r="I698" s="80"/>
      <c r="J698" s="80"/>
      <c r="K698" s="87"/>
      <c r="L698" s="80"/>
      <c r="M698" s="80"/>
      <c r="N698" s="80"/>
      <c r="O698" s="80"/>
      <c r="P698" s="80"/>
      <c r="Q698" s="80"/>
      <c r="R698" s="80"/>
      <c r="S698" s="80"/>
      <c r="T698" s="80"/>
      <c r="U698" s="80"/>
      <c r="V698" s="24"/>
      <c r="W698" s="24"/>
      <c r="X698" s="80"/>
      <c r="Y698" s="80"/>
      <c r="Z698" s="80"/>
      <c r="AA698" s="80"/>
      <c r="AB698" s="91"/>
      <c r="AC698" s="80"/>
      <c r="AD698" s="24"/>
      <c r="AE698" s="24"/>
      <c r="AF698" s="24"/>
      <c r="AG698" s="24"/>
      <c r="AH698" s="24"/>
      <c r="AI698" s="24"/>
      <c r="AJ698" s="24"/>
      <c r="AK698" s="24"/>
      <c r="AL698" s="24"/>
      <c r="AM698" s="24"/>
      <c r="AN698" s="24"/>
      <c r="AO698" s="24"/>
      <c r="AP698" s="24"/>
      <c r="AQ698" s="24"/>
      <c r="AR698" s="24"/>
      <c r="AS698" s="18"/>
      <c r="AT698" s="18"/>
      <c r="AU698" s="18"/>
      <c r="AV698" s="18"/>
      <c r="AW698" s="18"/>
      <c r="AX698" s="18"/>
      <c r="AY698" s="18"/>
      <c r="AZ698" s="18"/>
    </row>
    <row r="699" spans="1:52" x14ac:dyDescent="0.25">
      <c r="A699" s="80"/>
      <c r="B699" s="80"/>
      <c r="C699" s="113"/>
      <c r="D699" s="80"/>
      <c r="E699" s="80"/>
      <c r="F699" s="80"/>
      <c r="G699" s="80"/>
      <c r="H699" s="80"/>
      <c r="I699" s="80"/>
      <c r="J699" s="80"/>
      <c r="K699" s="87"/>
      <c r="L699" s="80"/>
      <c r="M699" s="80"/>
      <c r="N699" s="80"/>
      <c r="O699" s="80"/>
      <c r="P699" s="80"/>
      <c r="Q699" s="80"/>
      <c r="R699" s="80"/>
      <c r="S699" s="80"/>
      <c r="T699" s="80"/>
      <c r="U699" s="80"/>
      <c r="V699" s="24"/>
      <c r="W699" s="24"/>
      <c r="X699" s="80"/>
      <c r="Y699" s="80"/>
      <c r="Z699" s="80"/>
      <c r="AA699" s="80"/>
      <c r="AB699" s="91"/>
      <c r="AC699" s="80"/>
      <c r="AD699" s="24"/>
      <c r="AE699" s="24"/>
      <c r="AF699" s="24"/>
      <c r="AG699" s="24"/>
      <c r="AH699" s="24"/>
      <c r="AI699" s="24"/>
      <c r="AJ699" s="24"/>
      <c r="AK699" s="24"/>
      <c r="AL699" s="24"/>
      <c r="AM699" s="24"/>
      <c r="AN699" s="24"/>
      <c r="AO699" s="24"/>
      <c r="AP699" s="24"/>
      <c r="AQ699" s="24"/>
      <c r="AR699" s="24"/>
      <c r="AS699" s="18"/>
      <c r="AT699" s="18"/>
      <c r="AU699" s="18"/>
      <c r="AV699" s="18"/>
      <c r="AW699" s="18"/>
      <c r="AX699" s="18"/>
      <c r="AY699" s="18"/>
      <c r="AZ699" s="18"/>
    </row>
    <row r="700" spans="1:52" x14ac:dyDescent="0.25">
      <c r="A700" s="80"/>
      <c r="B700" s="80"/>
      <c r="C700" s="113"/>
      <c r="D700" s="80"/>
      <c r="E700" s="80"/>
      <c r="F700" s="80"/>
      <c r="G700" s="80"/>
      <c r="H700" s="80"/>
      <c r="I700" s="80"/>
      <c r="J700" s="80"/>
      <c r="K700" s="87"/>
      <c r="L700" s="80"/>
      <c r="M700" s="80"/>
      <c r="N700" s="80"/>
      <c r="O700" s="80"/>
      <c r="P700" s="80"/>
      <c r="Q700" s="80"/>
      <c r="R700" s="80"/>
      <c r="S700" s="80"/>
      <c r="T700" s="80"/>
      <c r="U700" s="80"/>
      <c r="V700" s="24"/>
      <c r="W700" s="24"/>
      <c r="X700" s="80"/>
      <c r="Y700" s="80"/>
      <c r="Z700" s="80"/>
      <c r="AA700" s="80"/>
      <c r="AB700" s="91"/>
      <c r="AC700" s="80"/>
      <c r="AD700" s="24"/>
      <c r="AE700" s="24"/>
      <c r="AF700" s="24"/>
      <c r="AG700" s="24"/>
      <c r="AH700" s="24"/>
      <c r="AI700" s="24"/>
      <c r="AJ700" s="24"/>
      <c r="AK700" s="24"/>
      <c r="AL700" s="24"/>
      <c r="AM700" s="24"/>
      <c r="AN700" s="24"/>
      <c r="AO700" s="24"/>
      <c r="AP700" s="24"/>
      <c r="AQ700" s="24"/>
      <c r="AR700" s="24"/>
      <c r="AS700" s="18"/>
      <c r="AT700" s="18"/>
      <c r="AU700" s="18"/>
      <c r="AV700" s="18"/>
      <c r="AW700" s="18"/>
      <c r="AX700" s="18"/>
      <c r="AY700" s="18"/>
      <c r="AZ700" s="18"/>
    </row>
    <row r="701" spans="1:52" x14ac:dyDescent="0.25">
      <c r="A701" s="80"/>
      <c r="B701" s="80"/>
      <c r="C701" s="113"/>
      <c r="D701" s="80"/>
      <c r="E701" s="80"/>
      <c r="F701" s="80"/>
      <c r="G701" s="80"/>
      <c r="H701" s="80"/>
      <c r="I701" s="80"/>
      <c r="J701" s="80"/>
      <c r="K701" s="87"/>
      <c r="L701" s="80"/>
      <c r="M701" s="80"/>
      <c r="N701" s="80"/>
      <c r="O701" s="80"/>
      <c r="P701" s="80"/>
      <c r="Q701" s="80"/>
      <c r="R701" s="80"/>
      <c r="S701" s="80"/>
      <c r="T701" s="80"/>
      <c r="U701" s="80"/>
      <c r="V701" s="24"/>
      <c r="W701" s="24"/>
      <c r="X701" s="80"/>
      <c r="Y701" s="80"/>
      <c r="Z701" s="80"/>
      <c r="AA701" s="80"/>
      <c r="AB701" s="91"/>
      <c r="AC701" s="80"/>
      <c r="AD701" s="24"/>
      <c r="AE701" s="24"/>
      <c r="AF701" s="24"/>
      <c r="AG701" s="24"/>
      <c r="AH701" s="24"/>
      <c r="AI701" s="24"/>
      <c r="AJ701" s="24"/>
      <c r="AK701" s="24"/>
      <c r="AL701" s="24"/>
      <c r="AM701" s="24"/>
      <c r="AN701" s="24"/>
      <c r="AO701" s="24"/>
      <c r="AP701" s="24"/>
      <c r="AQ701" s="24"/>
      <c r="AR701" s="24"/>
      <c r="AS701" s="18"/>
      <c r="AT701" s="18"/>
      <c r="AU701" s="18"/>
      <c r="AV701" s="18"/>
      <c r="AW701" s="18"/>
      <c r="AX701" s="18"/>
      <c r="AY701" s="18"/>
      <c r="AZ701" s="18"/>
    </row>
    <row r="702" spans="1:52" x14ac:dyDescent="0.25">
      <c r="A702" s="80"/>
      <c r="B702" s="80"/>
      <c r="C702" s="113"/>
      <c r="D702" s="80"/>
      <c r="E702" s="80"/>
      <c r="F702" s="80"/>
      <c r="G702" s="80"/>
      <c r="H702" s="80"/>
      <c r="I702" s="80"/>
      <c r="J702" s="80"/>
      <c r="K702" s="87"/>
      <c r="L702" s="80"/>
      <c r="M702" s="80"/>
      <c r="N702" s="80"/>
      <c r="O702" s="80"/>
      <c r="P702" s="80"/>
      <c r="Q702" s="80"/>
      <c r="R702" s="80"/>
      <c r="S702" s="80"/>
      <c r="T702" s="80"/>
      <c r="U702" s="80"/>
      <c r="V702" s="24"/>
      <c r="W702" s="24"/>
      <c r="X702" s="80"/>
      <c r="Y702" s="80"/>
      <c r="Z702" s="80"/>
      <c r="AA702" s="80"/>
      <c r="AB702" s="91"/>
      <c r="AC702" s="80"/>
      <c r="AD702" s="24"/>
      <c r="AE702" s="24"/>
      <c r="AF702" s="24"/>
      <c r="AG702" s="24"/>
      <c r="AH702" s="24"/>
      <c r="AI702" s="24"/>
      <c r="AJ702" s="24"/>
      <c r="AK702" s="24"/>
      <c r="AL702" s="24"/>
      <c r="AM702" s="24"/>
      <c r="AN702" s="24"/>
      <c r="AO702" s="24"/>
      <c r="AP702" s="24"/>
      <c r="AQ702" s="24"/>
      <c r="AR702" s="24"/>
      <c r="AS702" s="18"/>
      <c r="AT702" s="18"/>
      <c r="AU702" s="18"/>
      <c r="AV702" s="18"/>
      <c r="AW702" s="18"/>
      <c r="AX702" s="18"/>
      <c r="AY702" s="18"/>
      <c r="AZ702" s="18"/>
    </row>
    <row r="703" spans="1:52" x14ac:dyDescent="0.25">
      <c r="A703" s="80"/>
      <c r="B703" s="80"/>
      <c r="C703" s="113"/>
      <c r="D703" s="80"/>
      <c r="E703" s="80"/>
      <c r="F703" s="80"/>
      <c r="G703" s="80"/>
      <c r="H703" s="80"/>
      <c r="I703" s="80"/>
      <c r="J703" s="80"/>
      <c r="K703" s="87"/>
      <c r="L703" s="80"/>
      <c r="M703" s="80"/>
      <c r="N703" s="80"/>
      <c r="O703" s="80"/>
      <c r="P703" s="80"/>
      <c r="Q703" s="80"/>
      <c r="R703" s="80"/>
      <c r="S703" s="80"/>
      <c r="T703" s="80"/>
      <c r="U703" s="80"/>
      <c r="V703" s="24"/>
      <c r="W703" s="24"/>
      <c r="X703" s="80"/>
      <c r="Y703" s="80"/>
      <c r="Z703" s="80"/>
      <c r="AA703" s="80"/>
      <c r="AB703" s="91"/>
      <c r="AC703" s="80"/>
      <c r="AD703" s="24"/>
      <c r="AE703" s="24"/>
      <c r="AF703" s="24"/>
      <c r="AG703" s="24"/>
      <c r="AH703" s="24"/>
      <c r="AI703" s="24"/>
      <c r="AJ703" s="24"/>
      <c r="AK703" s="24"/>
      <c r="AL703" s="24"/>
      <c r="AM703" s="24"/>
      <c r="AN703" s="24"/>
      <c r="AO703" s="24"/>
      <c r="AP703" s="24"/>
      <c r="AQ703" s="24"/>
      <c r="AR703" s="24"/>
      <c r="AS703" s="18"/>
      <c r="AT703" s="18"/>
      <c r="AU703" s="18"/>
      <c r="AV703" s="18"/>
      <c r="AW703" s="18"/>
      <c r="AX703" s="18"/>
      <c r="AY703" s="18"/>
      <c r="AZ703" s="18"/>
    </row>
    <row r="704" spans="1:52" x14ac:dyDescent="0.25">
      <c r="A704" s="80"/>
      <c r="B704" s="80"/>
      <c r="C704" s="113"/>
      <c r="D704" s="80"/>
      <c r="E704" s="80"/>
      <c r="F704" s="80"/>
      <c r="G704" s="80"/>
      <c r="H704" s="80"/>
      <c r="I704" s="80"/>
      <c r="J704" s="80"/>
      <c r="K704" s="87"/>
      <c r="L704" s="80"/>
      <c r="M704" s="80"/>
      <c r="N704" s="80"/>
      <c r="O704" s="80"/>
      <c r="P704" s="80"/>
      <c r="Q704" s="80"/>
      <c r="R704" s="80"/>
      <c r="S704" s="80"/>
      <c r="T704" s="80"/>
      <c r="U704" s="80"/>
      <c r="V704" s="24"/>
      <c r="W704" s="24"/>
      <c r="X704" s="80"/>
      <c r="Y704" s="80"/>
      <c r="Z704" s="80"/>
      <c r="AA704" s="80"/>
      <c r="AB704" s="91"/>
      <c r="AC704" s="80"/>
      <c r="AD704" s="24"/>
      <c r="AE704" s="24"/>
      <c r="AF704" s="24"/>
      <c r="AG704" s="24"/>
      <c r="AH704" s="24"/>
      <c r="AI704" s="24"/>
      <c r="AJ704" s="24"/>
      <c r="AK704" s="24"/>
      <c r="AL704" s="24"/>
      <c r="AM704" s="24"/>
      <c r="AN704" s="24"/>
      <c r="AO704" s="24"/>
      <c r="AP704" s="24"/>
      <c r="AQ704" s="24"/>
      <c r="AR704" s="24"/>
      <c r="AS704" s="18"/>
      <c r="AT704" s="18"/>
      <c r="AU704" s="18"/>
      <c r="AV704" s="18"/>
      <c r="AW704" s="18"/>
      <c r="AX704" s="18"/>
      <c r="AY704" s="18"/>
      <c r="AZ704" s="18"/>
    </row>
    <row r="705" spans="1:52" x14ac:dyDescent="0.25">
      <c r="A705" s="80"/>
      <c r="B705" s="80"/>
      <c r="C705" s="113"/>
      <c r="D705" s="80"/>
      <c r="E705" s="80"/>
      <c r="F705" s="80"/>
      <c r="G705" s="80"/>
      <c r="H705" s="80"/>
      <c r="I705" s="80"/>
      <c r="J705" s="80"/>
      <c r="K705" s="87"/>
      <c r="L705" s="80"/>
      <c r="M705" s="80"/>
      <c r="N705" s="80"/>
      <c r="O705" s="80"/>
      <c r="P705" s="80"/>
      <c r="Q705" s="80"/>
      <c r="R705" s="80"/>
      <c r="S705" s="80"/>
      <c r="T705" s="80"/>
      <c r="U705" s="80"/>
      <c r="V705" s="24"/>
      <c r="W705" s="24"/>
      <c r="X705" s="80"/>
      <c r="Y705" s="80"/>
      <c r="Z705" s="80"/>
      <c r="AA705" s="80"/>
      <c r="AB705" s="91"/>
      <c r="AC705" s="80"/>
      <c r="AD705" s="24"/>
      <c r="AE705" s="24"/>
      <c r="AF705" s="24"/>
      <c r="AG705" s="24"/>
      <c r="AH705" s="24"/>
      <c r="AI705" s="24"/>
      <c r="AJ705" s="24"/>
      <c r="AK705" s="24"/>
      <c r="AL705" s="24"/>
      <c r="AM705" s="24"/>
      <c r="AN705" s="24"/>
      <c r="AO705" s="24"/>
      <c r="AP705" s="24"/>
      <c r="AQ705" s="24"/>
      <c r="AR705" s="24"/>
      <c r="AS705" s="18"/>
      <c r="AT705" s="18"/>
      <c r="AU705" s="18"/>
      <c r="AV705" s="18"/>
      <c r="AW705" s="18"/>
      <c r="AX705" s="18"/>
      <c r="AY705" s="18"/>
      <c r="AZ705" s="18"/>
    </row>
    <row r="706" spans="1:52" x14ac:dyDescent="0.25">
      <c r="A706" s="80"/>
      <c r="B706" s="80"/>
      <c r="C706" s="113"/>
      <c r="D706" s="80"/>
      <c r="E706" s="80"/>
      <c r="F706" s="80"/>
      <c r="G706" s="80"/>
      <c r="H706" s="80"/>
      <c r="I706" s="80"/>
      <c r="J706" s="80"/>
      <c r="K706" s="87"/>
      <c r="L706" s="80"/>
      <c r="M706" s="80"/>
      <c r="N706" s="80"/>
      <c r="O706" s="80"/>
      <c r="P706" s="80"/>
      <c r="Q706" s="80"/>
      <c r="R706" s="80"/>
      <c r="S706" s="80"/>
      <c r="T706" s="80"/>
      <c r="U706" s="80"/>
      <c r="V706" s="24"/>
      <c r="W706" s="24"/>
      <c r="X706" s="80"/>
      <c r="Y706" s="80"/>
      <c r="Z706" s="80"/>
      <c r="AA706" s="80"/>
      <c r="AB706" s="91"/>
      <c r="AC706" s="80"/>
      <c r="AD706" s="24"/>
      <c r="AE706" s="24"/>
      <c r="AF706" s="24"/>
      <c r="AG706" s="24"/>
      <c r="AH706" s="24"/>
      <c r="AI706" s="24"/>
      <c r="AJ706" s="24"/>
      <c r="AK706" s="24"/>
      <c r="AL706" s="24"/>
      <c r="AM706" s="24"/>
      <c r="AN706" s="24"/>
      <c r="AO706" s="24"/>
      <c r="AP706" s="24"/>
      <c r="AQ706" s="24"/>
      <c r="AR706" s="24"/>
      <c r="AS706" s="18"/>
      <c r="AT706" s="18"/>
      <c r="AU706" s="18"/>
      <c r="AV706" s="18"/>
      <c r="AW706" s="18"/>
      <c r="AX706" s="18"/>
      <c r="AY706" s="18"/>
      <c r="AZ706" s="18"/>
    </row>
    <row r="707" spans="1:52" x14ac:dyDescent="0.25">
      <c r="A707" s="80"/>
      <c r="B707" s="80"/>
      <c r="C707" s="113"/>
      <c r="D707" s="80"/>
      <c r="E707" s="80"/>
      <c r="F707" s="80"/>
      <c r="G707" s="80"/>
      <c r="H707" s="80"/>
      <c r="I707" s="80"/>
      <c r="J707" s="80"/>
      <c r="K707" s="87"/>
      <c r="L707" s="80"/>
      <c r="M707" s="80"/>
      <c r="N707" s="80"/>
      <c r="O707" s="80"/>
      <c r="P707" s="80"/>
      <c r="Q707" s="80"/>
      <c r="R707" s="80"/>
      <c r="S707" s="80"/>
      <c r="T707" s="80"/>
      <c r="U707" s="80"/>
      <c r="V707" s="24"/>
      <c r="W707" s="24"/>
      <c r="X707" s="80"/>
      <c r="Y707" s="80"/>
      <c r="Z707" s="80"/>
      <c r="AA707" s="80"/>
      <c r="AB707" s="91"/>
      <c r="AC707" s="80"/>
      <c r="AD707" s="24"/>
      <c r="AE707" s="24"/>
      <c r="AF707" s="24"/>
      <c r="AG707" s="24"/>
      <c r="AH707" s="24"/>
      <c r="AI707" s="24"/>
      <c r="AJ707" s="24"/>
      <c r="AK707" s="24"/>
      <c r="AL707" s="24"/>
      <c r="AM707" s="24"/>
      <c r="AN707" s="24"/>
      <c r="AO707" s="24"/>
      <c r="AP707" s="24"/>
      <c r="AQ707" s="24"/>
      <c r="AR707" s="24"/>
      <c r="AS707" s="18"/>
      <c r="AT707" s="18"/>
      <c r="AU707" s="18"/>
      <c r="AV707" s="18"/>
      <c r="AW707" s="18"/>
      <c r="AX707" s="18"/>
      <c r="AY707" s="18"/>
      <c r="AZ707" s="18"/>
    </row>
    <row r="708" spans="1:52" x14ac:dyDescent="0.25">
      <c r="A708" s="80"/>
      <c r="B708" s="80"/>
      <c r="C708" s="113"/>
      <c r="D708" s="80"/>
      <c r="E708" s="80"/>
      <c r="F708" s="80"/>
      <c r="G708" s="80"/>
      <c r="H708" s="80"/>
      <c r="I708" s="80"/>
      <c r="J708" s="80"/>
      <c r="K708" s="87"/>
      <c r="L708" s="80"/>
      <c r="M708" s="80"/>
      <c r="N708" s="80"/>
      <c r="O708" s="80"/>
      <c r="P708" s="80"/>
      <c r="Q708" s="80"/>
      <c r="R708" s="80"/>
      <c r="S708" s="80"/>
      <c r="T708" s="80"/>
      <c r="U708" s="80"/>
      <c r="V708" s="24"/>
      <c r="W708" s="24"/>
      <c r="X708" s="80"/>
      <c r="Y708" s="80"/>
      <c r="Z708" s="80"/>
      <c r="AA708" s="80"/>
      <c r="AB708" s="91"/>
      <c r="AC708" s="80"/>
      <c r="AD708" s="24"/>
      <c r="AE708" s="24"/>
      <c r="AF708" s="24"/>
      <c r="AG708" s="24"/>
      <c r="AH708" s="24"/>
      <c r="AI708" s="24"/>
      <c r="AJ708" s="24"/>
      <c r="AK708" s="24"/>
      <c r="AL708" s="24"/>
      <c r="AM708" s="24"/>
      <c r="AN708" s="24"/>
      <c r="AO708" s="24"/>
      <c r="AP708" s="24"/>
      <c r="AQ708" s="24"/>
      <c r="AR708" s="24"/>
      <c r="AS708" s="18"/>
      <c r="AT708" s="18"/>
      <c r="AU708" s="18"/>
      <c r="AV708" s="18"/>
      <c r="AW708" s="18"/>
      <c r="AX708" s="18"/>
      <c r="AY708" s="18"/>
      <c r="AZ708" s="18"/>
    </row>
    <row r="709" spans="1:52" x14ac:dyDescent="0.25">
      <c r="A709" s="80"/>
      <c r="B709" s="80"/>
      <c r="C709" s="113"/>
      <c r="D709" s="80"/>
      <c r="E709" s="80"/>
      <c r="F709" s="80"/>
      <c r="G709" s="80"/>
      <c r="H709" s="80"/>
      <c r="I709" s="80"/>
      <c r="J709" s="80"/>
      <c r="K709" s="87"/>
      <c r="L709" s="80"/>
      <c r="M709" s="80"/>
      <c r="N709" s="80"/>
      <c r="O709" s="80"/>
      <c r="P709" s="80"/>
      <c r="Q709" s="80"/>
      <c r="R709" s="80"/>
      <c r="S709" s="80"/>
      <c r="T709" s="80"/>
      <c r="U709" s="80"/>
      <c r="V709" s="24"/>
      <c r="W709" s="24"/>
      <c r="X709" s="80"/>
      <c r="Y709" s="80"/>
      <c r="Z709" s="80"/>
      <c r="AA709" s="80"/>
      <c r="AB709" s="91"/>
      <c r="AC709" s="80"/>
      <c r="AD709" s="24"/>
      <c r="AE709" s="24"/>
      <c r="AF709" s="24"/>
      <c r="AG709" s="24"/>
      <c r="AH709" s="24"/>
      <c r="AI709" s="24"/>
      <c r="AJ709" s="24"/>
      <c r="AK709" s="24"/>
      <c r="AL709" s="24"/>
      <c r="AM709" s="24"/>
      <c r="AN709" s="24"/>
      <c r="AO709" s="24"/>
      <c r="AP709" s="24"/>
      <c r="AQ709" s="24"/>
      <c r="AR709" s="24"/>
      <c r="AS709" s="18"/>
      <c r="AT709" s="18"/>
      <c r="AU709" s="18"/>
      <c r="AV709" s="18"/>
      <c r="AW709" s="18"/>
      <c r="AX709" s="18"/>
      <c r="AY709" s="18"/>
      <c r="AZ709" s="18"/>
    </row>
    <row r="710" spans="1:52" x14ac:dyDescent="0.25">
      <c r="A710" s="80"/>
      <c r="B710" s="80"/>
      <c r="C710" s="113"/>
      <c r="D710" s="80"/>
      <c r="E710" s="80"/>
      <c r="F710" s="80"/>
      <c r="G710" s="80"/>
      <c r="H710" s="80"/>
      <c r="I710" s="80"/>
      <c r="J710" s="80"/>
      <c r="K710" s="87"/>
      <c r="L710" s="80"/>
      <c r="M710" s="80"/>
      <c r="N710" s="80"/>
      <c r="O710" s="80"/>
      <c r="P710" s="80"/>
      <c r="Q710" s="80"/>
      <c r="R710" s="80"/>
      <c r="S710" s="80"/>
      <c r="T710" s="80"/>
      <c r="U710" s="80"/>
      <c r="V710" s="24"/>
      <c r="W710" s="24"/>
      <c r="X710" s="80"/>
      <c r="Y710" s="80"/>
      <c r="Z710" s="80"/>
      <c r="AA710" s="80"/>
      <c r="AB710" s="91"/>
      <c r="AC710" s="80"/>
      <c r="AD710" s="24"/>
      <c r="AE710" s="24"/>
      <c r="AF710" s="24"/>
      <c r="AG710" s="24"/>
      <c r="AH710" s="24"/>
      <c r="AI710" s="24"/>
      <c r="AJ710" s="24"/>
      <c r="AK710" s="24"/>
      <c r="AL710" s="24"/>
      <c r="AM710" s="24"/>
      <c r="AN710" s="24"/>
      <c r="AO710" s="24"/>
      <c r="AP710" s="24"/>
      <c r="AQ710" s="24"/>
      <c r="AR710" s="24"/>
      <c r="AS710" s="18"/>
      <c r="AT710" s="18"/>
      <c r="AU710" s="18"/>
      <c r="AV710" s="18"/>
      <c r="AW710" s="18"/>
      <c r="AX710" s="18"/>
      <c r="AY710" s="18"/>
      <c r="AZ710" s="18"/>
    </row>
    <row r="711" spans="1:52" x14ac:dyDescent="0.25">
      <c r="A711" s="80"/>
      <c r="B711" s="80"/>
      <c r="C711" s="113"/>
      <c r="D711" s="80"/>
      <c r="E711" s="80"/>
      <c r="F711" s="80"/>
      <c r="G711" s="80"/>
      <c r="H711" s="80"/>
      <c r="I711" s="80"/>
      <c r="J711" s="80"/>
      <c r="K711" s="87"/>
      <c r="L711" s="80"/>
      <c r="M711" s="80"/>
      <c r="N711" s="80"/>
      <c r="O711" s="80"/>
      <c r="P711" s="80"/>
      <c r="Q711" s="80"/>
      <c r="R711" s="80"/>
      <c r="S711" s="80"/>
      <c r="T711" s="80"/>
      <c r="U711" s="80"/>
      <c r="V711" s="24"/>
      <c r="W711" s="24"/>
      <c r="X711" s="80"/>
      <c r="Y711" s="80"/>
      <c r="Z711" s="80"/>
      <c r="AA711" s="80"/>
      <c r="AB711" s="91"/>
      <c r="AC711" s="80"/>
      <c r="AD711" s="24"/>
      <c r="AE711" s="24"/>
      <c r="AF711" s="24"/>
      <c r="AG711" s="24"/>
      <c r="AH711" s="24"/>
      <c r="AI711" s="24"/>
      <c r="AJ711" s="24"/>
      <c r="AK711" s="24"/>
      <c r="AL711" s="24"/>
      <c r="AM711" s="24"/>
      <c r="AN711" s="24"/>
      <c r="AO711" s="24"/>
      <c r="AP711" s="24"/>
      <c r="AQ711" s="24"/>
      <c r="AR711" s="24"/>
      <c r="AS711" s="18"/>
      <c r="AT711" s="18"/>
      <c r="AU711" s="18"/>
      <c r="AV711" s="18"/>
      <c r="AW711" s="18"/>
      <c r="AX711" s="18"/>
      <c r="AY711" s="18"/>
      <c r="AZ711" s="18"/>
    </row>
    <row r="712" spans="1:52" x14ac:dyDescent="0.25">
      <c r="A712" s="80"/>
      <c r="B712" s="80"/>
      <c r="C712" s="113"/>
      <c r="D712" s="80"/>
      <c r="E712" s="80"/>
      <c r="F712" s="80"/>
      <c r="G712" s="80"/>
      <c r="H712" s="80"/>
      <c r="I712" s="80"/>
      <c r="J712" s="80"/>
      <c r="K712" s="87"/>
      <c r="L712" s="80"/>
      <c r="M712" s="80"/>
      <c r="N712" s="80"/>
      <c r="O712" s="80"/>
      <c r="P712" s="80"/>
      <c r="Q712" s="80"/>
      <c r="R712" s="80"/>
      <c r="S712" s="80"/>
      <c r="T712" s="80"/>
      <c r="U712" s="80"/>
      <c r="V712" s="24"/>
      <c r="W712" s="24"/>
      <c r="X712" s="80"/>
      <c r="Y712" s="80"/>
      <c r="Z712" s="80"/>
      <c r="AA712" s="80"/>
      <c r="AB712" s="91"/>
      <c r="AC712" s="80"/>
      <c r="AD712" s="24"/>
      <c r="AE712" s="24"/>
      <c r="AF712" s="24"/>
      <c r="AG712" s="24"/>
      <c r="AH712" s="24"/>
      <c r="AI712" s="24"/>
      <c r="AJ712" s="24"/>
      <c r="AK712" s="24"/>
      <c r="AL712" s="24"/>
      <c r="AM712" s="24"/>
      <c r="AN712" s="24"/>
      <c r="AO712" s="24"/>
      <c r="AP712" s="24"/>
      <c r="AQ712" s="24"/>
      <c r="AR712" s="24"/>
      <c r="AS712" s="18"/>
      <c r="AT712" s="18"/>
      <c r="AU712" s="18"/>
      <c r="AV712" s="18"/>
      <c r="AW712" s="18"/>
      <c r="AX712" s="18"/>
      <c r="AY712" s="18"/>
      <c r="AZ712" s="18"/>
    </row>
    <row r="713" spans="1:52" x14ac:dyDescent="0.25">
      <c r="A713" s="80"/>
      <c r="B713" s="80"/>
      <c r="C713" s="113"/>
      <c r="D713" s="80"/>
      <c r="E713" s="80"/>
      <c r="F713" s="80"/>
      <c r="G713" s="80"/>
      <c r="H713" s="80"/>
      <c r="I713" s="80"/>
      <c r="J713" s="80"/>
      <c r="K713" s="87"/>
      <c r="L713" s="80"/>
      <c r="M713" s="80"/>
      <c r="N713" s="80"/>
      <c r="O713" s="80"/>
      <c r="P713" s="80"/>
      <c r="Q713" s="80"/>
      <c r="R713" s="80"/>
      <c r="S713" s="80"/>
      <c r="T713" s="80"/>
      <c r="U713" s="80"/>
      <c r="V713" s="24"/>
      <c r="W713" s="24"/>
      <c r="X713" s="80"/>
      <c r="Y713" s="80"/>
      <c r="Z713" s="80"/>
      <c r="AA713" s="80"/>
      <c r="AB713" s="91"/>
      <c r="AC713" s="80"/>
      <c r="AD713" s="24"/>
      <c r="AE713" s="24"/>
      <c r="AF713" s="24"/>
      <c r="AG713" s="24"/>
      <c r="AH713" s="24"/>
      <c r="AI713" s="24"/>
      <c r="AJ713" s="24"/>
      <c r="AK713" s="24"/>
      <c r="AL713" s="24"/>
      <c r="AM713" s="24"/>
      <c r="AN713" s="24"/>
      <c r="AO713" s="24"/>
      <c r="AP713" s="24"/>
      <c r="AQ713" s="24"/>
      <c r="AR713" s="24"/>
      <c r="AS713" s="18"/>
      <c r="AT713" s="18"/>
      <c r="AU713" s="18"/>
      <c r="AV713" s="18"/>
      <c r="AW713" s="18"/>
      <c r="AX713" s="18"/>
      <c r="AY713" s="18"/>
      <c r="AZ713" s="18"/>
    </row>
    <row r="714" spans="1:52" x14ac:dyDescent="0.25">
      <c r="A714" s="80"/>
      <c r="B714" s="80"/>
      <c r="C714" s="113"/>
      <c r="D714" s="80"/>
      <c r="E714" s="80"/>
      <c r="F714" s="80"/>
      <c r="G714" s="80"/>
      <c r="H714" s="80"/>
      <c r="I714" s="80"/>
      <c r="J714" s="80"/>
      <c r="K714" s="87"/>
      <c r="L714" s="80"/>
      <c r="M714" s="80"/>
      <c r="N714" s="80"/>
      <c r="O714" s="80"/>
      <c r="P714" s="80"/>
      <c r="Q714" s="80"/>
      <c r="R714" s="80"/>
      <c r="S714" s="80"/>
      <c r="T714" s="80"/>
      <c r="U714" s="80"/>
      <c r="V714" s="24"/>
      <c r="W714" s="24"/>
      <c r="X714" s="80"/>
      <c r="Y714" s="80"/>
      <c r="Z714" s="80"/>
      <c r="AA714" s="80"/>
      <c r="AB714" s="91"/>
      <c r="AC714" s="80"/>
      <c r="AD714" s="24"/>
      <c r="AE714" s="24"/>
      <c r="AF714" s="24"/>
      <c r="AG714" s="24"/>
      <c r="AH714" s="24"/>
      <c r="AI714" s="24"/>
      <c r="AJ714" s="24"/>
      <c r="AK714" s="24"/>
      <c r="AL714" s="24"/>
      <c r="AM714" s="24"/>
      <c r="AN714" s="24"/>
      <c r="AO714" s="24"/>
      <c r="AP714" s="24"/>
      <c r="AQ714" s="24"/>
      <c r="AR714" s="24"/>
      <c r="AS714" s="18"/>
      <c r="AT714" s="18"/>
      <c r="AU714" s="18"/>
      <c r="AV714" s="18"/>
      <c r="AW714" s="18"/>
      <c r="AX714" s="18"/>
      <c r="AY714" s="18"/>
      <c r="AZ714" s="18"/>
    </row>
    <row r="715" spans="1:52" x14ac:dyDescent="0.25">
      <c r="A715" s="80"/>
      <c r="B715" s="80"/>
      <c r="C715" s="113"/>
      <c r="D715" s="80"/>
      <c r="E715" s="80"/>
      <c r="F715" s="80"/>
      <c r="G715" s="80"/>
      <c r="H715" s="80"/>
      <c r="I715" s="80"/>
      <c r="J715" s="80"/>
      <c r="K715" s="87"/>
      <c r="L715" s="80"/>
      <c r="M715" s="80"/>
      <c r="N715" s="80"/>
      <c r="O715" s="80"/>
      <c r="P715" s="80"/>
      <c r="Q715" s="80"/>
      <c r="R715" s="80"/>
      <c r="S715" s="80"/>
      <c r="T715" s="80"/>
      <c r="U715" s="80"/>
      <c r="V715" s="24"/>
      <c r="W715" s="24"/>
      <c r="X715" s="80"/>
      <c r="Y715" s="80"/>
      <c r="Z715" s="80"/>
      <c r="AA715" s="80"/>
      <c r="AB715" s="91"/>
      <c r="AC715" s="80"/>
      <c r="AD715" s="24"/>
      <c r="AE715" s="24"/>
      <c r="AF715" s="24"/>
      <c r="AG715" s="24"/>
      <c r="AH715" s="24"/>
      <c r="AI715" s="24"/>
      <c r="AJ715" s="24"/>
      <c r="AK715" s="24"/>
      <c r="AL715" s="24"/>
      <c r="AM715" s="24"/>
      <c r="AN715" s="24"/>
      <c r="AO715" s="24"/>
      <c r="AP715" s="24"/>
      <c r="AQ715" s="24"/>
      <c r="AR715" s="24"/>
      <c r="AS715" s="18"/>
      <c r="AT715" s="18"/>
      <c r="AU715" s="18"/>
      <c r="AV715" s="18"/>
      <c r="AW715" s="18"/>
      <c r="AX715" s="18"/>
      <c r="AY715" s="18"/>
      <c r="AZ715" s="18"/>
    </row>
    <row r="716" spans="1:52" x14ac:dyDescent="0.25">
      <c r="A716" s="80"/>
      <c r="B716" s="80"/>
      <c r="C716" s="113"/>
      <c r="D716" s="80"/>
      <c r="E716" s="80"/>
      <c r="F716" s="80"/>
      <c r="G716" s="80"/>
      <c r="H716" s="80"/>
      <c r="I716" s="80"/>
      <c r="J716" s="80"/>
      <c r="K716" s="87"/>
      <c r="L716" s="80"/>
      <c r="M716" s="80"/>
      <c r="N716" s="80"/>
      <c r="O716" s="80"/>
      <c r="P716" s="80"/>
      <c r="Q716" s="80"/>
      <c r="R716" s="80"/>
      <c r="S716" s="80"/>
      <c r="T716" s="80"/>
      <c r="U716" s="80"/>
      <c r="V716" s="24"/>
      <c r="W716" s="24"/>
      <c r="X716" s="80"/>
      <c r="Y716" s="80"/>
      <c r="Z716" s="80"/>
      <c r="AA716" s="80"/>
      <c r="AB716" s="91"/>
      <c r="AC716" s="80"/>
      <c r="AD716" s="24"/>
      <c r="AE716" s="24"/>
      <c r="AF716" s="24"/>
      <c r="AG716" s="24"/>
      <c r="AH716" s="24"/>
      <c r="AI716" s="24"/>
      <c r="AJ716" s="24"/>
      <c r="AK716" s="24"/>
      <c r="AL716" s="24"/>
      <c r="AM716" s="24"/>
      <c r="AN716" s="24"/>
      <c r="AO716" s="24"/>
      <c r="AP716" s="24"/>
      <c r="AQ716" s="24"/>
      <c r="AR716" s="24"/>
      <c r="AS716" s="18"/>
      <c r="AT716" s="18"/>
      <c r="AU716" s="18"/>
      <c r="AV716" s="18"/>
      <c r="AW716" s="18"/>
      <c r="AX716" s="18"/>
      <c r="AY716" s="18"/>
      <c r="AZ716" s="18"/>
    </row>
    <row r="717" spans="1:52" x14ac:dyDescent="0.25">
      <c r="A717" s="80"/>
      <c r="B717" s="80"/>
      <c r="C717" s="113"/>
      <c r="D717" s="80"/>
      <c r="E717" s="80"/>
      <c r="F717" s="80"/>
      <c r="G717" s="80"/>
      <c r="H717" s="80"/>
      <c r="I717" s="80"/>
      <c r="J717" s="80"/>
      <c r="K717" s="87"/>
      <c r="L717" s="80"/>
      <c r="M717" s="80"/>
      <c r="N717" s="80"/>
      <c r="O717" s="80"/>
      <c r="P717" s="80"/>
      <c r="Q717" s="80"/>
      <c r="R717" s="80"/>
      <c r="S717" s="80"/>
      <c r="T717" s="80"/>
      <c r="U717" s="80"/>
      <c r="V717" s="24"/>
      <c r="W717" s="24"/>
      <c r="X717" s="80"/>
      <c r="Y717" s="80"/>
      <c r="Z717" s="80"/>
      <c r="AA717" s="80"/>
      <c r="AB717" s="91"/>
      <c r="AC717" s="80"/>
      <c r="AD717" s="24"/>
      <c r="AE717" s="24"/>
      <c r="AF717" s="24"/>
      <c r="AG717" s="24"/>
      <c r="AH717" s="24"/>
      <c r="AI717" s="24"/>
      <c r="AJ717" s="24"/>
      <c r="AK717" s="24"/>
      <c r="AL717" s="24"/>
      <c r="AM717" s="24"/>
      <c r="AN717" s="24"/>
      <c r="AO717" s="24"/>
      <c r="AP717" s="24"/>
      <c r="AQ717" s="24"/>
      <c r="AR717" s="24"/>
      <c r="AS717" s="18"/>
      <c r="AT717" s="18"/>
      <c r="AU717" s="18"/>
      <c r="AV717" s="18"/>
      <c r="AW717" s="18"/>
      <c r="AX717" s="18"/>
      <c r="AY717" s="18"/>
      <c r="AZ717" s="18"/>
    </row>
    <row r="718" spans="1:52" x14ac:dyDescent="0.25">
      <c r="A718" s="80"/>
      <c r="B718" s="80"/>
      <c r="C718" s="113"/>
      <c r="D718" s="80"/>
      <c r="E718" s="80"/>
      <c r="F718" s="80"/>
      <c r="G718" s="80"/>
      <c r="H718" s="80"/>
      <c r="I718" s="80"/>
      <c r="J718" s="80"/>
      <c r="K718" s="87"/>
      <c r="L718" s="80"/>
      <c r="M718" s="80"/>
      <c r="N718" s="80"/>
      <c r="O718" s="80"/>
      <c r="P718" s="80"/>
      <c r="Q718" s="80"/>
      <c r="R718" s="80"/>
      <c r="S718" s="80"/>
      <c r="T718" s="80"/>
      <c r="U718" s="80"/>
      <c r="V718" s="24"/>
      <c r="W718" s="24"/>
      <c r="X718" s="80"/>
      <c r="Y718" s="80"/>
      <c r="Z718" s="80"/>
      <c r="AA718" s="80"/>
      <c r="AB718" s="91"/>
      <c r="AC718" s="80"/>
      <c r="AD718" s="24"/>
      <c r="AE718" s="24"/>
      <c r="AF718" s="24"/>
      <c r="AG718" s="24"/>
      <c r="AH718" s="24"/>
      <c r="AI718" s="24"/>
      <c r="AJ718" s="24"/>
      <c r="AK718" s="24"/>
      <c r="AL718" s="24"/>
      <c r="AM718" s="24"/>
      <c r="AN718" s="24"/>
      <c r="AO718" s="24"/>
      <c r="AP718" s="24"/>
      <c r="AQ718" s="24"/>
      <c r="AR718" s="24"/>
      <c r="AS718" s="18"/>
      <c r="AT718" s="18"/>
      <c r="AU718" s="18"/>
      <c r="AV718" s="18"/>
      <c r="AW718" s="18"/>
      <c r="AX718" s="18"/>
      <c r="AY718" s="18"/>
      <c r="AZ718" s="18"/>
    </row>
    <row r="719" spans="1:52" x14ac:dyDescent="0.25">
      <c r="A719" s="80"/>
      <c r="B719" s="80"/>
      <c r="C719" s="113"/>
      <c r="D719" s="80"/>
      <c r="E719" s="80"/>
      <c r="F719" s="80"/>
      <c r="G719" s="80"/>
      <c r="H719" s="80"/>
      <c r="I719" s="80"/>
      <c r="J719" s="80"/>
      <c r="K719" s="87"/>
      <c r="L719" s="80"/>
      <c r="M719" s="80"/>
      <c r="N719" s="80"/>
      <c r="O719" s="80"/>
      <c r="P719" s="80"/>
      <c r="Q719" s="80"/>
      <c r="R719" s="80"/>
      <c r="S719" s="80"/>
      <c r="T719" s="80"/>
      <c r="U719" s="80"/>
      <c r="V719" s="24"/>
      <c r="W719" s="24"/>
      <c r="X719" s="80"/>
      <c r="Y719" s="80"/>
      <c r="Z719" s="80"/>
      <c r="AA719" s="80"/>
      <c r="AB719" s="91"/>
      <c r="AC719" s="80"/>
      <c r="AD719" s="24"/>
      <c r="AE719" s="24"/>
      <c r="AF719" s="24"/>
      <c r="AG719" s="24"/>
      <c r="AH719" s="24"/>
      <c r="AI719" s="24"/>
      <c r="AJ719" s="24"/>
      <c r="AK719" s="24"/>
      <c r="AL719" s="24"/>
      <c r="AM719" s="24"/>
      <c r="AN719" s="24"/>
      <c r="AO719" s="24"/>
      <c r="AP719" s="24"/>
      <c r="AQ719" s="24"/>
      <c r="AR719" s="24"/>
      <c r="AS719" s="18"/>
      <c r="AT719" s="18"/>
      <c r="AU719" s="18"/>
      <c r="AV719" s="18"/>
      <c r="AW719" s="18"/>
      <c r="AX719" s="18"/>
      <c r="AY719" s="18"/>
      <c r="AZ719" s="18"/>
    </row>
    <row r="720" spans="1:52" x14ac:dyDescent="0.25">
      <c r="A720" s="80"/>
      <c r="B720" s="80"/>
      <c r="C720" s="113"/>
      <c r="D720" s="80"/>
      <c r="E720" s="80"/>
      <c r="F720" s="80"/>
      <c r="G720" s="80"/>
      <c r="H720" s="80"/>
      <c r="I720" s="80"/>
      <c r="J720" s="80"/>
      <c r="K720" s="87"/>
      <c r="L720" s="80"/>
      <c r="M720" s="80"/>
      <c r="N720" s="80"/>
      <c r="O720" s="80"/>
      <c r="P720" s="80"/>
      <c r="Q720" s="80"/>
      <c r="R720" s="80"/>
      <c r="S720" s="80"/>
      <c r="T720" s="80"/>
      <c r="U720" s="80"/>
      <c r="V720" s="24"/>
      <c r="W720" s="24"/>
      <c r="X720" s="80"/>
      <c r="Y720" s="80"/>
      <c r="Z720" s="80"/>
      <c r="AA720" s="80"/>
      <c r="AB720" s="91"/>
      <c r="AC720" s="80"/>
      <c r="AD720" s="24"/>
      <c r="AE720" s="24"/>
      <c r="AF720" s="24"/>
      <c r="AG720" s="24"/>
      <c r="AH720" s="24"/>
      <c r="AI720" s="24"/>
      <c r="AJ720" s="24"/>
      <c r="AK720" s="24"/>
      <c r="AL720" s="24"/>
      <c r="AM720" s="24"/>
      <c r="AN720" s="24"/>
      <c r="AO720" s="24"/>
      <c r="AP720" s="24"/>
      <c r="AQ720" s="24"/>
      <c r="AR720" s="24"/>
      <c r="AS720" s="18"/>
      <c r="AT720" s="18"/>
      <c r="AU720" s="18"/>
      <c r="AV720" s="18"/>
      <c r="AW720" s="18"/>
      <c r="AX720" s="18"/>
      <c r="AY720" s="18"/>
      <c r="AZ720" s="18"/>
    </row>
    <row r="721" spans="1:52" x14ac:dyDescent="0.25">
      <c r="A721" s="80"/>
      <c r="B721" s="80"/>
      <c r="C721" s="113"/>
      <c r="D721" s="80"/>
      <c r="E721" s="80"/>
      <c r="F721" s="80"/>
      <c r="G721" s="80"/>
      <c r="H721" s="80"/>
      <c r="I721" s="80"/>
      <c r="J721" s="80"/>
      <c r="K721" s="87"/>
      <c r="L721" s="80"/>
      <c r="M721" s="80"/>
      <c r="N721" s="80"/>
      <c r="O721" s="80"/>
      <c r="P721" s="80"/>
      <c r="Q721" s="80"/>
      <c r="R721" s="80"/>
      <c r="S721" s="80"/>
      <c r="T721" s="80"/>
      <c r="U721" s="80"/>
      <c r="V721" s="24"/>
      <c r="W721" s="24"/>
      <c r="X721" s="80"/>
      <c r="Y721" s="80"/>
      <c r="Z721" s="80"/>
      <c r="AA721" s="80"/>
      <c r="AB721" s="91"/>
      <c r="AC721" s="80"/>
      <c r="AD721" s="24"/>
      <c r="AE721" s="24"/>
      <c r="AF721" s="24"/>
      <c r="AG721" s="24"/>
      <c r="AH721" s="24"/>
      <c r="AI721" s="24"/>
      <c r="AJ721" s="24"/>
      <c r="AK721" s="24"/>
      <c r="AL721" s="24"/>
      <c r="AM721" s="24"/>
      <c r="AN721" s="24"/>
      <c r="AO721" s="24"/>
      <c r="AP721" s="24"/>
      <c r="AQ721" s="24"/>
      <c r="AR721" s="24"/>
      <c r="AS721" s="18"/>
      <c r="AT721" s="18"/>
      <c r="AU721" s="18"/>
      <c r="AV721" s="18"/>
      <c r="AW721" s="18"/>
      <c r="AX721" s="18"/>
      <c r="AY721" s="18"/>
      <c r="AZ721" s="18"/>
    </row>
    <row r="722" spans="1:52" x14ac:dyDescent="0.25">
      <c r="A722" s="80"/>
      <c r="B722" s="80"/>
      <c r="C722" s="113"/>
      <c r="D722" s="80"/>
      <c r="E722" s="80"/>
      <c r="F722" s="80"/>
      <c r="G722" s="80"/>
      <c r="H722" s="80"/>
      <c r="I722" s="80"/>
      <c r="J722" s="80"/>
      <c r="K722" s="87"/>
      <c r="L722" s="80"/>
      <c r="M722" s="80"/>
      <c r="N722" s="80"/>
      <c r="O722" s="80"/>
      <c r="P722" s="80"/>
      <c r="Q722" s="80"/>
      <c r="R722" s="80"/>
      <c r="S722" s="80"/>
      <c r="T722" s="80"/>
      <c r="U722" s="80"/>
      <c r="V722" s="24"/>
      <c r="W722" s="24"/>
      <c r="X722" s="80"/>
      <c r="Y722" s="80"/>
      <c r="Z722" s="80"/>
      <c r="AA722" s="80"/>
      <c r="AB722" s="91"/>
      <c r="AC722" s="80"/>
      <c r="AD722" s="24"/>
      <c r="AE722" s="24"/>
      <c r="AF722" s="24"/>
      <c r="AG722" s="24"/>
      <c r="AH722" s="24"/>
      <c r="AI722" s="24"/>
      <c r="AJ722" s="24"/>
      <c r="AK722" s="24"/>
      <c r="AL722" s="24"/>
      <c r="AM722" s="24"/>
      <c r="AN722" s="24"/>
      <c r="AO722" s="24"/>
      <c r="AP722" s="24"/>
      <c r="AQ722" s="24"/>
      <c r="AR722" s="24"/>
      <c r="AS722" s="18"/>
      <c r="AT722" s="18"/>
      <c r="AU722" s="18"/>
      <c r="AV722" s="18"/>
      <c r="AW722" s="18"/>
      <c r="AX722" s="18"/>
      <c r="AY722" s="18"/>
      <c r="AZ722" s="18"/>
    </row>
    <row r="723" spans="1:52" x14ac:dyDescent="0.25">
      <c r="A723" s="80"/>
      <c r="B723" s="80"/>
      <c r="C723" s="113"/>
      <c r="D723" s="80"/>
      <c r="E723" s="80"/>
      <c r="F723" s="80"/>
      <c r="G723" s="80"/>
      <c r="H723" s="80"/>
      <c r="I723" s="80"/>
      <c r="J723" s="80"/>
      <c r="K723" s="87"/>
      <c r="L723" s="80"/>
      <c r="M723" s="80"/>
      <c r="N723" s="80"/>
      <c r="O723" s="80"/>
      <c r="P723" s="80"/>
      <c r="Q723" s="80"/>
      <c r="R723" s="80"/>
      <c r="S723" s="80"/>
      <c r="T723" s="80"/>
      <c r="U723" s="80"/>
      <c r="V723" s="24"/>
      <c r="W723" s="24"/>
      <c r="X723" s="80"/>
      <c r="Y723" s="80"/>
      <c r="Z723" s="80"/>
      <c r="AA723" s="80"/>
      <c r="AB723" s="91"/>
      <c r="AC723" s="80"/>
      <c r="AD723" s="24"/>
      <c r="AE723" s="24"/>
      <c r="AF723" s="24"/>
      <c r="AG723" s="24"/>
      <c r="AH723" s="24"/>
      <c r="AI723" s="24"/>
      <c r="AJ723" s="24"/>
      <c r="AK723" s="24"/>
      <c r="AL723" s="24"/>
      <c r="AM723" s="24"/>
      <c r="AN723" s="24"/>
      <c r="AO723" s="24"/>
      <c r="AP723" s="24"/>
      <c r="AQ723" s="24"/>
      <c r="AR723" s="24"/>
      <c r="AS723" s="18"/>
      <c r="AT723" s="18"/>
      <c r="AU723" s="18"/>
      <c r="AV723" s="18"/>
      <c r="AW723" s="18"/>
      <c r="AX723" s="18"/>
      <c r="AY723" s="18"/>
      <c r="AZ723" s="18"/>
    </row>
    <row r="724" spans="1:52" x14ac:dyDescent="0.25">
      <c r="A724" s="80"/>
      <c r="B724" s="80"/>
      <c r="C724" s="113"/>
      <c r="D724" s="80"/>
      <c r="E724" s="80"/>
      <c r="F724" s="80"/>
      <c r="G724" s="80"/>
      <c r="H724" s="80"/>
      <c r="I724" s="80"/>
      <c r="J724" s="80"/>
      <c r="K724" s="87"/>
      <c r="L724" s="80"/>
      <c r="M724" s="80"/>
      <c r="N724" s="80"/>
      <c r="O724" s="80"/>
      <c r="P724" s="80"/>
      <c r="Q724" s="80"/>
      <c r="R724" s="80"/>
      <c r="S724" s="80"/>
      <c r="T724" s="80"/>
      <c r="U724" s="80"/>
      <c r="V724" s="24"/>
      <c r="W724" s="24"/>
      <c r="X724" s="80"/>
      <c r="Y724" s="80"/>
      <c r="Z724" s="80"/>
      <c r="AA724" s="80"/>
      <c r="AB724" s="91"/>
      <c r="AC724" s="80"/>
      <c r="AD724" s="24"/>
      <c r="AE724" s="24"/>
      <c r="AF724" s="24"/>
      <c r="AG724" s="24"/>
      <c r="AH724" s="24"/>
      <c r="AI724" s="24"/>
      <c r="AJ724" s="24"/>
      <c r="AK724" s="24"/>
      <c r="AL724" s="24"/>
      <c r="AM724" s="24"/>
      <c r="AN724" s="24"/>
      <c r="AO724" s="24"/>
      <c r="AP724" s="24"/>
      <c r="AQ724" s="24"/>
      <c r="AR724" s="24"/>
      <c r="AS724" s="18"/>
      <c r="AT724" s="18"/>
      <c r="AU724" s="18"/>
      <c r="AV724" s="18"/>
      <c r="AW724" s="18"/>
      <c r="AX724" s="18"/>
      <c r="AY724" s="18"/>
      <c r="AZ724" s="18"/>
    </row>
    <row r="725" spans="1:52" x14ac:dyDescent="0.25">
      <c r="A725" s="80"/>
      <c r="B725" s="80"/>
      <c r="C725" s="113"/>
      <c r="D725" s="80"/>
      <c r="E725" s="80"/>
      <c r="F725" s="80"/>
      <c r="G725" s="80"/>
      <c r="H725" s="80"/>
      <c r="I725" s="80"/>
      <c r="J725" s="80"/>
      <c r="K725" s="87"/>
      <c r="L725" s="80"/>
      <c r="M725" s="80"/>
      <c r="N725" s="80"/>
      <c r="O725" s="80"/>
      <c r="P725" s="80"/>
      <c r="Q725" s="80"/>
      <c r="R725" s="80"/>
      <c r="S725" s="80"/>
      <c r="T725" s="80"/>
      <c r="U725" s="80"/>
      <c r="V725" s="24"/>
      <c r="W725" s="24"/>
      <c r="X725" s="80"/>
      <c r="Y725" s="80"/>
      <c r="Z725" s="80"/>
      <c r="AA725" s="80"/>
      <c r="AB725" s="91"/>
      <c r="AC725" s="80"/>
      <c r="AD725" s="24"/>
      <c r="AE725" s="24"/>
      <c r="AF725" s="24"/>
      <c r="AG725" s="24"/>
      <c r="AH725" s="24"/>
      <c r="AI725" s="24"/>
      <c r="AJ725" s="24"/>
      <c r="AK725" s="24"/>
      <c r="AL725" s="24"/>
      <c r="AM725" s="24"/>
      <c r="AN725" s="24"/>
      <c r="AO725" s="24"/>
      <c r="AP725" s="24"/>
      <c r="AQ725" s="24"/>
      <c r="AR725" s="24"/>
      <c r="AS725" s="18"/>
      <c r="AT725" s="18"/>
      <c r="AU725" s="18"/>
      <c r="AV725" s="18"/>
      <c r="AW725" s="18"/>
      <c r="AX725" s="18"/>
      <c r="AY725" s="18"/>
      <c r="AZ725" s="18"/>
    </row>
    <row r="726" spans="1:52" x14ac:dyDescent="0.25">
      <c r="A726" s="80"/>
      <c r="B726" s="80"/>
      <c r="C726" s="113"/>
      <c r="D726" s="80"/>
      <c r="E726" s="80"/>
      <c r="F726" s="80"/>
      <c r="G726" s="80"/>
      <c r="H726" s="80"/>
      <c r="I726" s="80"/>
      <c r="J726" s="80"/>
      <c r="K726" s="87"/>
      <c r="L726" s="80"/>
      <c r="M726" s="80"/>
      <c r="N726" s="80"/>
      <c r="O726" s="80"/>
      <c r="P726" s="80"/>
      <c r="Q726" s="80"/>
      <c r="R726" s="80"/>
      <c r="S726" s="80"/>
      <c r="T726" s="80"/>
      <c r="U726" s="80"/>
      <c r="V726" s="24"/>
      <c r="W726" s="24"/>
      <c r="X726" s="80"/>
      <c r="Y726" s="80"/>
      <c r="Z726" s="80"/>
      <c r="AA726" s="80"/>
      <c r="AB726" s="91"/>
      <c r="AC726" s="80"/>
      <c r="AD726" s="24"/>
      <c r="AE726" s="24"/>
      <c r="AF726" s="24"/>
      <c r="AG726" s="24"/>
      <c r="AH726" s="24"/>
      <c r="AI726" s="24"/>
      <c r="AJ726" s="24"/>
      <c r="AK726" s="24"/>
      <c r="AL726" s="24"/>
      <c r="AM726" s="24"/>
      <c r="AN726" s="24"/>
      <c r="AO726" s="24"/>
      <c r="AP726" s="24"/>
      <c r="AQ726" s="24"/>
      <c r="AR726" s="24"/>
      <c r="AS726" s="18"/>
      <c r="AT726" s="18"/>
      <c r="AU726" s="18"/>
      <c r="AV726" s="18"/>
      <c r="AW726" s="18"/>
      <c r="AX726" s="18"/>
      <c r="AY726" s="18"/>
      <c r="AZ726" s="18"/>
    </row>
    <row r="727" spans="1:52" x14ac:dyDescent="0.25">
      <c r="A727" s="80"/>
      <c r="B727" s="80"/>
      <c r="C727" s="113"/>
      <c r="D727" s="80"/>
      <c r="E727" s="80"/>
      <c r="F727" s="80"/>
      <c r="G727" s="80"/>
      <c r="H727" s="80"/>
      <c r="I727" s="80"/>
      <c r="J727" s="80"/>
      <c r="K727" s="87"/>
      <c r="L727" s="80"/>
      <c r="M727" s="80"/>
      <c r="N727" s="80"/>
      <c r="O727" s="80"/>
      <c r="P727" s="80"/>
      <c r="Q727" s="80"/>
      <c r="R727" s="80"/>
      <c r="S727" s="80"/>
      <c r="T727" s="80"/>
      <c r="U727" s="80"/>
      <c r="V727" s="24"/>
      <c r="W727" s="24"/>
      <c r="X727" s="80"/>
      <c r="Y727" s="80"/>
      <c r="Z727" s="80"/>
      <c r="AA727" s="80"/>
      <c r="AB727" s="91"/>
      <c r="AC727" s="80"/>
      <c r="AD727" s="24"/>
      <c r="AE727" s="24"/>
      <c r="AF727" s="24"/>
      <c r="AG727" s="24"/>
      <c r="AH727" s="24"/>
      <c r="AI727" s="24"/>
      <c r="AJ727" s="24"/>
      <c r="AK727" s="24"/>
      <c r="AL727" s="24"/>
      <c r="AM727" s="24"/>
      <c r="AN727" s="24"/>
      <c r="AO727" s="24"/>
      <c r="AP727" s="24"/>
      <c r="AQ727" s="24"/>
      <c r="AR727" s="24"/>
      <c r="AS727" s="18"/>
      <c r="AT727" s="18"/>
      <c r="AU727" s="18"/>
      <c r="AV727" s="18"/>
      <c r="AW727" s="18"/>
      <c r="AX727" s="18"/>
      <c r="AY727" s="18"/>
      <c r="AZ727" s="18"/>
    </row>
    <row r="728" spans="1:52" x14ac:dyDescent="0.25">
      <c r="A728" s="80"/>
      <c r="B728" s="80"/>
      <c r="C728" s="113"/>
      <c r="D728" s="80"/>
      <c r="E728" s="80"/>
      <c r="F728" s="80"/>
      <c r="G728" s="80"/>
      <c r="H728" s="80"/>
      <c r="I728" s="80"/>
      <c r="J728" s="80"/>
      <c r="K728" s="87"/>
      <c r="L728" s="80"/>
      <c r="M728" s="80"/>
      <c r="N728" s="80"/>
      <c r="O728" s="80"/>
      <c r="P728" s="80"/>
      <c r="Q728" s="80"/>
      <c r="R728" s="80"/>
      <c r="S728" s="80"/>
      <c r="T728" s="80"/>
      <c r="U728" s="80"/>
      <c r="V728" s="24"/>
      <c r="W728" s="24"/>
      <c r="X728" s="80"/>
      <c r="Y728" s="80"/>
      <c r="Z728" s="80"/>
      <c r="AA728" s="80"/>
      <c r="AB728" s="91"/>
      <c r="AC728" s="80"/>
      <c r="AD728" s="24"/>
      <c r="AE728" s="24"/>
      <c r="AF728" s="24"/>
      <c r="AG728" s="24"/>
      <c r="AH728" s="24"/>
      <c r="AI728" s="24"/>
      <c r="AJ728" s="24"/>
      <c r="AK728" s="24"/>
      <c r="AL728" s="24"/>
      <c r="AM728" s="24"/>
      <c r="AN728" s="24"/>
      <c r="AO728" s="24"/>
      <c r="AP728" s="24"/>
      <c r="AQ728" s="24"/>
      <c r="AR728" s="24"/>
      <c r="AS728" s="18"/>
      <c r="AT728" s="18"/>
      <c r="AU728" s="18"/>
      <c r="AV728" s="18"/>
      <c r="AW728" s="18"/>
      <c r="AX728" s="18"/>
      <c r="AY728" s="18"/>
      <c r="AZ728" s="18"/>
    </row>
    <row r="729" spans="1:52" x14ac:dyDescent="0.25">
      <c r="A729" s="80"/>
      <c r="B729" s="80"/>
      <c r="C729" s="113"/>
      <c r="D729" s="80"/>
      <c r="E729" s="80"/>
      <c r="F729" s="80"/>
      <c r="G729" s="80"/>
      <c r="H729" s="80"/>
      <c r="I729" s="80"/>
      <c r="J729" s="80"/>
      <c r="K729" s="87"/>
      <c r="L729" s="80"/>
      <c r="M729" s="80"/>
      <c r="N729" s="80"/>
      <c r="O729" s="80"/>
      <c r="P729" s="80"/>
      <c r="Q729" s="80"/>
      <c r="R729" s="80"/>
      <c r="S729" s="80"/>
      <c r="T729" s="80"/>
      <c r="U729" s="80"/>
      <c r="V729" s="24"/>
      <c r="W729" s="24"/>
      <c r="X729" s="80"/>
      <c r="Y729" s="80"/>
      <c r="Z729" s="80"/>
      <c r="AA729" s="80"/>
      <c r="AB729" s="91"/>
      <c r="AC729" s="80"/>
      <c r="AD729" s="24"/>
      <c r="AE729" s="24"/>
      <c r="AF729" s="24"/>
      <c r="AG729" s="24"/>
      <c r="AH729" s="24"/>
      <c r="AI729" s="24"/>
      <c r="AJ729" s="24"/>
      <c r="AK729" s="24"/>
      <c r="AL729" s="24"/>
      <c r="AM729" s="24"/>
      <c r="AN729" s="24"/>
      <c r="AO729" s="24"/>
      <c r="AP729" s="24"/>
      <c r="AQ729" s="24"/>
      <c r="AR729" s="24"/>
      <c r="AS729" s="18"/>
      <c r="AT729" s="18"/>
      <c r="AU729" s="18"/>
      <c r="AV729" s="18"/>
      <c r="AW729" s="18"/>
      <c r="AX729" s="18"/>
      <c r="AY729" s="18"/>
      <c r="AZ729" s="18"/>
    </row>
    <row r="730" spans="1:52" x14ac:dyDescent="0.25">
      <c r="A730" s="80"/>
      <c r="B730" s="80"/>
      <c r="C730" s="113"/>
      <c r="D730" s="80"/>
      <c r="E730" s="80"/>
      <c r="F730" s="80"/>
      <c r="G730" s="80"/>
      <c r="H730" s="80"/>
      <c r="I730" s="80"/>
      <c r="J730" s="80"/>
      <c r="K730" s="87"/>
      <c r="L730" s="80"/>
      <c r="M730" s="80"/>
      <c r="N730" s="80"/>
      <c r="O730" s="80"/>
      <c r="P730" s="80"/>
      <c r="Q730" s="80"/>
      <c r="R730" s="80"/>
      <c r="S730" s="80"/>
      <c r="T730" s="80"/>
      <c r="U730" s="80"/>
      <c r="V730" s="24"/>
      <c r="W730" s="24"/>
      <c r="X730" s="80"/>
      <c r="Y730" s="80"/>
      <c r="Z730" s="80"/>
      <c r="AA730" s="80"/>
      <c r="AB730" s="91"/>
      <c r="AC730" s="80"/>
      <c r="AD730" s="24"/>
      <c r="AE730" s="24"/>
      <c r="AF730" s="24"/>
      <c r="AG730" s="24"/>
      <c r="AH730" s="24"/>
      <c r="AI730" s="24"/>
      <c r="AJ730" s="24"/>
      <c r="AK730" s="24"/>
      <c r="AL730" s="24"/>
      <c r="AM730" s="24"/>
      <c r="AN730" s="24"/>
      <c r="AO730" s="24"/>
      <c r="AP730" s="24"/>
      <c r="AQ730" s="24"/>
      <c r="AR730" s="24"/>
      <c r="AS730" s="18"/>
      <c r="AT730" s="18"/>
      <c r="AU730" s="18"/>
      <c r="AV730" s="18"/>
      <c r="AW730" s="18"/>
      <c r="AX730" s="18"/>
      <c r="AY730" s="18"/>
      <c r="AZ730" s="18"/>
    </row>
    <row r="731" spans="1:52" x14ac:dyDescent="0.25">
      <c r="A731" s="80"/>
      <c r="B731" s="80"/>
      <c r="C731" s="113"/>
      <c r="D731" s="80"/>
      <c r="E731" s="80"/>
      <c r="F731" s="80"/>
      <c r="G731" s="80"/>
      <c r="H731" s="80"/>
      <c r="I731" s="80"/>
      <c r="J731" s="80"/>
      <c r="K731" s="87"/>
      <c r="L731" s="80"/>
      <c r="M731" s="80"/>
      <c r="N731" s="80"/>
      <c r="O731" s="80"/>
      <c r="P731" s="80"/>
      <c r="Q731" s="80"/>
      <c r="R731" s="80"/>
      <c r="S731" s="80"/>
      <c r="T731" s="80"/>
      <c r="U731" s="80"/>
      <c r="V731" s="24"/>
      <c r="W731" s="24"/>
      <c r="X731" s="80"/>
      <c r="Y731" s="80"/>
      <c r="Z731" s="80"/>
      <c r="AA731" s="80"/>
      <c r="AB731" s="91"/>
      <c r="AC731" s="80"/>
      <c r="AD731" s="24"/>
      <c r="AE731" s="24"/>
      <c r="AF731" s="24"/>
      <c r="AG731" s="24"/>
      <c r="AH731" s="24"/>
      <c r="AI731" s="24"/>
      <c r="AJ731" s="24"/>
      <c r="AK731" s="24"/>
      <c r="AL731" s="24"/>
      <c r="AM731" s="24"/>
      <c r="AN731" s="24"/>
      <c r="AO731" s="24"/>
      <c r="AP731" s="24"/>
      <c r="AQ731" s="24"/>
      <c r="AR731" s="24"/>
      <c r="AS731" s="18"/>
      <c r="AT731" s="18"/>
      <c r="AU731" s="18"/>
      <c r="AV731" s="18"/>
      <c r="AW731" s="18"/>
      <c r="AX731" s="18"/>
      <c r="AY731" s="18"/>
      <c r="AZ731" s="18"/>
    </row>
    <row r="732" spans="1:52" x14ac:dyDescent="0.25">
      <c r="A732" s="80"/>
      <c r="B732" s="80"/>
      <c r="C732" s="113"/>
      <c r="D732" s="80"/>
      <c r="E732" s="80"/>
      <c r="F732" s="80"/>
      <c r="G732" s="80"/>
      <c r="H732" s="80"/>
      <c r="I732" s="80"/>
      <c r="J732" s="80"/>
      <c r="K732" s="87"/>
      <c r="L732" s="80"/>
      <c r="M732" s="80"/>
      <c r="N732" s="80"/>
      <c r="O732" s="80"/>
      <c r="P732" s="80"/>
      <c r="Q732" s="80"/>
      <c r="R732" s="80"/>
      <c r="S732" s="80"/>
      <c r="T732" s="80"/>
      <c r="U732" s="80"/>
      <c r="V732" s="24"/>
      <c r="W732" s="24"/>
      <c r="X732" s="80"/>
      <c r="Y732" s="80"/>
      <c r="Z732" s="80"/>
      <c r="AA732" s="80"/>
      <c r="AB732" s="91"/>
      <c r="AC732" s="80"/>
      <c r="AD732" s="24"/>
      <c r="AE732" s="24"/>
      <c r="AF732" s="24"/>
      <c r="AG732" s="24"/>
      <c r="AH732" s="24"/>
      <c r="AI732" s="24"/>
      <c r="AJ732" s="24"/>
      <c r="AK732" s="24"/>
      <c r="AL732" s="24"/>
      <c r="AM732" s="24"/>
      <c r="AN732" s="24"/>
      <c r="AO732" s="24"/>
      <c r="AP732" s="24"/>
      <c r="AQ732" s="24"/>
      <c r="AR732" s="24"/>
      <c r="AS732" s="18"/>
      <c r="AT732" s="18"/>
      <c r="AU732" s="18"/>
      <c r="AV732" s="18"/>
      <c r="AW732" s="18"/>
      <c r="AX732" s="18"/>
      <c r="AY732" s="18"/>
      <c r="AZ732" s="18"/>
    </row>
    <row r="733" spans="1:52" x14ac:dyDescent="0.25">
      <c r="A733" s="80"/>
      <c r="B733" s="80"/>
      <c r="C733" s="113"/>
      <c r="D733" s="80"/>
      <c r="E733" s="80"/>
      <c r="F733" s="80"/>
      <c r="G733" s="80"/>
      <c r="H733" s="80"/>
      <c r="I733" s="80"/>
      <c r="J733" s="80"/>
      <c r="K733" s="87"/>
      <c r="L733" s="80"/>
      <c r="M733" s="80"/>
      <c r="N733" s="80"/>
      <c r="O733" s="80"/>
      <c r="P733" s="80"/>
      <c r="Q733" s="80"/>
      <c r="R733" s="80"/>
      <c r="S733" s="80"/>
      <c r="T733" s="80"/>
      <c r="U733" s="80"/>
      <c r="V733" s="24"/>
      <c r="W733" s="24"/>
      <c r="X733" s="80"/>
      <c r="Y733" s="80"/>
      <c r="Z733" s="80"/>
      <c r="AA733" s="80"/>
      <c r="AB733" s="91"/>
      <c r="AC733" s="80"/>
      <c r="AD733" s="24"/>
      <c r="AE733" s="24"/>
      <c r="AF733" s="24"/>
      <c r="AG733" s="24"/>
      <c r="AH733" s="24"/>
      <c r="AI733" s="24"/>
      <c r="AJ733" s="24"/>
      <c r="AK733" s="24"/>
      <c r="AL733" s="24"/>
      <c r="AM733" s="24"/>
      <c r="AN733" s="24"/>
      <c r="AO733" s="24"/>
      <c r="AP733" s="24"/>
      <c r="AQ733" s="24"/>
      <c r="AR733" s="24"/>
      <c r="AS733" s="18"/>
      <c r="AT733" s="18"/>
      <c r="AU733" s="18"/>
      <c r="AV733" s="18"/>
      <c r="AW733" s="18"/>
      <c r="AX733" s="18"/>
      <c r="AY733" s="18"/>
      <c r="AZ733" s="18"/>
    </row>
    <row r="734" spans="1:52" x14ac:dyDescent="0.25">
      <c r="A734" s="80"/>
      <c r="B734" s="80"/>
      <c r="C734" s="113"/>
      <c r="D734" s="80"/>
      <c r="E734" s="80"/>
      <c r="F734" s="80"/>
      <c r="G734" s="80"/>
      <c r="H734" s="80"/>
      <c r="I734" s="80"/>
      <c r="J734" s="80"/>
      <c r="K734" s="87"/>
      <c r="L734" s="80"/>
      <c r="M734" s="80"/>
      <c r="N734" s="80"/>
      <c r="O734" s="80"/>
      <c r="P734" s="80"/>
      <c r="Q734" s="80"/>
      <c r="R734" s="80"/>
      <c r="S734" s="80"/>
      <c r="T734" s="80"/>
      <c r="U734" s="80"/>
      <c r="V734" s="24"/>
      <c r="W734" s="24"/>
      <c r="X734" s="80"/>
      <c r="Y734" s="80"/>
      <c r="Z734" s="80"/>
      <c r="AA734" s="80"/>
      <c r="AB734" s="91"/>
      <c r="AC734" s="80"/>
      <c r="AD734" s="24"/>
      <c r="AE734" s="24"/>
      <c r="AF734" s="24"/>
      <c r="AG734" s="24"/>
      <c r="AH734" s="24"/>
      <c r="AI734" s="24"/>
      <c r="AJ734" s="24"/>
      <c r="AK734" s="24"/>
      <c r="AL734" s="24"/>
      <c r="AM734" s="24"/>
      <c r="AN734" s="24"/>
      <c r="AO734" s="24"/>
      <c r="AP734" s="24"/>
      <c r="AQ734" s="24"/>
      <c r="AR734" s="24"/>
      <c r="AS734" s="18"/>
      <c r="AT734" s="18"/>
      <c r="AU734" s="18"/>
      <c r="AV734" s="18"/>
      <c r="AW734" s="18"/>
      <c r="AX734" s="18"/>
      <c r="AY734" s="18"/>
      <c r="AZ734" s="18"/>
    </row>
    <row r="735" spans="1:52" x14ac:dyDescent="0.25">
      <c r="A735" s="80"/>
      <c r="B735" s="80"/>
      <c r="C735" s="113"/>
      <c r="D735" s="80"/>
      <c r="E735" s="80"/>
      <c r="F735" s="80"/>
      <c r="G735" s="80"/>
      <c r="H735" s="80"/>
      <c r="I735" s="80"/>
      <c r="J735" s="80"/>
      <c r="K735" s="87"/>
      <c r="L735" s="80"/>
      <c r="M735" s="80"/>
      <c r="N735" s="80"/>
      <c r="O735" s="80"/>
      <c r="P735" s="80"/>
      <c r="Q735" s="80"/>
      <c r="R735" s="80"/>
      <c r="S735" s="80"/>
      <c r="T735" s="80"/>
      <c r="U735" s="80"/>
      <c r="V735" s="24"/>
      <c r="W735" s="24"/>
      <c r="X735" s="80"/>
      <c r="Y735" s="80"/>
      <c r="Z735" s="80"/>
      <c r="AA735" s="80"/>
      <c r="AB735" s="91"/>
      <c r="AC735" s="80"/>
      <c r="AD735" s="24"/>
      <c r="AE735" s="24"/>
      <c r="AF735" s="24"/>
      <c r="AG735" s="24"/>
      <c r="AH735" s="24"/>
      <c r="AI735" s="24"/>
      <c r="AJ735" s="24"/>
      <c r="AK735" s="24"/>
      <c r="AL735" s="24"/>
      <c r="AM735" s="24"/>
      <c r="AN735" s="24"/>
      <c r="AO735" s="24"/>
      <c r="AP735" s="24"/>
      <c r="AQ735" s="24"/>
      <c r="AR735" s="24"/>
      <c r="AS735" s="18"/>
      <c r="AT735" s="18"/>
      <c r="AU735" s="18"/>
      <c r="AV735" s="18"/>
      <c r="AW735" s="18"/>
      <c r="AX735" s="18"/>
      <c r="AY735" s="18"/>
      <c r="AZ735" s="18"/>
    </row>
    <row r="736" spans="1:52" x14ac:dyDescent="0.25">
      <c r="A736" s="80"/>
      <c r="B736" s="80"/>
      <c r="C736" s="113"/>
      <c r="D736" s="80"/>
      <c r="E736" s="80"/>
      <c r="F736" s="80"/>
      <c r="G736" s="80"/>
      <c r="H736" s="80"/>
      <c r="I736" s="80"/>
      <c r="J736" s="80"/>
      <c r="K736" s="87"/>
      <c r="L736" s="80"/>
      <c r="M736" s="80"/>
      <c r="N736" s="80"/>
      <c r="O736" s="80"/>
      <c r="P736" s="80"/>
      <c r="Q736" s="80"/>
      <c r="R736" s="80"/>
      <c r="S736" s="80"/>
      <c r="T736" s="80"/>
      <c r="U736" s="80"/>
      <c r="V736" s="24"/>
      <c r="W736" s="24"/>
      <c r="X736" s="80"/>
      <c r="Y736" s="80"/>
      <c r="Z736" s="80"/>
      <c r="AA736" s="80"/>
      <c r="AB736" s="91"/>
      <c r="AC736" s="80"/>
      <c r="AD736" s="24"/>
      <c r="AE736" s="24"/>
      <c r="AF736" s="24"/>
      <c r="AG736" s="24"/>
      <c r="AH736" s="24"/>
      <c r="AI736" s="24"/>
      <c r="AJ736" s="24"/>
      <c r="AK736" s="24"/>
      <c r="AL736" s="24"/>
      <c r="AM736" s="24"/>
      <c r="AN736" s="24"/>
      <c r="AO736" s="24"/>
      <c r="AP736" s="24"/>
      <c r="AQ736" s="24"/>
      <c r="AR736" s="24"/>
      <c r="AS736" s="18"/>
      <c r="AT736" s="18"/>
      <c r="AU736" s="18"/>
      <c r="AV736" s="18"/>
      <c r="AW736" s="18"/>
      <c r="AX736" s="18"/>
      <c r="AY736" s="18"/>
      <c r="AZ736" s="18"/>
    </row>
    <row r="737" spans="1:52" x14ac:dyDescent="0.25">
      <c r="A737" s="80"/>
      <c r="B737" s="80"/>
      <c r="C737" s="113"/>
      <c r="D737" s="80"/>
      <c r="E737" s="80"/>
      <c r="F737" s="80"/>
      <c r="G737" s="80"/>
      <c r="H737" s="80"/>
      <c r="I737" s="80"/>
      <c r="J737" s="80"/>
      <c r="K737" s="87"/>
      <c r="L737" s="80"/>
      <c r="M737" s="80"/>
      <c r="N737" s="80"/>
      <c r="O737" s="80"/>
      <c r="P737" s="80"/>
      <c r="Q737" s="80"/>
      <c r="R737" s="80"/>
      <c r="S737" s="80"/>
      <c r="T737" s="80"/>
      <c r="U737" s="80"/>
      <c r="V737" s="24"/>
      <c r="W737" s="24"/>
      <c r="X737" s="80"/>
      <c r="Y737" s="80"/>
      <c r="Z737" s="80"/>
      <c r="AA737" s="80"/>
      <c r="AB737" s="91"/>
      <c r="AC737" s="80"/>
      <c r="AD737" s="24"/>
      <c r="AE737" s="24"/>
      <c r="AF737" s="24"/>
      <c r="AG737" s="24"/>
      <c r="AH737" s="24"/>
      <c r="AI737" s="24"/>
      <c r="AJ737" s="24"/>
      <c r="AK737" s="24"/>
      <c r="AL737" s="24"/>
      <c r="AM737" s="24"/>
      <c r="AN737" s="24"/>
      <c r="AO737" s="24"/>
      <c r="AP737" s="24"/>
      <c r="AQ737" s="24"/>
      <c r="AR737" s="24"/>
      <c r="AS737" s="18"/>
      <c r="AT737" s="18"/>
      <c r="AU737" s="18"/>
      <c r="AV737" s="18"/>
      <c r="AW737" s="18"/>
      <c r="AX737" s="18"/>
      <c r="AY737" s="18"/>
      <c r="AZ737" s="18"/>
    </row>
    <row r="738" spans="1:52" x14ac:dyDescent="0.25">
      <c r="A738" s="80"/>
      <c r="B738" s="80"/>
      <c r="C738" s="113"/>
      <c r="D738" s="80"/>
      <c r="E738" s="80"/>
      <c r="F738" s="80"/>
      <c r="G738" s="80"/>
      <c r="H738" s="80"/>
      <c r="I738" s="80"/>
      <c r="J738" s="80"/>
      <c r="K738" s="87"/>
      <c r="L738" s="80"/>
      <c r="M738" s="80"/>
      <c r="N738" s="80"/>
      <c r="O738" s="80"/>
      <c r="P738" s="80"/>
      <c r="Q738" s="80"/>
      <c r="R738" s="80"/>
      <c r="S738" s="80"/>
      <c r="T738" s="80"/>
      <c r="U738" s="80"/>
      <c r="V738" s="24"/>
      <c r="W738" s="24"/>
      <c r="X738" s="80"/>
      <c r="Y738" s="80"/>
      <c r="Z738" s="80"/>
      <c r="AA738" s="80"/>
      <c r="AB738" s="91"/>
      <c r="AC738" s="80"/>
      <c r="AD738" s="24"/>
      <c r="AE738" s="24"/>
      <c r="AF738" s="24"/>
      <c r="AG738" s="24"/>
      <c r="AH738" s="24"/>
      <c r="AI738" s="24"/>
      <c r="AJ738" s="24"/>
      <c r="AK738" s="24"/>
      <c r="AL738" s="24"/>
      <c r="AM738" s="24"/>
      <c r="AN738" s="24"/>
      <c r="AO738" s="24"/>
      <c r="AP738" s="24"/>
      <c r="AQ738" s="24"/>
      <c r="AR738" s="24"/>
      <c r="AS738" s="18"/>
      <c r="AT738" s="18"/>
      <c r="AU738" s="18"/>
      <c r="AV738" s="18"/>
      <c r="AW738" s="18"/>
      <c r="AX738" s="18"/>
      <c r="AY738" s="18"/>
      <c r="AZ738" s="18"/>
    </row>
    <row r="739" spans="1:52" x14ac:dyDescent="0.25">
      <c r="A739" s="80"/>
      <c r="B739" s="80"/>
      <c r="C739" s="113"/>
      <c r="D739" s="80"/>
      <c r="E739" s="80"/>
      <c r="F739" s="80"/>
      <c r="G739" s="80"/>
      <c r="H739" s="80"/>
      <c r="I739" s="80"/>
      <c r="J739" s="80"/>
      <c r="K739" s="87"/>
      <c r="L739" s="80"/>
      <c r="M739" s="80"/>
      <c r="N739" s="80"/>
      <c r="O739" s="80"/>
      <c r="P739" s="80"/>
      <c r="Q739" s="80"/>
      <c r="R739" s="80"/>
      <c r="S739" s="80"/>
      <c r="T739" s="80"/>
      <c r="U739" s="80"/>
      <c r="V739" s="24"/>
      <c r="W739" s="24"/>
      <c r="X739" s="80"/>
      <c r="Y739" s="80"/>
      <c r="Z739" s="80"/>
      <c r="AA739" s="80"/>
      <c r="AB739" s="91"/>
      <c r="AC739" s="80"/>
      <c r="AD739" s="24"/>
      <c r="AE739" s="24"/>
      <c r="AF739" s="24"/>
      <c r="AG739" s="24"/>
      <c r="AH739" s="24"/>
      <c r="AI739" s="24"/>
      <c r="AJ739" s="24"/>
      <c r="AK739" s="24"/>
      <c r="AL739" s="24"/>
      <c r="AM739" s="24"/>
      <c r="AN739" s="24"/>
      <c r="AO739" s="24"/>
      <c r="AP739" s="24"/>
      <c r="AQ739" s="24"/>
      <c r="AR739" s="24"/>
      <c r="AS739" s="18"/>
      <c r="AT739" s="18"/>
      <c r="AU739" s="18"/>
      <c r="AV739" s="18"/>
      <c r="AW739" s="18"/>
      <c r="AX739" s="18"/>
      <c r="AY739" s="18"/>
      <c r="AZ739" s="18"/>
    </row>
    <row r="740" spans="1:52" x14ac:dyDescent="0.25">
      <c r="A740" s="80"/>
      <c r="B740" s="80"/>
      <c r="C740" s="113"/>
      <c r="D740" s="80"/>
      <c r="E740" s="80"/>
      <c r="F740" s="80"/>
      <c r="G740" s="80"/>
      <c r="H740" s="80"/>
      <c r="I740" s="80"/>
      <c r="J740" s="80"/>
      <c r="K740" s="87"/>
      <c r="L740" s="80"/>
      <c r="M740" s="80"/>
      <c r="N740" s="80"/>
      <c r="O740" s="80"/>
      <c r="P740" s="80"/>
      <c r="Q740" s="80"/>
      <c r="R740" s="80"/>
      <c r="S740" s="80"/>
      <c r="T740" s="80"/>
      <c r="U740" s="80"/>
      <c r="V740" s="24"/>
      <c r="W740" s="24"/>
      <c r="X740" s="80"/>
      <c r="Y740" s="80"/>
      <c r="Z740" s="80"/>
      <c r="AA740" s="80"/>
      <c r="AB740" s="91"/>
      <c r="AC740" s="80"/>
      <c r="AD740" s="24"/>
      <c r="AE740" s="24"/>
      <c r="AF740" s="24"/>
      <c r="AG740" s="24"/>
      <c r="AH740" s="24"/>
      <c r="AI740" s="24"/>
      <c r="AJ740" s="24"/>
      <c r="AK740" s="24"/>
      <c r="AL740" s="24"/>
      <c r="AM740" s="24"/>
      <c r="AN740" s="24"/>
      <c r="AO740" s="24"/>
      <c r="AP740" s="24"/>
      <c r="AQ740" s="24"/>
      <c r="AR740" s="24"/>
      <c r="AS740" s="18"/>
      <c r="AT740" s="18"/>
      <c r="AU740" s="18"/>
      <c r="AV740" s="18"/>
      <c r="AW740" s="18"/>
      <c r="AX740" s="18"/>
      <c r="AY740" s="18"/>
      <c r="AZ740" s="18"/>
    </row>
    <row r="741" spans="1:52" x14ac:dyDescent="0.25">
      <c r="A741" s="80"/>
      <c r="B741" s="80"/>
      <c r="C741" s="113"/>
      <c r="D741" s="80"/>
      <c r="E741" s="80"/>
      <c r="F741" s="80"/>
      <c r="G741" s="80"/>
      <c r="H741" s="80"/>
      <c r="I741" s="80"/>
      <c r="J741" s="80"/>
      <c r="K741" s="87"/>
      <c r="L741" s="80"/>
      <c r="M741" s="80"/>
      <c r="N741" s="80"/>
      <c r="O741" s="80"/>
      <c r="P741" s="80"/>
      <c r="Q741" s="80"/>
      <c r="R741" s="80"/>
      <c r="S741" s="80"/>
      <c r="T741" s="80"/>
      <c r="U741" s="80"/>
      <c r="V741" s="24"/>
      <c r="W741" s="24"/>
      <c r="X741" s="80"/>
      <c r="Y741" s="80"/>
      <c r="Z741" s="80"/>
      <c r="AA741" s="80"/>
      <c r="AB741" s="91"/>
      <c r="AC741" s="80"/>
      <c r="AD741" s="24"/>
      <c r="AE741" s="24"/>
      <c r="AF741" s="24"/>
      <c r="AG741" s="24"/>
      <c r="AH741" s="24"/>
      <c r="AI741" s="24"/>
      <c r="AJ741" s="24"/>
      <c r="AK741" s="24"/>
      <c r="AL741" s="24"/>
      <c r="AM741" s="24"/>
      <c r="AN741" s="24"/>
      <c r="AO741" s="24"/>
      <c r="AP741" s="24"/>
      <c r="AQ741" s="24"/>
      <c r="AR741" s="24"/>
      <c r="AS741" s="18"/>
      <c r="AT741" s="18"/>
      <c r="AU741" s="18"/>
      <c r="AV741" s="18"/>
      <c r="AW741" s="18"/>
      <c r="AX741" s="18"/>
      <c r="AY741" s="18"/>
      <c r="AZ741" s="18"/>
    </row>
    <row r="742" spans="1:52" x14ac:dyDescent="0.25">
      <c r="A742" s="80"/>
      <c r="B742" s="80"/>
      <c r="C742" s="113"/>
      <c r="D742" s="80"/>
      <c r="E742" s="80"/>
      <c r="F742" s="80"/>
      <c r="G742" s="80"/>
      <c r="H742" s="80"/>
      <c r="I742" s="80"/>
      <c r="J742" s="80"/>
      <c r="K742" s="87"/>
      <c r="L742" s="80"/>
      <c r="M742" s="80"/>
      <c r="N742" s="80"/>
      <c r="O742" s="80"/>
      <c r="P742" s="80"/>
      <c r="Q742" s="80"/>
      <c r="R742" s="80"/>
      <c r="S742" s="80"/>
      <c r="T742" s="80"/>
      <c r="U742" s="80"/>
      <c r="V742" s="24"/>
      <c r="W742" s="24"/>
      <c r="X742" s="80"/>
      <c r="Y742" s="80"/>
      <c r="Z742" s="80"/>
      <c r="AA742" s="80"/>
      <c r="AB742" s="91"/>
      <c r="AC742" s="80"/>
      <c r="AD742" s="24"/>
      <c r="AE742" s="24"/>
      <c r="AF742" s="24"/>
      <c r="AG742" s="24"/>
      <c r="AH742" s="24"/>
      <c r="AI742" s="24"/>
      <c r="AJ742" s="24"/>
      <c r="AK742" s="24"/>
      <c r="AL742" s="24"/>
      <c r="AM742" s="24"/>
      <c r="AN742" s="24"/>
      <c r="AO742" s="24"/>
      <c r="AP742" s="24"/>
      <c r="AQ742" s="24"/>
      <c r="AR742" s="24"/>
      <c r="AS742" s="18"/>
      <c r="AT742" s="18"/>
      <c r="AU742" s="18"/>
      <c r="AV742" s="18"/>
      <c r="AW742" s="18"/>
      <c r="AX742" s="18"/>
      <c r="AY742" s="18"/>
      <c r="AZ742" s="18"/>
    </row>
    <row r="743" spans="1:52" x14ac:dyDescent="0.25">
      <c r="A743" s="80"/>
      <c r="B743" s="80"/>
      <c r="C743" s="113"/>
      <c r="D743" s="80"/>
      <c r="E743" s="80"/>
      <c r="F743" s="80"/>
      <c r="G743" s="80"/>
      <c r="H743" s="80"/>
      <c r="I743" s="80"/>
      <c r="J743" s="80"/>
      <c r="K743" s="87"/>
      <c r="L743" s="80"/>
      <c r="M743" s="80"/>
      <c r="N743" s="80"/>
      <c r="O743" s="80"/>
      <c r="P743" s="80"/>
      <c r="Q743" s="80"/>
      <c r="R743" s="80"/>
      <c r="S743" s="80"/>
      <c r="T743" s="80"/>
      <c r="U743" s="80"/>
      <c r="V743" s="24"/>
      <c r="W743" s="24"/>
      <c r="X743" s="80"/>
      <c r="Y743" s="80"/>
      <c r="Z743" s="80"/>
      <c r="AA743" s="80"/>
      <c r="AB743" s="91"/>
      <c r="AC743" s="80"/>
      <c r="AD743" s="24"/>
      <c r="AE743" s="24"/>
      <c r="AF743" s="24"/>
      <c r="AG743" s="24"/>
      <c r="AH743" s="24"/>
      <c r="AI743" s="24"/>
      <c r="AJ743" s="24"/>
      <c r="AK743" s="24"/>
      <c r="AL743" s="24"/>
      <c r="AM743" s="24"/>
      <c r="AN743" s="24"/>
      <c r="AO743" s="24"/>
      <c r="AP743" s="24"/>
      <c r="AQ743" s="24"/>
      <c r="AR743" s="24"/>
      <c r="AS743" s="18"/>
      <c r="AT743" s="18"/>
      <c r="AU743" s="18"/>
      <c r="AV743" s="18"/>
      <c r="AW743" s="18"/>
      <c r="AX743" s="18"/>
      <c r="AY743" s="18"/>
      <c r="AZ743" s="18"/>
    </row>
    <row r="744" spans="1:52" x14ac:dyDescent="0.25">
      <c r="A744" s="80"/>
      <c r="B744" s="80"/>
      <c r="C744" s="113"/>
      <c r="D744" s="80"/>
      <c r="E744" s="80"/>
      <c r="F744" s="80"/>
      <c r="G744" s="80"/>
      <c r="H744" s="80"/>
      <c r="I744" s="80"/>
      <c r="J744" s="80"/>
      <c r="K744" s="87"/>
      <c r="L744" s="80"/>
      <c r="M744" s="80"/>
      <c r="N744" s="80"/>
      <c r="O744" s="80"/>
      <c r="P744" s="80"/>
      <c r="Q744" s="80"/>
      <c r="R744" s="80"/>
      <c r="S744" s="80"/>
      <c r="T744" s="80"/>
      <c r="U744" s="80"/>
      <c r="V744" s="24"/>
      <c r="W744" s="24"/>
      <c r="X744" s="80"/>
      <c r="Y744" s="80"/>
      <c r="Z744" s="80"/>
      <c r="AA744" s="80"/>
      <c r="AB744" s="91"/>
      <c r="AC744" s="80"/>
      <c r="AD744" s="24"/>
      <c r="AE744" s="24"/>
      <c r="AF744" s="24"/>
      <c r="AG744" s="24"/>
      <c r="AH744" s="24"/>
      <c r="AI744" s="24"/>
      <c r="AJ744" s="24"/>
      <c r="AK744" s="24"/>
      <c r="AL744" s="24"/>
      <c r="AM744" s="24"/>
      <c r="AN744" s="24"/>
      <c r="AO744" s="24"/>
      <c r="AP744" s="24"/>
      <c r="AQ744" s="24"/>
      <c r="AR744" s="24"/>
      <c r="AS744" s="18"/>
      <c r="AT744" s="18"/>
      <c r="AU744" s="18"/>
      <c r="AV744" s="18"/>
      <c r="AW744" s="18"/>
      <c r="AX744" s="18"/>
      <c r="AY744" s="18"/>
      <c r="AZ744" s="18"/>
    </row>
    <row r="745" spans="1:52" x14ac:dyDescent="0.25">
      <c r="A745" s="80"/>
      <c r="B745" s="80"/>
      <c r="C745" s="113"/>
      <c r="D745" s="80"/>
      <c r="E745" s="80"/>
      <c r="F745" s="80"/>
      <c r="G745" s="80"/>
      <c r="H745" s="80"/>
      <c r="I745" s="80"/>
      <c r="J745" s="80"/>
      <c r="K745" s="87"/>
      <c r="L745" s="80"/>
      <c r="M745" s="80"/>
      <c r="N745" s="80"/>
      <c r="O745" s="80"/>
      <c r="P745" s="80"/>
      <c r="Q745" s="80"/>
      <c r="R745" s="80"/>
      <c r="S745" s="80"/>
      <c r="T745" s="80"/>
      <c r="U745" s="80"/>
      <c r="V745" s="24"/>
      <c r="W745" s="24"/>
      <c r="X745" s="80"/>
      <c r="Y745" s="80"/>
      <c r="Z745" s="80"/>
      <c r="AA745" s="80"/>
      <c r="AB745" s="91"/>
      <c r="AC745" s="80"/>
      <c r="AD745" s="24"/>
      <c r="AE745" s="24"/>
      <c r="AF745" s="24"/>
      <c r="AG745" s="24"/>
      <c r="AH745" s="24"/>
      <c r="AI745" s="24"/>
      <c r="AJ745" s="24"/>
      <c r="AK745" s="24"/>
      <c r="AL745" s="24"/>
      <c r="AM745" s="24"/>
      <c r="AN745" s="24"/>
      <c r="AO745" s="24"/>
      <c r="AP745" s="24"/>
      <c r="AQ745" s="24"/>
      <c r="AR745" s="24"/>
      <c r="AS745" s="18"/>
      <c r="AT745" s="18"/>
      <c r="AU745" s="18"/>
      <c r="AV745" s="18"/>
      <c r="AW745" s="18"/>
      <c r="AX745" s="18"/>
      <c r="AY745" s="18"/>
      <c r="AZ745" s="18"/>
    </row>
    <row r="746" spans="1:52" x14ac:dyDescent="0.25">
      <c r="A746" s="80"/>
      <c r="B746" s="80"/>
      <c r="C746" s="113"/>
      <c r="D746" s="80"/>
      <c r="E746" s="80"/>
      <c r="F746" s="80"/>
      <c r="G746" s="80"/>
      <c r="H746" s="80"/>
      <c r="I746" s="80"/>
      <c r="J746" s="80"/>
      <c r="K746" s="87"/>
      <c r="L746" s="80"/>
      <c r="M746" s="80"/>
      <c r="N746" s="80"/>
      <c r="O746" s="80"/>
      <c r="P746" s="80"/>
      <c r="Q746" s="80"/>
      <c r="R746" s="80"/>
      <c r="S746" s="80"/>
      <c r="T746" s="80"/>
      <c r="U746" s="80"/>
      <c r="V746" s="24"/>
      <c r="W746" s="24"/>
      <c r="X746" s="80"/>
      <c r="Y746" s="80"/>
      <c r="Z746" s="80"/>
      <c r="AA746" s="80"/>
      <c r="AB746" s="91"/>
      <c r="AC746" s="80"/>
      <c r="AD746" s="24"/>
      <c r="AE746" s="24"/>
      <c r="AF746" s="24"/>
      <c r="AG746" s="24"/>
      <c r="AH746" s="24"/>
      <c r="AI746" s="24"/>
      <c r="AJ746" s="24"/>
      <c r="AK746" s="24"/>
      <c r="AL746" s="24"/>
      <c r="AM746" s="24"/>
      <c r="AN746" s="24"/>
      <c r="AO746" s="24"/>
      <c r="AP746" s="24"/>
      <c r="AQ746" s="24"/>
      <c r="AR746" s="24"/>
      <c r="AS746" s="18"/>
      <c r="AT746" s="18"/>
      <c r="AU746" s="18"/>
      <c r="AV746" s="18"/>
      <c r="AW746" s="18"/>
      <c r="AX746" s="18"/>
      <c r="AY746" s="18"/>
      <c r="AZ746" s="18"/>
    </row>
    <row r="747" spans="1:52" x14ac:dyDescent="0.25">
      <c r="A747" s="80"/>
      <c r="B747" s="80"/>
      <c r="C747" s="113"/>
      <c r="D747" s="80"/>
      <c r="E747" s="80"/>
      <c r="F747" s="80"/>
      <c r="G747" s="80"/>
      <c r="H747" s="80"/>
      <c r="I747" s="80"/>
      <c r="J747" s="80"/>
      <c r="K747" s="87"/>
      <c r="L747" s="80"/>
      <c r="M747" s="80"/>
      <c r="N747" s="80"/>
      <c r="O747" s="80"/>
      <c r="P747" s="80"/>
      <c r="Q747" s="80"/>
      <c r="R747" s="80"/>
      <c r="S747" s="80"/>
      <c r="T747" s="80"/>
      <c r="U747" s="80"/>
      <c r="V747" s="24"/>
      <c r="W747" s="24"/>
      <c r="X747" s="80"/>
      <c r="Y747" s="80"/>
      <c r="Z747" s="80"/>
      <c r="AA747" s="80"/>
      <c r="AB747" s="91"/>
      <c r="AC747" s="80"/>
      <c r="AD747" s="24"/>
      <c r="AE747" s="24"/>
      <c r="AF747" s="24"/>
      <c r="AG747" s="24"/>
      <c r="AH747" s="24"/>
      <c r="AI747" s="24"/>
      <c r="AJ747" s="24"/>
      <c r="AK747" s="24"/>
      <c r="AL747" s="24"/>
      <c r="AM747" s="24"/>
      <c r="AN747" s="24"/>
      <c r="AO747" s="24"/>
      <c r="AP747" s="24"/>
      <c r="AQ747" s="24"/>
      <c r="AR747" s="24"/>
      <c r="AS747" s="18"/>
      <c r="AT747" s="18"/>
      <c r="AU747" s="18"/>
      <c r="AV747" s="18"/>
      <c r="AW747" s="18"/>
      <c r="AX747" s="18"/>
      <c r="AY747" s="18"/>
      <c r="AZ747" s="18"/>
    </row>
    <row r="748" spans="1:52" x14ac:dyDescent="0.25">
      <c r="A748" s="80"/>
      <c r="B748" s="80"/>
      <c r="C748" s="113"/>
      <c r="D748" s="80"/>
      <c r="E748" s="80"/>
      <c r="F748" s="80"/>
      <c r="G748" s="80"/>
      <c r="H748" s="80"/>
      <c r="I748" s="80"/>
      <c r="J748" s="80"/>
      <c r="K748" s="87"/>
      <c r="L748" s="80"/>
      <c r="M748" s="80"/>
      <c r="N748" s="80"/>
      <c r="O748" s="80"/>
      <c r="P748" s="80"/>
      <c r="Q748" s="80"/>
      <c r="R748" s="80"/>
      <c r="S748" s="80"/>
      <c r="T748" s="80"/>
      <c r="U748" s="80"/>
      <c r="V748" s="24"/>
      <c r="W748" s="24"/>
      <c r="X748" s="80"/>
      <c r="Y748" s="80"/>
      <c r="Z748" s="80"/>
      <c r="AA748" s="80"/>
      <c r="AB748" s="91"/>
      <c r="AC748" s="80"/>
      <c r="AD748" s="24"/>
      <c r="AE748" s="24"/>
      <c r="AF748" s="24"/>
      <c r="AG748" s="24"/>
      <c r="AH748" s="24"/>
      <c r="AI748" s="24"/>
      <c r="AJ748" s="24"/>
      <c r="AK748" s="24"/>
      <c r="AL748" s="24"/>
      <c r="AM748" s="24"/>
      <c r="AN748" s="24"/>
      <c r="AO748" s="24"/>
      <c r="AP748" s="24"/>
      <c r="AQ748" s="24"/>
      <c r="AR748" s="24"/>
      <c r="AS748" s="18"/>
      <c r="AT748" s="18"/>
      <c r="AU748" s="18"/>
      <c r="AV748" s="18"/>
      <c r="AW748" s="18"/>
      <c r="AX748" s="18"/>
      <c r="AY748" s="18"/>
      <c r="AZ748" s="18"/>
    </row>
    <row r="749" spans="1:52" x14ac:dyDescent="0.25">
      <c r="A749" s="80"/>
      <c r="B749" s="80"/>
      <c r="C749" s="113"/>
      <c r="D749" s="80"/>
      <c r="E749" s="80"/>
      <c r="F749" s="80"/>
      <c r="G749" s="80"/>
      <c r="H749" s="80"/>
      <c r="I749" s="80"/>
      <c r="J749" s="80"/>
      <c r="K749" s="87"/>
      <c r="L749" s="80"/>
      <c r="M749" s="80"/>
      <c r="N749" s="80"/>
      <c r="O749" s="80"/>
      <c r="P749" s="80"/>
      <c r="Q749" s="80"/>
      <c r="R749" s="80"/>
      <c r="S749" s="80"/>
      <c r="T749" s="80"/>
      <c r="U749" s="80"/>
      <c r="V749" s="24"/>
      <c r="W749" s="24"/>
      <c r="X749" s="80"/>
      <c r="Y749" s="80"/>
      <c r="Z749" s="80"/>
      <c r="AA749" s="80"/>
      <c r="AB749" s="91"/>
      <c r="AC749" s="80"/>
      <c r="AD749" s="24"/>
      <c r="AE749" s="24"/>
      <c r="AF749" s="24"/>
      <c r="AG749" s="24"/>
      <c r="AH749" s="24"/>
      <c r="AI749" s="24"/>
      <c r="AJ749" s="24"/>
      <c r="AK749" s="24"/>
      <c r="AL749" s="24"/>
      <c r="AM749" s="24"/>
      <c r="AN749" s="24"/>
      <c r="AO749" s="24"/>
      <c r="AP749" s="24"/>
      <c r="AQ749" s="24"/>
      <c r="AR749" s="24"/>
      <c r="AS749" s="18"/>
      <c r="AT749" s="18"/>
      <c r="AU749" s="18"/>
      <c r="AV749" s="18"/>
      <c r="AW749" s="18"/>
      <c r="AX749" s="18"/>
      <c r="AY749" s="18"/>
      <c r="AZ749" s="18"/>
    </row>
    <row r="750" spans="1:52" x14ac:dyDescent="0.25">
      <c r="A750" s="80"/>
      <c r="B750" s="80"/>
      <c r="C750" s="113"/>
      <c r="D750" s="80"/>
      <c r="E750" s="80"/>
      <c r="F750" s="80"/>
      <c r="G750" s="80"/>
      <c r="H750" s="80"/>
      <c r="I750" s="80"/>
      <c r="J750" s="80"/>
      <c r="K750" s="87"/>
      <c r="L750" s="80"/>
      <c r="M750" s="80"/>
      <c r="N750" s="80"/>
      <c r="O750" s="80"/>
      <c r="P750" s="80"/>
      <c r="Q750" s="80"/>
      <c r="R750" s="80"/>
      <c r="S750" s="80"/>
      <c r="T750" s="80"/>
      <c r="U750" s="80"/>
      <c r="V750" s="24"/>
      <c r="W750" s="24"/>
      <c r="X750" s="80"/>
      <c r="Y750" s="80"/>
      <c r="Z750" s="80"/>
      <c r="AA750" s="80"/>
      <c r="AB750" s="91"/>
      <c r="AC750" s="80"/>
      <c r="AD750" s="24"/>
      <c r="AE750" s="24"/>
      <c r="AF750" s="24"/>
      <c r="AG750" s="24"/>
      <c r="AH750" s="24"/>
      <c r="AI750" s="24"/>
      <c r="AJ750" s="24"/>
      <c r="AK750" s="24"/>
      <c r="AL750" s="24"/>
      <c r="AM750" s="24"/>
      <c r="AN750" s="24"/>
      <c r="AO750" s="24"/>
      <c r="AP750" s="24"/>
      <c r="AQ750" s="24"/>
      <c r="AR750" s="24"/>
      <c r="AS750" s="18"/>
      <c r="AT750" s="18"/>
      <c r="AU750" s="18"/>
      <c r="AV750" s="18"/>
      <c r="AW750" s="18"/>
      <c r="AX750" s="18"/>
      <c r="AY750" s="18"/>
      <c r="AZ750" s="18"/>
    </row>
    <row r="751" spans="1:52" x14ac:dyDescent="0.25">
      <c r="A751" s="80"/>
      <c r="B751" s="80"/>
      <c r="C751" s="113"/>
      <c r="D751" s="80"/>
      <c r="E751" s="80"/>
      <c r="F751" s="80"/>
      <c r="G751" s="80"/>
      <c r="H751" s="80"/>
      <c r="I751" s="80"/>
      <c r="J751" s="80"/>
      <c r="K751" s="87"/>
      <c r="L751" s="80"/>
      <c r="M751" s="80"/>
      <c r="N751" s="80"/>
      <c r="O751" s="80"/>
      <c r="P751" s="80"/>
      <c r="Q751" s="80"/>
      <c r="R751" s="80"/>
      <c r="S751" s="80"/>
      <c r="T751" s="80"/>
      <c r="U751" s="80"/>
      <c r="V751" s="24"/>
      <c r="W751" s="24"/>
      <c r="X751" s="80"/>
      <c r="Y751" s="80"/>
      <c r="Z751" s="80"/>
      <c r="AA751" s="80"/>
      <c r="AB751" s="91"/>
      <c r="AC751" s="80"/>
      <c r="AD751" s="24"/>
      <c r="AE751" s="24"/>
      <c r="AF751" s="24"/>
      <c r="AG751" s="24"/>
      <c r="AH751" s="24"/>
      <c r="AI751" s="24"/>
      <c r="AJ751" s="24"/>
      <c r="AK751" s="24"/>
      <c r="AL751" s="24"/>
      <c r="AM751" s="24"/>
      <c r="AN751" s="24"/>
      <c r="AO751" s="24"/>
      <c r="AP751" s="24"/>
      <c r="AQ751" s="24"/>
      <c r="AR751" s="24"/>
      <c r="AS751" s="18"/>
      <c r="AT751" s="18"/>
      <c r="AU751" s="18"/>
      <c r="AV751" s="18"/>
      <c r="AW751" s="18"/>
      <c r="AX751" s="18"/>
      <c r="AY751" s="18"/>
      <c r="AZ751" s="18"/>
    </row>
    <row r="752" spans="1:52" x14ac:dyDescent="0.25">
      <c r="A752" s="80"/>
      <c r="B752" s="80"/>
      <c r="C752" s="113"/>
      <c r="D752" s="80"/>
      <c r="E752" s="80"/>
      <c r="F752" s="80"/>
      <c r="G752" s="80"/>
      <c r="H752" s="80"/>
      <c r="I752" s="80"/>
      <c r="J752" s="80"/>
      <c r="K752" s="87"/>
      <c r="L752" s="80"/>
      <c r="M752" s="80"/>
      <c r="N752" s="80"/>
      <c r="O752" s="80"/>
      <c r="P752" s="80"/>
      <c r="Q752" s="80"/>
      <c r="R752" s="80"/>
      <c r="S752" s="80"/>
      <c r="T752" s="80"/>
      <c r="U752" s="80"/>
      <c r="V752" s="24"/>
      <c r="W752" s="24"/>
      <c r="X752" s="80"/>
      <c r="Y752" s="80"/>
      <c r="Z752" s="80"/>
      <c r="AA752" s="80"/>
      <c r="AB752" s="91"/>
      <c r="AC752" s="80"/>
      <c r="AD752" s="24"/>
      <c r="AE752" s="24"/>
      <c r="AF752" s="24"/>
      <c r="AG752" s="24"/>
      <c r="AH752" s="24"/>
      <c r="AI752" s="24"/>
      <c r="AJ752" s="24"/>
      <c r="AK752" s="24"/>
      <c r="AL752" s="24"/>
      <c r="AM752" s="24"/>
      <c r="AN752" s="24"/>
      <c r="AO752" s="24"/>
      <c r="AP752" s="24"/>
      <c r="AQ752" s="24"/>
      <c r="AR752" s="24"/>
      <c r="AS752" s="18"/>
      <c r="AT752" s="18"/>
      <c r="AU752" s="18"/>
      <c r="AV752" s="18"/>
      <c r="AW752" s="18"/>
      <c r="AX752" s="18"/>
      <c r="AY752" s="18"/>
      <c r="AZ752" s="18"/>
    </row>
    <row r="753" spans="1:52" x14ac:dyDescent="0.25">
      <c r="A753" s="80"/>
      <c r="B753" s="80"/>
      <c r="C753" s="113"/>
      <c r="D753" s="80"/>
      <c r="E753" s="80"/>
      <c r="F753" s="80"/>
      <c r="G753" s="80"/>
      <c r="H753" s="80"/>
      <c r="I753" s="80"/>
      <c r="J753" s="80"/>
      <c r="K753" s="87"/>
      <c r="L753" s="80"/>
      <c r="M753" s="80"/>
      <c r="N753" s="80"/>
      <c r="O753" s="80"/>
      <c r="P753" s="80"/>
      <c r="Q753" s="80"/>
      <c r="R753" s="80"/>
      <c r="S753" s="80"/>
      <c r="T753" s="80"/>
      <c r="U753" s="80"/>
      <c r="V753" s="24"/>
      <c r="W753" s="24"/>
      <c r="X753" s="80"/>
      <c r="Y753" s="80"/>
      <c r="Z753" s="80"/>
      <c r="AA753" s="80"/>
      <c r="AB753" s="91"/>
      <c r="AC753" s="80"/>
      <c r="AD753" s="24"/>
      <c r="AE753" s="24"/>
      <c r="AF753" s="24"/>
      <c r="AG753" s="24"/>
      <c r="AH753" s="24"/>
      <c r="AI753" s="24"/>
      <c r="AJ753" s="24"/>
      <c r="AK753" s="24"/>
      <c r="AL753" s="24"/>
      <c r="AM753" s="24"/>
      <c r="AN753" s="24"/>
      <c r="AO753" s="24"/>
      <c r="AP753" s="24"/>
      <c r="AQ753" s="24"/>
      <c r="AR753" s="24"/>
      <c r="AS753" s="18"/>
      <c r="AT753" s="18"/>
      <c r="AU753" s="18"/>
      <c r="AV753" s="18"/>
      <c r="AW753" s="18"/>
      <c r="AX753" s="18"/>
      <c r="AY753" s="18"/>
      <c r="AZ753" s="18"/>
    </row>
    <row r="754" spans="1:52" x14ac:dyDescent="0.25">
      <c r="A754" s="80"/>
      <c r="B754" s="80"/>
      <c r="C754" s="113"/>
      <c r="D754" s="80"/>
      <c r="E754" s="80"/>
      <c r="F754" s="80"/>
      <c r="G754" s="80"/>
      <c r="H754" s="80"/>
      <c r="I754" s="80"/>
      <c r="J754" s="80"/>
      <c r="K754" s="87"/>
      <c r="L754" s="80"/>
      <c r="M754" s="80"/>
      <c r="N754" s="80"/>
      <c r="O754" s="80"/>
      <c r="P754" s="80"/>
      <c r="Q754" s="80"/>
      <c r="R754" s="80"/>
      <c r="S754" s="80"/>
      <c r="T754" s="80"/>
      <c r="U754" s="80"/>
      <c r="V754" s="24"/>
      <c r="W754" s="24"/>
      <c r="X754" s="80"/>
      <c r="Y754" s="80"/>
      <c r="Z754" s="80"/>
      <c r="AA754" s="80"/>
      <c r="AB754" s="91"/>
      <c r="AC754" s="80"/>
      <c r="AD754" s="24"/>
      <c r="AE754" s="24"/>
      <c r="AF754" s="24"/>
      <c r="AG754" s="24"/>
      <c r="AH754" s="24"/>
      <c r="AI754" s="24"/>
      <c r="AJ754" s="24"/>
      <c r="AK754" s="24"/>
      <c r="AL754" s="24"/>
      <c r="AM754" s="24"/>
      <c r="AN754" s="24"/>
      <c r="AO754" s="24"/>
      <c r="AP754" s="24"/>
      <c r="AQ754" s="24"/>
      <c r="AR754" s="24"/>
      <c r="AS754" s="18"/>
      <c r="AT754" s="18"/>
      <c r="AU754" s="18"/>
      <c r="AV754" s="18"/>
      <c r="AW754" s="18"/>
      <c r="AX754" s="18"/>
      <c r="AY754" s="18"/>
      <c r="AZ754" s="18"/>
    </row>
    <row r="755" spans="1:52" x14ac:dyDescent="0.25">
      <c r="A755" s="80"/>
      <c r="B755" s="80"/>
      <c r="C755" s="113"/>
      <c r="D755" s="80"/>
      <c r="E755" s="80"/>
      <c r="F755" s="80"/>
      <c r="G755" s="80"/>
      <c r="H755" s="80"/>
      <c r="I755" s="80"/>
      <c r="J755" s="80"/>
      <c r="K755" s="87"/>
      <c r="L755" s="80"/>
      <c r="M755" s="80"/>
      <c r="N755" s="80"/>
      <c r="O755" s="80"/>
      <c r="P755" s="80"/>
      <c r="Q755" s="80"/>
      <c r="R755" s="80"/>
      <c r="S755" s="80"/>
      <c r="T755" s="80"/>
      <c r="U755" s="80"/>
      <c r="V755" s="24"/>
      <c r="W755" s="24"/>
      <c r="X755" s="80"/>
      <c r="Y755" s="80"/>
      <c r="Z755" s="80"/>
      <c r="AA755" s="80"/>
      <c r="AB755" s="91"/>
      <c r="AC755" s="80"/>
      <c r="AD755" s="24"/>
      <c r="AE755" s="24"/>
      <c r="AF755" s="24"/>
      <c r="AG755" s="24"/>
      <c r="AH755" s="24"/>
      <c r="AI755" s="24"/>
      <c r="AJ755" s="24"/>
      <c r="AK755" s="24"/>
      <c r="AL755" s="24"/>
      <c r="AM755" s="24"/>
      <c r="AN755" s="24"/>
      <c r="AO755" s="24"/>
      <c r="AP755" s="24"/>
      <c r="AQ755" s="24"/>
      <c r="AR755" s="24"/>
      <c r="AS755" s="18"/>
      <c r="AT755" s="18"/>
      <c r="AU755" s="18"/>
      <c r="AV755" s="18"/>
      <c r="AW755" s="18"/>
      <c r="AX755" s="18"/>
      <c r="AY755" s="18"/>
      <c r="AZ755" s="18"/>
    </row>
    <row r="756" spans="1:52" x14ac:dyDescent="0.25">
      <c r="A756" s="80"/>
      <c r="B756" s="80"/>
      <c r="C756" s="113"/>
      <c r="D756" s="80"/>
      <c r="E756" s="80"/>
      <c r="F756" s="80"/>
      <c r="G756" s="80"/>
      <c r="H756" s="80"/>
      <c r="I756" s="80"/>
      <c r="J756" s="80"/>
      <c r="K756" s="87"/>
      <c r="L756" s="80"/>
      <c r="M756" s="80"/>
      <c r="N756" s="80"/>
      <c r="O756" s="80"/>
      <c r="P756" s="80"/>
      <c r="Q756" s="80"/>
      <c r="R756" s="80"/>
      <c r="S756" s="80"/>
      <c r="T756" s="80"/>
      <c r="U756" s="80"/>
      <c r="V756" s="24"/>
      <c r="W756" s="24"/>
      <c r="X756" s="80"/>
      <c r="Y756" s="80"/>
      <c r="Z756" s="80"/>
      <c r="AA756" s="80"/>
      <c r="AB756" s="91"/>
      <c r="AC756" s="80"/>
      <c r="AD756" s="24"/>
      <c r="AE756" s="24"/>
      <c r="AF756" s="24"/>
      <c r="AG756" s="24"/>
      <c r="AH756" s="24"/>
      <c r="AI756" s="24"/>
      <c r="AJ756" s="24"/>
      <c r="AK756" s="24"/>
      <c r="AL756" s="24"/>
      <c r="AM756" s="24"/>
      <c r="AN756" s="24"/>
      <c r="AO756" s="24"/>
      <c r="AP756" s="24"/>
      <c r="AQ756" s="24"/>
      <c r="AR756" s="24"/>
      <c r="AS756" s="18"/>
      <c r="AT756" s="18"/>
      <c r="AU756" s="18"/>
      <c r="AV756" s="18"/>
      <c r="AW756" s="18"/>
      <c r="AX756" s="18"/>
      <c r="AY756" s="18"/>
      <c r="AZ756" s="18"/>
    </row>
    <row r="757" spans="1:52" x14ac:dyDescent="0.25">
      <c r="A757" s="80"/>
      <c r="B757" s="80"/>
      <c r="C757" s="113"/>
      <c r="D757" s="80"/>
      <c r="E757" s="80"/>
      <c r="F757" s="80"/>
      <c r="G757" s="80"/>
      <c r="H757" s="80"/>
      <c r="I757" s="80"/>
      <c r="J757" s="80"/>
      <c r="K757" s="87"/>
      <c r="L757" s="80"/>
      <c r="M757" s="80"/>
      <c r="N757" s="80"/>
      <c r="O757" s="80"/>
      <c r="P757" s="80"/>
      <c r="Q757" s="80"/>
      <c r="R757" s="80"/>
      <c r="S757" s="80"/>
      <c r="T757" s="80"/>
      <c r="U757" s="80"/>
      <c r="V757" s="24"/>
      <c r="W757" s="24"/>
      <c r="X757" s="80"/>
      <c r="Y757" s="80"/>
      <c r="Z757" s="80"/>
      <c r="AA757" s="80"/>
      <c r="AB757" s="91"/>
      <c r="AC757" s="80"/>
      <c r="AD757" s="24"/>
      <c r="AE757" s="24"/>
      <c r="AF757" s="24"/>
      <c r="AG757" s="24"/>
      <c r="AH757" s="24"/>
      <c r="AI757" s="24"/>
      <c r="AJ757" s="24"/>
      <c r="AK757" s="24"/>
      <c r="AL757" s="24"/>
      <c r="AM757" s="24"/>
      <c r="AN757" s="24"/>
      <c r="AO757" s="24"/>
      <c r="AP757" s="24"/>
      <c r="AQ757" s="24"/>
      <c r="AR757" s="24"/>
      <c r="AS757" s="18"/>
      <c r="AT757" s="18"/>
      <c r="AU757" s="18"/>
      <c r="AV757" s="18"/>
      <c r="AW757" s="18"/>
      <c r="AX757" s="18"/>
      <c r="AY757" s="18"/>
      <c r="AZ757" s="18"/>
    </row>
    <row r="758" spans="1:52" x14ac:dyDescent="0.25">
      <c r="A758" s="80"/>
      <c r="B758" s="80"/>
      <c r="C758" s="113"/>
      <c r="D758" s="80"/>
      <c r="E758" s="80"/>
      <c r="F758" s="80"/>
      <c r="G758" s="80"/>
      <c r="H758" s="80"/>
      <c r="I758" s="80"/>
      <c r="J758" s="80"/>
      <c r="K758" s="87"/>
      <c r="L758" s="80"/>
      <c r="M758" s="80"/>
      <c r="N758" s="80"/>
      <c r="O758" s="80"/>
      <c r="P758" s="80"/>
      <c r="Q758" s="80"/>
      <c r="R758" s="80"/>
      <c r="S758" s="80"/>
      <c r="T758" s="80"/>
      <c r="U758" s="80"/>
      <c r="V758" s="24"/>
      <c r="W758" s="24"/>
      <c r="X758" s="80"/>
      <c r="Y758" s="80"/>
      <c r="Z758" s="80"/>
      <c r="AA758" s="80"/>
      <c r="AB758" s="91"/>
      <c r="AC758" s="80"/>
      <c r="AD758" s="24"/>
      <c r="AE758" s="24"/>
      <c r="AF758" s="24"/>
      <c r="AG758" s="24"/>
      <c r="AH758" s="24"/>
      <c r="AI758" s="24"/>
      <c r="AJ758" s="24"/>
      <c r="AK758" s="24"/>
      <c r="AL758" s="24"/>
      <c r="AM758" s="24"/>
      <c r="AN758" s="24"/>
      <c r="AO758" s="24"/>
      <c r="AP758" s="24"/>
      <c r="AQ758" s="24"/>
      <c r="AR758" s="24"/>
      <c r="AS758" s="18"/>
      <c r="AT758" s="18"/>
      <c r="AU758" s="18"/>
      <c r="AV758" s="18"/>
      <c r="AW758" s="18"/>
      <c r="AX758" s="18"/>
      <c r="AY758" s="18"/>
      <c r="AZ758" s="18"/>
    </row>
    <row r="759" spans="1:52" x14ac:dyDescent="0.25">
      <c r="A759" s="80"/>
      <c r="B759" s="80"/>
      <c r="C759" s="113"/>
      <c r="D759" s="80"/>
      <c r="E759" s="80"/>
      <c r="F759" s="80"/>
      <c r="G759" s="80"/>
      <c r="H759" s="80"/>
      <c r="I759" s="80"/>
      <c r="J759" s="80"/>
      <c r="K759" s="87"/>
      <c r="L759" s="80"/>
      <c r="M759" s="80"/>
      <c r="N759" s="80"/>
      <c r="O759" s="80"/>
      <c r="P759" s="80"/>
      <c r="Q759" s="80"/>
      <c r="R759" s="80"/>
      <c r="S759" s="80"/>
      <c r="T759" s="80"/>
      <c r="U759" s="80"/>
      <c r="V759" s="24"/>
      <c r="W759" s="24"/>
      <c r="X759" s="80"/>
      <c r="Y759" s="80"/>
      <c r="Z759" s="80"/>
      <c r="AA759" s="80"/>
      <c r="AB759" s="91"/>
      <c r="AC759" s="80"/>
      <c r="AD759" s="24"/>
      <c r="AE759" s="24"/>
      <c r="AF759" s="24"/>
      <c r="AG759" s="24"/>
      <c r="AH759" s="24"/>
      <c r="AI759" s="24"/>
      <c r="AJ759" s="24"/>
      <c r="AK759" s="24"/>
      <c r="AL759" s="24"/>
      <c r="AM759" s="24"/>
      <c r="AN759" s="24"/>
      <c r="AO759" s="24"/>
      <c r="AP759" s="24"/>
      <c r="AQ759" s="24"/>
      <c r="AR759" s="24"/>
      <c r="AS759" s="18"/>
      <c r="AT759" s="18"/>
      <c r="AU759" s="18"/>
      <c r="AV759" s="18"/>
      <c r="AW759" s="18"/>
      <c r="AX759" s="18"/>
      <c r="AY759" s="18"/>
      <c r="AZ759" s="18"/>
    </row>
    <row r="760" spans="1:52" x14ac:dyDescent="0.25">
      <c r="A760" s="80"/>
      <c r="B760" s="80"/>
      <c r="C760" s="113"/>
      <c r="D760" s="80"/>
      <c r="E760" s="80"/>
      <c r="F760" s="80"/>
      <c r="G760" s="80"/>
      <c r="H760" s="80"/>
      <c r="I760" s="80"/>
      <c r="J760" s="80"/>
      <c r="K760" s="87"/>
      <c r="L760" s="80"/>
      <c r="M760" s="80"/>
      <c r="N760" s="80"/>
      <c r="O760" s="80"/>
      <c r="P760" s="80"/>
      <c r="Q760" s="80"/>
      <c r="R760" s="80"/>
      <c r="S760" s="80"/>
      <c r="T760" s="80"/>
      <c r="U760" s="80"/>
      <c r="V760" s="24"/>
      <c r="W760" s="24"/>
      <c r="X760" s="80"/>
      <c r="Y760" s="80"/>
      <c r="Z760" s="80"/>
      <c r="AA760" s="80"/>
      <c r="AB760" s="91"/>
      <c r="AC760" s="80"/>
      <c r="AD760" s="24"/>
      <c r="AE760" s="24"/>
      <c r="AF760" s="24"/>
      <c r="AG760" s="24"/>
      <c r="AH760" s="24"/>
      <c r="AI760" s="24"/>
      <c r="AJ760" s="24"/>
      <c r="AK760" s="24"/>
      <c r="AL760" s="24"/>
      <c r="AM760" s="24"/>
      <c r="AN760" s="24"/>
      <c r="AO760" s="24"/>
      <c r="AP760" s="24"/>
      <c r="AQ760" s="24"/>
      <c r="AR760" s="24"/>
      <c r="AS760" s="18"/>
      <c r="AT760" s="18"/>
      <c r="AU760" s="18"/>
      <c r="AV760" s="18"/>
      <c r="AW760" s="18"/>
      <c r="AX760" s="18"/>
      <c r="AY760" s="18"/>
      <c r="AZ760" s="18"/>
    </row>
    <row r="761" spans="1:52" x14ac:dyDescent="0.25">
      <c r="A761" s="80"/>
      <c r="B761" s="80"/>
      <c r="C761" s="113"/>
      <c r="D761" s="80"/>
      <c r="E761" s="80"/>
      <c r="F761" s="80"/>
      <c r="G761" s="80"/>
      <c r="H761" s="80"/>
      <c r="I761" s="80"/>
      <c r="J761" s="80"/>
      <c r="K761" s="87"/>
      <c r="L761" s="80"/>
      <c r="M761" s="80"/>
      <c r="N761" s="80"/>
      <c r="O761" s="80"/>
      <c r="P761" s="80"/>
      <c r="Q761" s="80"/>
      <c r="R761" s="80"/>
      <c r="S761" s="80"/>
      <c r="T761" s="80"/>
      <c r="U761" s="80"/>
      <c r="V761" s="24"/>
      <c r="W761" s="24"/>
      <c r="X761" s="80"/>
      <c r="Y761" s="80"/>
      <c r="Z761" s="80"/>
      <c r="AA761" s="80"/>
      <c r="AB761" s="91"/>
      <c r="AC761" s="80"/>
      <c r="AD761" s="24"/>
      <c r="AE761" s="24"/>
      <c r="AF761" s="24"/>
      <c r="AG761" s="24"/>
      <c r="AH761" s="24"/>
      <c r="AI761" s="24"/>
      <c r="AJ761" s="24"/>
      <c r="AK761" s="24"/>
      <c r="AL761" s="24"/>
      <c r="AM761" s="24"/>
      <c r="AN761" s="24"/>
      <c r="AO761" s="24"/>
      <c r="AP761" s="24"/>
      <c r="AQ761" s="24"/>
      <c r="AR761" s="24"/>
      <c r="AS761" s="18"/>
      <c r="AT761" s="18"/>
      <c r="AU761" s="18"/>
      <c r="AV761" s="18"/>
      <c r="AW761" s="18"/>
      <c r="AX761" s="18"/>
      <c r="AY761" s="18"/>
      <c r="AZ761" s="18"/>
    </row>
    <row r="762" spans="1:52" x14ac:dyDescent="0.25">
      <c r="A762" s="80"/>
      <c r="B762" s="80"/>
      <c r="C762" s="113"/>
      <c r="D762" s="80"/>
      <c r="E762" s="80"/>
      <c r="F762" s="80"/>
      <c r="G762" s="80"/>
      <c r="H762" s="80"/>
      <c r="I762" s="80"/>
      <c r="J762" s="80"/>
      <c r="K762" s="87"/>
      <c r="L762" s="80"/>
      <c r="M762" s="80"/>
      <c r="N762" s="80"/>
      <c r="O762" s="80"/>
      <c r="P762" s="80"/>
      <c r="Q762" s="80"/>
      <c r="R762" s="80"/>
      <c r="S762" s="80"/>
      <c r="T762" s="80"/>
      <c r="U762" s="80"/>
      <c r="V762" s="24"/>
      <c r="W762" s="24"/>
      <c r="X762" s="80"/>
      <c r="Y762" s="80"/>
      <c r="Z762" s="80"/>
      <c r="AA762" s="80"/>
      <c r="AB762" s="91"/>
      <c r="AC762" s="80"/>
      <c r="AD762" s="24"/>
      <c r="AE762" s="24"/>
      <c r="AF762" s="24"/>
      <c r="AG762" s="24"/>
      <c r="AH762" s="24"/>
      <c r="AI762" s="24"/>
      <c r="AJ762" s="24"/>
      <c r="AK762" s="24"/>
      <c r="AL762" s="24"/>
      <c r="AM762" s="24"/>
      <c r="AN762" s="24"/>
      <c r="AO762" s="24"/>
      <c r="AP762" s="24"/>
      <c r="AQ762" s="24"/>
      <c r="AR762" s="24"/>
      <c r="AS762" s="18"/>
      <c r="AT762" s="18"/>
      <c r="AU762" s="18"/>
      <c r="AV762" s="18"/>
      <c r="AW762" s="18"/>
      <c r="AX762" s="18"/>
      <c r="AY762" s="18"/>
      <c r="AZ762" s="18"/>
    </row>
    <row r="763" spans="1:52" x14ac:dyDescent="0.25">
      <c r="A763" s="80"/>
      <c r="B763" s="80"/>
      <c r="C763" s="113"/>
      <c r="D763" s="80"/>
      <c r="E763" s="80"/>
      <c r="F763" s="80"/>
      <c r="G763" s="80"/>
      <c r="H763" s="80"/>
      <c r="I763" s="80"/>
      <c r="J763" s="80"/>
      <c r="K763" s="87"/>
      <c r="L763" s="80"/>
      <c r="M763" s="80"/>
      <c r="N763" s="80"/>
      <c r="O763" s="80"/>
      <c r="P763" s="80"/>
      <c r="Q763" s="80"/>
      <c r="R763" s="80"/>
      <c r="S763" s="80"/>
      <c r="T763" s="80"/>
      <c r="U763" s="80"/>
      <c r="V763" s="24"/>
      <c r="W763" s="24"/>
      <c r="X763" s="80"/>
      <c r="Y763" s="80"/>
      <c r="Z763" s="80"/>
      <c r="AA763" s="80"/>
      <c r="AB763" s="91"/>
      <c r="AC763" s="80"/>
      <c r="AD763" s="24"/>
      <c r="AE763" s="24"/>
      <c r="AF763" s="24"/>
      <c r="AG763" s="24"/>
      <c r="AH763" s="24"/>
      <c r="AI763" s="24"/>
      <c r="AJ763" s="24"/>
      <c r="AK763" s="24"/>
      <c r="AL763" s="24"/>
      <c r="AM763" s="24"/>
      <c r="AN763" s="24"/>
      <c r="AO763" s="24"/>
      <c r="AP763" s="24"/>
      <c r="AQ763" s="24"/>
      <c r="AR763" s="24"/>
      <c r="AS763" s="18"/>
      <c r="AT763" s="18"/>
      <c r="AU763" s="18"/>
      <c r="AV763" s="18"/>
      <c r="AW763" s="18"/>
      <c r="AX763" s="18"/>
      <c r="AY763" s="18"/>
      <c r="AZ763" s="18"/>
    </row>
    <row r="764" spans="1:52" x14ac:dyDescent="0.25">
      <c r="A764" s="80"/>
      <c r="B764" s="80"/>
      <c r="C764" s="113"/>
      <c r="D764" s="80"/>
      <c r="E764" s="80"/>
      <c r="F764" s="80"/>
      <c r="G764" s="80"/>
      <c r="H764" s="80"/>
      <c r="I764" s="80"/>
      <c r="J764" s="80"/>
      <c r="K764" s="87"/>
      <c r="L764" s="80"/>
      <c r="M764" s="80"/>
      <c r="N764" s="80"/>
      <c r="O764" s="80"/>
      <c r="P764" s="80"/>
      <c r="Q764" s="80"/>
      <c r="R764" s="80"/>
      <c r="S764" s="80"/>
      <c r="T764" s="80"/>
      <c r="U764" s="80"/>
      <c r="V764" s="24"/>
      <c r="W764" s="24"/>
      <c r="X764" s="80"/>
      <c r="Y764" s="80"/>
      <c r="Z764" s="80"/>
      <c r="AA764" s="80"/>
      <c r="AB764" s="91"/>
      <c r="AC764" s="80"/>
      <c r="AD764" s="24"/>
      <c r="AE764" s="24"/>
      <c r="AF764" s="24"/>
      <c r="AG764" s="24"/>
      <c r="AH764" s="24"/>
      <c r="AI764" s="24"/>
      <c r="AJ764" s="24"/>
      <c r="AK764" s="24"/>
      <c r="AL764" s="24"/>
      <c r="AM764" s="24"/>
      <c r="AN764" s="24"/>
      <c r="AO764" s="24"/>
      <c r="AP764" s="24"/>
      <c r="AQ764" s="24"/>
      <c r="AR764" s="24"/>
      <c r="AS764" s="18"/>
      <c r="AT764" s="18"/>
      <c r="AU764" s="18"/>
      <c r="AV764" s="18"/>
      <c r="AW764" s="18"/>
      <c r="AX764" s="18"/>
      <c r="AY764" s="18"/>
      <c r="AZ764" s="18"/>
    </row>
    <row r="765" spans="1:52" x14ac:dyDescent="0.25">
      <c r="A765" s="80"/>
      <c r="B765" s="80"/>
      <c r="C765" s="113"/>
      <c r="D765" s="80"/>
      <c r="E765" s="80"/>
      <c r="F765" s="80"/>
      <c r="G765" s="80"/>
      <c r="H765" s="80"/>
      <c r="I765" s="80"/>
      <c r="J765" s="80"/>
      <c r="K765" s="87"/>
      <c r="L765" s="80"/>
      <c r="M765" s="80"/>
      <c r="N765" s="80"/>
      <c r="O765" s="80"/>
      <c r="P765" s="80"/>
      <c r="Q765" s="80"/>
      <c r="R765" s="80"/>
      <c r="S765" s="80"/>
      <c r="T765" s="80"/>
      <c r="U765" s="80"/>
      <c r="V765" s="24"/>
      <c r="W765" s="24"/>
      <c r="X765" s="80"/>
      <c r="Y765" s="80"/>
      <c r="Z765" s="80"/>
      <c r="AA765" s="80"/>
      <c r="AB765" s="91"/>
      <c r="AC765" s="80"/>
      <c r="AD765" s="24"/>
      <c r="AE765" s="24"/>
      <c r="AF765" s="24"/>
      <c r="AG765" s="24"/>
      <c r="AH765" s="24"/>
      <c r="AI765" s="24"/>
      <c r="AJ765" s="24"/>
      <c r="AK765" s="24"/>
      <c r="AL765" s="24"/>
      <c r="AM765" s="24"/>
      <c r="AN765" s="24"/>
      <c r="AO765" s="24"/>
      <c r="AP765" s="24"/>
      <c r="AQ765" s="24"/>
      <c r="AR765" s="24"/>
      <c r="AS765" s="18"/>
      <c r="AT765" s="18"/>
      <c r="AU765" s="18"/>
      <c r="AV765" s="18"/>
      <c r="AW765" s="18"/>
      <c r="AX765" s="18"/>
      <c r="AY765" s="18"/>
      <c r="AZ765" s="18"/>
    </row>
    <row r="766" spans="1:52" x14ac:dyDescent="0.25">
      <c r="A766" s="80"/>
      <c r="B766" s="80"/>
      <c r="C766" s="113"/>
      <c r="D766" s="80"/>
      <c r="E766" s="80"/>
      <c r="F766" s="80"/>
      <c r="G766" s="80"/>
      <c r="H766" s="80"/>
      <c r="I766" s="80"/>
      <c r="J766" s="80"/>
      <c r="K766" s="87"/>
      <c r="L766" s="80"/>
      <c r="M766" s="80"/>
      <c r="N766" s="80"/>
      <c r="O766" s="80"/>
      <c r="P766" s="80"/>
      <c r="Q766" s="80"/>
      <c r="R766" s="80"/>
      <c r="S766" s="80"/>
      <c r="T766" s="80"/>
      <c r="U766" s="80"/>
      <c r="V766" s="24"/>
      <c r="W766" s="24"/>
      <c r="X766" s="80"/>
      <c r="Y766" s="80"/>
      <c r="Z766" s="80"/>
      <c r="AA766" s="80"/>
      <c r="AB766" s="91"/>
      <c r="AC766" s="80"/>
      <c r="AD766" s="24"/>
      <c r="AE766" s="24"/>
      <c r="AF766" s="24"/>
      <c r="AG766" s="24"/>
      <c r="AH766" s="24"/>
      <c r="AI766" s="24"/>
      <c r="AJ766" s="24"/>
      <c r="AK766" s="24"/>
      <c r="AL766" s="24"/>
      <c r="AM766" s="24"/>
      <c r="AN766" s="24"/>
      <c r="AO766" s="24"/>
      <c r="AP766" s="24"/>
      <c r="AQ766" s="24"/>
      <c r="AR766" s="24"/>
      <c r="AS766" s="18"/>
      <c r="AT766" s="18"/>
      <c r="AU766" s="18"/>
      <c r="AV766" s="18"/>
      <c r="AW766" s="18"/>
      <c r="AX766" s="18"/>
      <c r="AY766" s="18"/>
      <c r="AZ766" s="18"/>
    </row>
    <row r="767" spans="1:52" x14ac:dyDescent="0.25">
      <c r="A767" s="80"/>
      <c r="B767" s="80"/>
      <c r="C767" s="113"/>
      <c r="D767" s="80"/>
      <c r="E767" s="80"/>
      <c r="F767" s="80"/>
      <c r="G767" s="80"/>
      <c r="H767" s="80"/>
      <c r="I767" s="80"/>
      <c r="J767" s="80"/>
      <c r="K767" s="87"/>
      <c r="L767" s="80"/>
      <c r="M767" s="80"/>
      <c r="N767" s="80"/>
      <c r="O767" s="80"/>
      <c r="P767" s="80"/>
      <c r="Q767" s="80"/>
      <c r="R767" s="80"/>
      <c r="S767" s="80"/>
      <c r="T767" s="80"/>
      <c r="U767" s="80"/>
      <c r="V767" s="24"/>
      <c r="W767" s="24"/>
      <c r="X767" s="80"/>
      <c r="Y767" s="80"/>
      <c r="Z767" s="80"/>
      <c r="AA767" s="80"/>
      <c r="AB767" s="91"/>
      <c r="AC767" s="80"/>
      <c r="AD767" s="24"/>
      <c r="AE767" s="24"/>
      <c r="AF767" s="24"/>
      <c r="AG767" s="24"/>
      <c r="AH767" s="24"/>
      <c r="AI767" s="24"/>
      <c r="AJ767" s="24"/>
      <c r="AK767" s="24"/>
      <c r="AL767" s="24"/>
      <c r="AM767" s="24"/>
      <c r="AN767" s="24"/>
      <c r="AO767" s="24"/>
      <c r="AP767" s="24"/>
      <c r="AQ767" s="24"/>
      <c r="AR767" s="24"/>
      <c r="AS767" s="18"/>
      <c r="AT767" s="18"/>
      <c r="AU767" s="18"/>
      <c r="AV767" s="18"/>
      <c r="AW767" s="18"/>
      <c r="AX767" s="18"/>
      <c r="AY767" s="18"/>
      <c r="AZ767" s="18"/>
    </row>
    <row r="768" spans="1:52" x14ac:dyDescent="0.25">
      <c r="A768" s="80"/>
      <c r="B768" s="80"/>
      <c r="C768" s="113"/>
      <c r="D768" s="80"/>
      <c r="E768" s="80"/>
      <c r="F768" s="80"/>
      <c r="G768" s="80"/>
      <c r="H768" s="80"/>
      <c r="I768" s="80"/>
      <c r="J768" s="80"/>
      <c r="K768" s="87"/>
      <c r="L768" s="80"/>
      <c r="M768" s="80"/>
      <c r="N768" s="80"/>
      <c r="O768" s="80"/>
      <c r="P768" s="80"/>
      <c r="Q768" s="80"/>
      <c r="R768" s="80"/>
      <c r="S768" s="80"/>
      <c r="T768" s="80"/>
      <c r="U768" s="80"/>
      <c r="V768" s="24"/>
      <c r="W768" s="24"/>
      <c r="X768" s="80"/>
      <c r="Y768" s="80"/>
      <c r="Z768" s="80"/>
      <c r="AA768" s="80"/>
      <c r="AB768" s="91"/>
      <c r="AC768" s="80"/>
      <c r="AD768" s="24"/>
      <c r="AE768" s="24"/>
      <c r="AF768" s="24"/>
      <c r="AG768" s="24"/>
      <c r="AH768" s="24"/>
      <c r="AI768" s="24"/>
      <c r="AJ768" s="24"/>
      <c r="AK768" s="24"/>
      <c r="AL768" s="24"/>
      <c r="AM768" s="24"/>
      <c r="AN768" s="24"/>
      <c r="AO768" s="24"/>
      <c r="AP768" s="24"/>
      <c r="AQ768" s="24"/>
      <c r="AR768" s="24"/>
      <c r="AS768" s="18"/>
      <c r="AT768" s="18"/>
      <c r="AU768" s="18"/>
      <c r="AV768" s="18"/>
      <c r="AW768" s="18"/>
      <c r="AX768" s="18"/>
      <c r="AY768" s="18"/>
      <c r="AZ768" s="18"/>
    </row>
    <row r="769" spans="1:52" x14ac:dyDescent="0.25">
      <c r="A769" s="80"/>
      <c r="B769" s="80"/>
      <c r="C769" s="113"/>
      <c r="D769" s="80"/>
      <c r="E769" s="80"/>
      <c r="F769" s="80"/>
      <c r="G769" s="80"/>
      <c r="H769" s="80"/>
      <c r="I769" s="80"/>
      <c r="J769" s="80"/>
      <c r="K769" s="87"/>
      <c r="L769" s="80"/>
      <c r="M769" s="80"/>
      <c r="N769" s="80"/>
      <c r="O769" s="80"/>
      <c r="P769" s="80"/>
      <c r="Q769" s="80"/>
      <c r="R769" s="80"/>
      <c r="S769" s="80"/>
      <c r="T769" s="80"/>
      <c r="U769" s="80"/>
      <c r="V769" s="24"/>
      <c r="W769" s="24"/>
      <c r="X769" s="80"/>
      <c r="Y769" s="80"/>
      <c r="Z769" s="80"/>
      <c r="AA769" s="80"/>
      <c r="AB769" s="91"/>
      <c r="AC769" s="80"/>
      <c r="AD769" s="24"/>
      <c r="AE769" s="24"/>
      <c r="AF769" s="24"/>
      <c r="AG769" s="24"/>
      <c r="AH769" s="24"/>
      <c r="AI769" s="24"/>
      <c r="AJ769" s="24"/>
      <c r="AK769" s="24"/>
      <c r="AL769" s="24"/>
      <c r="AM769" s="24"/>
      <c r="AN769" s="24"/>
      <c r="AO769" s="24"/>
      <c r="AP769" s="24"/>
      <c r="AQ769" s="24"/>
      <c r="AR769" s="24"/>
      <c r="AS769" s="18"/>
      <c r="AT769" s="18"/>
      <c r="AU769" s="18"/>
      <c r="AV769" s="18"/>
      <c r="AW769" s="18"/>
      <c r="AX769" s="18"/>
      <c r="AY769" s="18"/>
      <c r="AZ769" s="18"/>
    </row>
    <row r="770" spans="1:52" x14ac:dyDescent="0.25">
      <c r="A770" s="80"/>
      <c r="B770" s="80"/>
      <c r="C770" s="113"/>
      <c r="D770" s="80"/>
      <c r="E770" s="80"/>
      <c r="F770" s="80"/>
      <c r="G770" s="80"/>
      <c r="H770" s="80"/>
      <c r="I770" s="80"/>
      <c r="J770" s="80"/>
      <c r="K770" s="87"/>
      <c r="L770" s="80"/>
      <c r="M770" s="80"/>
      <c r="N770" s="80"/>
      <c r="O770" s="80"/>
      <c r="P770" s="80"/>
      <c r="Q770" s="80"/>
      <c r="R770" s="80"/>
      <c r="S770" s="80"/>
      <c r="T770" s="80"/>
      <c r="U770" s="80"/>
      <c r="V770" s="24"/>
      <c r="W770" s="24"/>
      <c r="X770" s="80"/>
      <c r="Y770" s="80"/>
      <c r="Z770" s="80"/>
      <c r="AA770" s="80"/>
      <c r="AB770" s="91"/>
      <c r="AC770" s="80"/>
      <c r="AD770" s="24"/>
      <c r="AE770" s="24"/>
      <c r="AF770" s="24"/>
      <c r="AG770" s="24"/>
      <c r="AH770" s="24"/>
      <c r="AI770" s="24"/>
      <c r="AJ770" s="24"/>
      <c r="AK770" s="24"/>
      <c r="AL770" s="24"/>
      <c r="AM770" s="24"/>
      <c r="AN770" s="24"/>
      <c r="AO770" s="24"/>
      <c r="AP770" s="24"/>
      <c r="AQ770" s="24"/>
      <c r="AR770" s="24"/>
      <c r="AS770" s="18"/>
      <c r="AT770" s="18"/>
      <c r="AU770" s="18"/>
      <c r="AV770" s="18"/>
      <c r="AW770" s="18"/>
      <c r="AX770" s="18"/>
      <c r="AY770" s="18"/>
      <c r="AZ770" s="18"/>
    </row>
    <row r="771" spans="1:52" x14ac:dyDescent="0.25">
      <c r="A771" s="80"/>
      <c r="B771" s="80"/>
      <c r="C771" s="113"/>
      <c r="D771" s="80"/>
      <c r="E771" s="80"/>
      <c r="F771" s="80"/>
      <c r="G771" s="80"/>
      <c r="H771" s="80"/>
      <c r="I771" s="80"/>
      <c r="J771" s="80"/>
      <c r="K771" s="87"/>
      <c r="L771" s="80"/>
      <c r="M771" s="80"/>
      <c r="N771" s="80"/>
      <c r="O771" s="80"/>
      <c r="P771" s="80"/>
      <c r="Q771" s="80"/>
      <c r="R771" s="80"/>
      <c r="S771" s="80"/>
      <c r="T771" s="80"/>
      <c r="U771" s="80"/>
      <c r="V771" s="24"/>
      <c r="W771" s="24"/>
      <c r="X771" s="80"/>
      <c r="Y771" s="80"/>
      <c r="Z771" s="80"/>
      <c r="AA771" s="80"/>
      <c r="AB771" s="91"/>
      <c r="AC771" s="80"/>
      <c r="AD771" s="24"/>
      <c r="AE771" s="24"/>
      <c r="AF771" s="24"/>
      <c r="AG771" s="24"/>
      <c r="AH771" s="24"/>
      <c r="AI771" s="24"/>
      <c r="AJ771" s="24"/>
      <c r="AK771" s="24"/>
      <c r="AL771" s="24"/>
      <c r="AM771" s="24"/>
      <c r="AN771" s="24"/>
      <c r="AO771" s="24"/>
      <c r="AP771" s="24"/>
      <c r="AQ771" s="24"/>
      <c r="AR771" s="24"/>
      <c r="AS771" s="18"/>
      <c r="AT771" s="18"/>
      <c r="AU771" s="18"/>
      <c r="AV771" s="18"/>
      <c r="AW771" s="18"/>
      <c r="AX771" s="18"/>
      <c r="AY771" s="18"/>
      <c r="AZ771" s="18"/>
    </row>
    <row r="772" spans="1:52" x14ac:dyDescent="0.25">
      <c r="A772" s="80"/>
      <c r="B772" s="80"/>
      <c r="C772" s="113"/>
      <c r="D772" s="80"/>
      <c r="E772" s="80"/>
      <c r="F772" s="80"/>
      <c r="G772" s="80"/>
      <c r="H772" s="80"/>
      <c r="I772" s="80"/>
      <c r="J772" s="80"/>
      <c r="K772" s="87"/>
      <c r="L772" s="80"/>
      <c r="M772" s="80"/>
      <c r="N772" s="80"/>
      <c r="O772" s="80"/>
      <c r="P772" s="80"/>
      <c r="Q772" s="80"/>
      <c r="R772" s="80"/>
      <c r="S772" s="80"/>
      <c r="T772" s="80"/>
      <c r="U772" s="80"/>
      <c r="V772" s="24"/>
      <c r="W772" s="24"/>
      <c r="X772" s="80"/>
      <c r="Y772" s="80"/>
      <c r="Z772" s="80"/>
      <c r="AA772" s="80"/>
      <c r="AB772" s="91"/>
      <c r="AC772" s="80"/>
      <c r="AD772" s="24"/>
      <c r="AE772" s="24"/>
      <c r="AF772" s="24"/>
      <c r="AG772" s="24"/>
      <c r="AH772" s="24"/>
      <c r="AI772" s="24"/>
      <c r="AJ772" s="24"/>
      <c r="AK772" s="24"/>
      <c r="AL772" s="24"/>
      <c r="AM772" s="24"/>
      <c r="AN772" s="24"/>
      <c r="AO772" s="24"/>
      <c r="AP772" s="24"/>
      <c r="AQ772" s="24"/>
      <c r="AR772" s="24"/>
      <c r="AS772" s="18"/>
      <c r="AT772" s="18"/>
      <c r="AU772" s="18"/>
      <c r="AV772" s="18"/>
      <c r="AW772" s="18"/>
      <c r="AX772" s="18"/>
      <c r="AY772" s="18"/>
      <c r="AZ772" s="18"/>
    </row>
    <row r="773" spans="1:52" x14ac:dyDescent="0.25">
      <c r="A773" s="80"/>
      <c r="B773" s="80"/>
      <c r="C773" s="113"/>
      <c r="D773" s="80"/>
      <c r="E773" s="80"/>
      <c r="F773" s="80"/>
      <c r="G773" s="80"/>
      <c r="H773" s="80"/>
      <c r="I773" s="80"/>
      <c r="J773" s="80"/>
      <c r="K773" s="87"/>
      <c r="L773" s="80"/>
      <c r="M773" s="80"/>
      <c r="N773" s="80"/>
      <c r="O773" s="80"/>
      <c r="P773" s="80"/>
      <c r="Q773" s="80"/>
      <c r="R773" s="80"/>
      <c r="S773" s="80"/>
      <c r="T773" s="80"/>
      <c r="U773" s="80"/>
      <c r="V773" s="24"/>
      <c r="W773" s="24"/>
      <c r="X773" s="80"/>
      <c r="Y773" s="80"/>
      <c r="Z773" s="80"/>
      <c r="AA773" s="80"/>
      <c r="AB773" s="91"/>
      <c r="AC773" s="80"/>
      <c r="AD773" s="24"/>
      <c r="AE773" s="24"/>
      <c r="AF773" s="24"/>
      <c r="AG773" s="24"/>
      <c r="AH773" s="24"/>
      <c r="AI773" s="24"/>
      <c r="AJ773" s="24"/>
      <c r="AK773" s="24"/>
      <c r="AL773" s="24"/>
      <c r="AM773" s="24"/>
      <c r="AN773" s="24"/>
      <c r="AO773" s="24"/>
      <c r="AP773" s="24"/>
      <c r="AQ773" s="24"/>
      <c r="AR773" s="24"/>
      <c r="AS773" s="18"/>
      <c r="AT773" s="18"/>
      <c r="AU773" s="18"/>
      <c r="AV773" s="18"/>
      <c r="AW773" s="18"/>
      <c r="AX773" s="18"/>
      <c r="AY773" s="18"/>
      <c r="AZ773" s="18"/>
    </row>
    <row r="774" spans="1:52" x14ac:dyDescent="0.25">
      <c r="A774" s="80"/>
      <c r="B774" s="80"/>
      <c r="C774" s="113"/>
      <c r="D774" s="80"/>
      <c r="E774" s="80"/>
      <c r="F774" s="80"/>
      <c r="G774" s="80"/>
      <c r="H774" s="80"/>
      <c r="I774" s="80"/>
      <c r="J774" s="80"/>
      <c r="K774" s="87"/>
      <c r="L774" s="80"/>
      <c r="M774" s="80"/>
      <c r="N774" s="80"/>
      <c r="O774" s="80"/>
      <c r="P774" s="80"/>
      <c r="Q774" s="80"/>
      <c r="R774" s="80"/>
      <c r="S774" s="80"/>
      <c r="T774" s="80"/>
      <c r="U774" s="80"/>
      <c r="V774" s="24"/>
      <c r="W774" s="24"/>
      <c r="X774" s="80"/>
      <c r="Y774" s="80"/>
      <c r="Z774" s="80"/>
      <c r="AA774" s="80"/>
      <c r="AB774" s="91"/>
      <c r="AC774" s="80"/>
      <c r="AD774" s="24"/>
      <c r="AE774" s="24"/>
      <c r="AF774" s="24"/>
      <c r="AG774" s="24"/>
      <c r="AH774" s="24"/>
      <c r="AI774" s="24"/>
      <c r="AJ774" s="24"/>
      <c r="AK774" s="24"/>
      <c r="AL774" s="24"/>
      <c r="AM774" s="24"/>
      <c r="AN774" s="24"/>
      <c r="AO774" s="24"/>
      <c r="AP774" s="24"/>
      <c r="AQ774" s="24"/>
      <c r="AR774" s="24"/>
      <c r="AS774" s="18"/>
      <c r="AT774" s="18"/>
      <c r="AU774" s="18"/>
      <c r="AV774" s="18"/>
      <c r="AW774" s="18"/>
      <c r="AX774" s="18"/>
      <c r="AY774" s="18"/>
      <c r="AZ774" s="18"/>
    </row>
    <row r="775" spans="1:52" x14ac:dyDescent="0.25">
      <c r="A775" s="80"/>
      <c r="B775" s="80"/>
      <c r="C775" s="113"/>
      <c r="D775" s="80"/>
      <c r="E775" s="80"/>
      <c r="F775" s="80"/>
      <c r="G775" s="80"/>
      <c r="H775" s="80"/>
      <c r="I775" s="80"/>
      <c r="J775" s="80"/>
      <c r="K775" s="87"/>
      <c r="L775" s="80"/>
      <c r="M775" s="80"/>
      <c r="N775" s="80"/>
      <c r="O775" s="80"/>
      <c r="P775" s="80"/>
      <c r="Q775" s="80"/>
      <c r="R775" s="80"/>
      <c r="S775" s="80"/>
      <c r="T775" s="80"/>
      <c r="U775" s="80"/>
      <c r="V775" s="24"/>
      <c r="W775" s="24"/>
      <c r="X775" s="80"/>
      <c r="Y775" s="80"/>
      <c r="Z775" s="80"/>
      <c r="AA775" s="80"/>
      <c r="AB775" s="91"/>
      <c r="AC775" s="80"/>
      <c r="AD775" s="24"/>
      <c r="AE775" s="24"/>
      <c r="AF775" s="24"/>
      <c r="AG775" s="24"/>
      <c r="AH775" s="24"/>
      <c r="AI775" s="24"/>
      <c r="AJ775" s="24"/>
      <c r="AK775" s="24"/>
      <c r="AL775" s="24"/>
      <c r="AM775" s="24"/>
      <c r="AN775" s="24"/>
      <c r="AO775" s="24"/>
      <c r="AP775" s="24"/>
      <c r="AQ775" s="24"/>
      <c r="AR775" s="24"/>
      <c r="AS775" s="18"/>
      <c r="AT775" s="18"/>
      <c r="AU775" s="18"/>
      <c r="AV775" s="18"/>
      <c r="AW775" s="18"/>
      <c r="AX775" s="18"/>
      <c r="AY775" s="18"/>
      <c r="AZ775" s="18"/>
    </row>
    <row r="776" spans="1:52" x14ac:dyDescent="0.25">
      <c r="A776" s="80"/>
      <c r="B776" s="80"/>
      <c r="C776" s="113"/>
      <c r="D776" s="80"/>
      <c r="E776" s="80"/>
      <c r="F776" s="80"/>
      <c r="G776" s="80"/>
      <c r="H776" s="80"/>
      <c r="I776" s="80"/>
      <c r="J776" s="80"/>
      <c r="K776" s="87"/>
      <c r="L776" s="80"/>
      <c r="M776" s="80"/>
      <c r="N776" s="80"/>
      <c r="O776" s="80"/>
      <c r="P776" s="80"/>
      <c r="Q776" s="80"/>
      <c r="R776" s="80"/>
      <c r="S776" s="80"/>
      <c r="T776" s="80"/>
      <c r="U776" s="80"/>
      <c r="V776" s="24"/>
      <c r="W776" s="24"/>
      <c r="X776" s="80"/>
      <c r="Y776" s="80"/>
      <c r="Z776" s="80"/>
      <c r="AA776" s="80"/>
      <c r="AB776" s="91"/>
      <c r="AC776" s="80"/>
      <c r="AD776" s="24"/>
      <c r="AE776" s="24"/>
      <c r="AF776" s="24"/>
      <c r="AG776" s="24"/>
      <c r="AH776" s="24"/>
      <c r="AI776" s="24"/>
      <c r="AJ776" s="24"/>
      <c r="AK776" s="24"/>
      <c r="AL776" s="24"/>
      <c r="AM776" s="24"/>
      <c r="AN776" s="24"/>
      <c r="AO776" s="24"/>
      <c r="AP776" s="24"/>
      <c r="AQ776" s="24"/>
      <c r="AR776" s="24"/>
      <c r="AS776" s="18"/>
      <c r="AT776" s="18"/>
      <c r="AU776" s="18"/>
      <c r="AV776" s="18"/>
      <c r="AW776" s="18"/>
      <c r="AX776" s="18"/>
      <c r="AY776" s="18"/>
      <c r="AZ776" s="18"/>
    </row>
    <row r="777" spans="1:52" x14ac:dyDescent="0.25">
      <c r="A777" s="80"/>
      <c r="B777" s="80"/>
      <c r="C777" s="113"/>
      <c r="D777" s="80"/>
      <c r="E777" s="80"/>
      <c r="F777" s="80"/>
      <c r="G777" s="80"/>
      <c r="H777" s="80"/>
      <c r="I777" s="80"/>
      <c r="J777" s="80"/>
      <c r="K777" s="87"/>
      <c r="L777" s="80"/>
      <c r="M777" s="80"/>
      <c r="N777" s="80"/>
      <c r="O777" s="80"/>
      <c r="P777" s="80"/>
      <c r="Q777" s="80"/>
      <c r="R777" s="80"/>
      <c r="S777" s="80"/>
      <c r="T777" s="80"/>
      <c r="U777" s="80"/>
      <c r="V777" s="24"/>
      <c r="W777" s="24"/>
      <c r="X777" s="80"/>
      <c r="Y777" s="80"/>
      <c r="Z777" s="80"/>
      <c r="AA777" s="80"/>
      <c r="AB777" s="91"/>
      <c r="AC777" s="80"/>
      <c r="AD777" s="24"/>
      <c r="AE777" s="24"/>
      <c r="AF777" s="24"/>
      <c r="AG777" s="24"/>
      <c r="AH777" s="24"/>
      <c r="AI777" s="24"/>
      <c r="AJ777" s="24"/>
      <c r="AK777" s="24"/>
      <c r="AL777" s="24"/>
      <c r="AM777" s="24"/>
      <c r="AN777" s="24"/>
      <c r="AO777" s="24"/>
      <c r="AP777" s="24"/>
      <c r="AQ777" s="24"/>
      <c r="AR777" s="24"/>
      <c r="AS777" s="18"/>
      <c r="AT777" s="18"/>
      <c r="AU777" s="18"/>
      <c r="AV777" s="18"/>
      <c r="AW777" s="18"/>
      <c r="AX777" s="18"/>
      <c r="AY777" s="18"/>
      <c r="AZ777" s="18"/>
    </row>
    <row r="778" spans="1:52" x14ac:dyDescent="0.25">
      <c r="A778" s="80"/>
      <c r="B778" s="80"/>
      <c r="C778" s="113"/>
      <c r="D778" s="80"/>
      <c r="E778" s="80"/>
      <c r="F778" s="80"/>
      <c r="G778" s="80"/>
      <c r="H778" s="80"/>
      <c r="I778" s="80"/>
      <c r="J778" s="80"/>
      <c r="K778" s="87"/>
      <c r="L778" s="80"/>
      <c r="M778" s="80"/>
      <c r="N778" s="80"/>
      <c r="O778" s="80"/>
      <c r="P778" s="80"/>
      <c r="Q778" s="80"/>
      <c r="R778" s="80"/>
      <c r="S778" s="80"/>
      <c r="T778" s="80"/>
      <c r="U778" s="80"/>
      <c r="V778" s="24"/>
      <c r="W778" s="24"/>
      <c r="X778" s="80"/>
      <c r="Y778" s="80"/>
      <c r="Z778" s="80"/>
      <c r="AA778" s="80"/>
      <c r="AB778" s="91"/>
      <c r="AC778" s="80"/>
      <c r="AD778" s="24"/>
      <c r="AE778" s="24"/>
      <c r="AF778" s="24"/>
      <c r="AG778" s="24"/>
      <c r="AH778" s="24"/>
      <c r="AI778" s="24"/>
      <c r="AJ778" s="24"/>
      <c r="AK778" s="24"/>
      <c r="AL778" s="24"/>
      <c r="AM778" s="24"/>
      <c r="AN778" s="24"/>
      <c r="AO778" s="24"/>
      <c r="AP778" s="24"/>
      <c r="AQ778" s="24"/>
      <c r="AR778" s="24"/>
      <c r="AS778" s="18"/>
      <c r="AT778" s="18"/>
      <c r="AU778" s="18"/>
      <c r="AV778" s="18"/>
      <c r="AW778" s="18"/>
      <c r="AX778" s="18"/>
      <c r="AY778" s="18"/>
      <c r="AZ778" s="18"/>
    </row>
    <row r="779" spans="1:52" x14ac:dyDescent="0.25">
      <c r="A779" s="80"/>
      <c r="B779" s="80"/>
      <c r="C779" s="113"/>
      <c r="D779" s="80"/>
      <c r="E779" s="80"/>
      <c r="F779" s="80"/>
      <c r="G779" s="80"/>
      <c r="H779" s="80"/>
      <c r="I779" s="80"/>
      <c r="J779" s="80"/>
      <c r="K779" s="87"/>
      <c r="L779" s="80"/>
      <c r="M779" s="80"/>
      <c r="N779" s="80"/>
      <c r="O779" s="80"/>
      <c r="P779" s="80"/>
      <c r="Q779" s="80"/>
      <c r="R779" s="80"/>
      <c r="S779" s="80"/>
      <c r="T779" s="80"/>
      <c r="U779" s="80"/>
      <c r="V779" s="24"/>
      <c r="W779" s="24"/>
      <c r="X779" s="80"/>
      <c r="Y779" s="80"/>
      <c r="Z779" s="80"/>
      <c r="AA779" s="80"/>
      <c r="AB779" s="91"/>
      <c r="AC779" s="80"/>
      <c r="AD779" s="24"/>
      <c r="AE779" s="24"/>
      <c r="AF779" s="24"/>
      <c r="AG779" s="24"/>
      <c r="AH779" s="24"/>
      <c r="AI779" s="24"/>
      <c r="AJ779" s="24"/>
      <c r="AK779" s="24"/>
      <c r="AL779" s="24"/>
      <c r="AM779" s="24"/>
      <c r="AN779" s="24"/>
      <c r="AO779" s="24"/>
      <c r="AP779" s="24"/>
      <c r="AQ779" s="24"/>
      <c r="AR779" s="24"/>
      <c r="AS779" s="18"/>
      <c r="AT779" s="18"/>
      <c r="AU779" s="18"/>
      <c r="AV779" s="18"/>
      <c r="AW779" s="18"/>
      <c r="AX779" s="18"/>
      <c r="AY779" s="18"/>
      <c r="AZ779" s="18"/>
    </row>
    <row r="780" spans="1:52" x14ac:dyDescent="0.25">
      <c r="A780" s="80"/>
      <c r="B780" s="80"/>
      <c r="C780" s="113"/>
      <c r="D780" s="80"/>
      <c r="E780" s="80"/>
      <c r="F780" s="80"/>
      <c r="G780" s="80"/>
      <c r="H780" s="80"/>
      <c r="I780" s="80"/>
      <c r="J780" s="80"/>
      <c r="K780" s="87"/>
      <c r="L780" s="80"/>
      <c r="M780" s="80"/>
      <c r="N780" s="80"/>
      <c r="O780" s="80"/>
      <c r="P780" s="80"/>
      <c r="Q780" s="80"/>
      <c r="R780" s="80"/>
      <c r="S780" s="80"/>
      <c r="T780" s="80"/>
      <c r="U780" s="80"/>
      <c r="V780" s="24"/>
      <c r="W780" s="24"/>
      <c r="X780" s="80"/>
      <c r="Y780" s="80"/>
      <c r="Z780" s="80"/>
      <c r="AA780" s="80"/>
      <c r="AB780" s="91"/>
      <c r="AC780" s="80"/>
      <c r="AD780" s="24"/>
      <c r="AE780" s="24"/>
      <c r="AF780" s="24"/>
      <c r="AG780" s="24"/>
      <c r="AH780" s="24"/>
      <c r="AI780" s="24"/>
      <c r="AJ780" s="24"/>
      <c r="AK780" s="24"/>
      <c r="AL780" s="24"/>
      <c r="AM780" s="24"/>
      <c r="AN780" s="24"/>
      <c r="AO780" s="24"/>
      <c r="AP780" s="24"/>
      <c r="AQ780" s="24"/>
      <c r="AR780" s="24"/>
      <c r="AS780" s="18"/>
      <c r="AT780" s="18"/>
      <c r="AU780" s="18"/>
      <c r="AV780" s="18"/>
      <c r="AW780" s="18"/>
      <c r="AX780" s="18"/>
      <c r="AY780" s="18"/>
      <c r="AZ780" s="18"/>
    </row>
    <row r="781" spans="1:52" x14ac:dyDescent="0.25">
      <c r="A781" s="80"/>
      <c r="B781" s="80"/>
      <c r="C781" s="113"/>
      <c r="D781" s="80"/>
      <c r="E781" s="80"/>
      <c r="F781" s="80"/>
      <c r="G781" s="80"/>
      <c r="H781" s="80"/>
      <c r="I781" s="80"/>
      <c r="J781" s="80"/>
      <c r="K781" s="87"/>
      <c r="L781" s="80"/>
      <c r="M781" s="80"/>
      <c r="N781" s="80"/>
      <c r="O781" s="80"/>
      <c r="P781" s="80"/>
      <c r="Q781" s="80"/>
      <c r="R781" s="80"/>
      <c r="S781" s="80"/>
      <c r="T781" s="80"/>
      <c r="U781" s="80"/>
      <c r="V781" s="24"/>
      <c r="W781" s="24"/>
      <c r="X781" s="80"/>
      <c r="Y781" s="80"/>
      <c r="Z781" s="80"/>
      <c r="AA781" s="80"/>
      <c r="AB781" s="91"/>
      <c r="AC781" s="80"/>
      <c r="AD781" s="24"/>
      <c r="AE781" s="24"/>
      <c r="AF781" s="24"/>
      <c r="AG781" s="24"/>
      <c r="AH781" s="24"/>
      <c r="AI781" s="24"/>
      <c r="AJ781" s="24"/>
      <c r="AK781" s="24"/>
      <c r="AL781" s="24"/>
      <c r="AM781" s="24"/>
      <c r="AN781" s="24"/>
      <c r="AO781" s="24"/>
      <c r="AP781" s="24"/>
      <c r="AQ781" s="24"/>
      <c r="AR781" s="24"/>
      <c r="AS781" s="18"/>
      <c r="AT781" s="18"/>
      <c r="AU781" s="18"/>
      <c r="AV781" s="18"/>
      <c r="AW781" s="18"/>
      <c r="AX781" s="18"/>
      <c r="AY781" s="18"/>
      <c r="AZ781" s="18"/>
    </row>
    <row r="782" spans="1:52" x14ac:dyDescent="0.25">
      <c r="A782" s="80"/>
      <c r="B782" s="80"/>
      <c r="C782" s="113"/>
      <c r="D782" s="80"/>
      <c r="E782" s="80"/>
      <c r="F782" s="80"/>
      <c r="G782" s="80"/>
      <c r="H782" s="80"/>
      <c r="I782" s="80"/>
      <c r="J782" s="80"/>
      <c r="K782" s="87"/>
      <c r="L782" s="80"/>
      <c r="M782" s="80"/>
      <c r="N782" s="80"/>
      <c r="O782" s="80"/>
      <c r="P782" s="80"/>
      <c r="Q782" s="80"/>
      <c r="R782" s="80"/>
      <c r="S782" s="80"/>
      <c r="T782" s="80"/>
      <c r="U782" s="80"/>
      <c r="V782" s="24"/>
      <c r="W782" s="24"/>
      <c r="X782" s="80"/>
      <c r="Y782" s="80"/>
      <c r="Z782" s="80"/>
      <c r="AA782" s="80"/>
      <c r="AB782" s="91"/>
      <c r="AC782" s="80"/>
      <c r="AD782" s="24"/>
      <c r="AE782" s="24"/>
      <c r="AF782" s="24"/>
      <c r="AG782" s="24"/>
      <c r="AH782" s="24"/>
      <c r="AI782" s="24"/>
      <c r="AJ782" s="24"/>
      <c r="AK782" s="24"/>
      <c r="AL782" s="24"/>
      <c r="AM782" s="24"/>
      <c r="AN782" s="24"/>
      <c r="AO782" s="24"/>
      <c r="AP782" s="24"/>
      <c r="AQ782" s="24"/>
      <c r="AR782" s="24"/>
      <c r="AS782" s="18"/>
      <c r="AT782" s="18"/>
      <c r="AU782" s="18"/>
      <c r="AV782" s="18"/>
      <c r="AW782" s="18"/>
      <c r="AX782" s="18"/>
      <c r="AY782" s="18"/>
      <c r="AZ782" s="18"/>
    </row>
    <row r="783" spans="1:52" x14ac:dyDescent="0.25">
      <c r="A783" s="80"/>
      <c r="B783" s="80"/>
      <c r="C783" s="113"/>
      <c r="D783" s="80"/>
      <c r="E783" s="80"/>
      <c r="F783" s="80"/>
      <c r="G783" s="80"/>
      <c r="H783" s="80"/>
      <c r="I783" s="80"/>
      <c r="J783" s="80"/>
      <c r="K783" s="87"/>
      <c r="L783" s="80"/>
      <c r="M783" s="80"/>
      <c r="N783" s="80"/>
      <c r="O783" s="80"/>
      <c r="P783" s="80"/>
      <c r="Q783" s="80"/>
      <c r="R783" s="80"/>
      <c r="S783" s="80"/>
      <c r="T783" s="80"/>
      <c r="U783" s="80"/>
      <c r="V783" s="24"/>
      <c r="W783" s="24"/>
      <c r="X783" s="80"/>
      <c r="Y783" s="80"/>
      <c r="Z783" s="80"/>
      <c r="AA783" s="80"/>
      <c r="AB783" s="91"/>
      <c r="AC783" s="80"/>
      <c r="AD783" s="24"/>
      <c r="AE783" s="24"/>
      <c r="AF783" s="24"/>
      <c r="AG783" s="24"/>
      <c r="AH783" s="24"/>
      <c r="AI783" s="24"/>
      <c r="AJ783" s="24"/>
      <c r="AK783" s="24"/>
      <c r="AL783" s="24"/>
      <c r="AM783" s="24"/>
      <c r="AN783" s="24"/>
      <c r="AO783" s="24"/>
      <c r="AP783" s="24"/>
      <c r="AQ783" s="24"/>
      <c r="AR783" s="24"/>
      <c r="AS783" s="18"/>
      <c r="AT783" s="18"/>
      <c r="AU783" s="18"/>
      <c r="AV783" s="18"/>
      <c r="AW783" s="18"/>
      <c r="AX783" s="18"/>
      <c r="AY783" s="18"/>
      <c r="AZ783" s="18"/>
    </row>
    <row r="784" spans="1:52" x14ac:dyDescent="0.25">
      <c r="A784" s="80"/>
      <c r="B784" s="80"/>
      <c r="C784" s="113"/>
      <c r="D784" s="80"/>
      <c r="E784" s="80"/>
      <c r="F784" s="80"/>
      <c r="G784" s="80"/>
      <c r="H784" s="80"/>
      <c r="I784" s="80"/>
      <c r="J784" s="80"/>
      <c r="K784" s="87"/>
      <c r="L784" s="80"/>
      <c r="M784" s="80"/>
      <c r="N784" s="80"/>
      <c r="O784" s="80"/>
      <c r="P784" s="80"/>
      <c r="Q784" s="80"/>
      <c r="R784" s="80"/>
      <c r="S784" s="80"/>
      <c r="T784" s="80"/>
      <c r="U784" s="80"/>
      <c r="V784" s="24"/>
      <c r="W784" s="24"/>
      <c r="X784" s="80"/>
      <c r="Y784" s="80"/>
      <c r="Z784" s="80"/>
      <c r="AA784" s="80"/>
      <c r="AB784" s="91"/>
      <c r="AC784" s="80"/>
      <c r="AD784" s="24"/>
      <c r="AE784" s="24"/>
      <c r="AF784" s="24"/>
      <c r="AG784" s="24"/>
      <c r="AH784" s="24"/>
      <c r="AI784" s="24"/>
      <c r="AJ784" s="24"/>
      <c r="AK784" s="24"/>
      <c r="AL784" s="24"/>
      <c r="AM784" s="24"/>
      <c r="AN784" s="24"/>
      <c r="AO784" s="24"/>
      <c r="AP784" s="24"/>
      <c r="AQ784" s="24"/>
      <c r="AR784" s="24"/>
      <c r="AS784" s="18"/>
      <c r="AT784" s="18"/>
      <c r="AU784" s="18"/>
      <c r="AV784" s="18"/>
      <c r="AW784" s="18"/>
      <c r="AX784" s="18"/>
      <c r="AY784" s="18"/>
      <c r="AZ784" s="18"/>
    </row>
    <row r="785" spans="1:52" x14ac:dyDescent="0.25">
      <c r="A785" s="80"/>
      <c r="B785" s="80"/>
      <c r="C785" s="113"/>
      <c r="D785" s="80"/>
      <c r="E785" s="80"/>
      <c r="F785" s="80"/>
      <c r="G785" s="80"/>
      <c r="H785" s="80"/>
      <c r="I785" s="80"/>
      <c r="J785" s="80"/>
      <c r="K785" s="87"/>
      <c r="L785" s="80"/>
      <c r="M785" s="80"/>
      <c r="N785" s="80"/>
      <c r="O785" s="80"/>
      <c r="P785" s="80"/>
      <c r="Q785" s="80"/>
      <c r="R785" s="80"/>
      <c r="S785" s="80"/>
      <c r="T785" s="80"/>
      <c r="U785" s="80"/>
      <c r="V785" s="24"/>
      <c r="W785" s="24"/>
      <c r="X785" s="80"/>
      <c r="Y785" s="80"/>
      <c r="Z785" s="80"/>
      <c r="AA785" s="80"/>
      <c r="AB785" s="91"/>
      <c r="AC785" s="80"/>
      <c r="AD785" s="24"/>
      <c r="AE785" s="24"/>
      <c r="AF785" s="24"/>
      <c r="AG785" s="24"/>
      <c r="AH785" s="24"/>
      <c r="AI785" s="24"/>
      <c r="AJ785" s="24"/>
      <c r="AK785" s="24"/>
      <c r="AL785" s="24"/>
      <c r="AM785" s="24"/>
      <c r="AN785" s="24"/>
      <c r="AO785" s="24"/>
      <c r="AP785" s="24"/>
      <c r="AQ785" s="24"/>
      <c r="AR785" s="24"/>
      <c r="AS785" s="18"/>
      <c r="AT785" s="18"/>
      <c r="AU785" s="18"/>
      <c r="AV785" s="18"/>
      <c r="AW785" s="18"/>
      <c r="AX785" s="18"/>
      <c r="AY785" s="18"/>
      <c r="AZ785" s="18"/>
    </row>
    <row r="786" spans="1:52" x14ac:dyDescent="0.25">
      <c r="A786" s="80"/>
      <c r="B786" s="80"/>
      <c r="C786" s="113"/>
      <c r="D786" s="80"/>
      <c r="E786" s="80"/>
      <c r="F786" s="80"/>
      <c r="G786" s="80"/>
      <c r="H786" s="80"/>
      <c r="I786" s="80"/>
      <c r="J786" s="80"/>
      <c r="K786" s="87"/>
      <c r="L786" s="80"/>
      <c r="M786" s="80"/>
      <c r="N786" s="80"/>
      <c r="O786" s="80"/>
      <c r="P786" s="80"/>
      <c r="Q786" s="80"/>
      <c r="R786" s="80"/>
      <c r="S786" s="80"/>
      <c r="T786" s="80"/>
      <c r="U786" s="80"/>
      <c r="V786" s="24"/>
      <c r="W786" s="24"/>
      <c r="X786" s="80"/>
      <c r="Y786" s="80"/>
      <c r="Z786" s="80"/>
      <c r="AA786" s="80"/>
      <c r="AB786" s="91"/>
      <c r="AC786" s="80"/>
      <c r="AD786" s="24"/>
      <c r="AE786" s="24"/>
      <c r="AF786" s="24"/>
      <c r="AG786" s="24"/>
      <c r="AH786" s="24"/>
      <c r="AI786" s="24"/>
      <c r="AJ786" s="24"/>
      <c r="AK786" s="24"/>
      <c r="AL786" s="24"/>
      <c r="AM786" s="24"/>
      <c r="AN786" s="24"/>
      <c r="AO786" s="24"/>
      <c r="AP786" s="24"/>
      <c r="AQ786" s="24"/>
      <c r="AR786" s="24"/>
      <c r="AS786" s="18"/>
      <c r="AT786" s="18"/>
      <c r="AU786" s="18"/>
      <c r="AV786" s="18"/>
      <c r="AW786" s="18"/>
      <c r="AX786" s="18"/>
      <c r="AY786" s="18"/>
      <c r="AZ786" s="18"/>
    </row>
    <row r="787" spans="1:52" x14ac:dyDescent="0.25">
      <c r="A787" s="80"/>
      <c r="B787" s="80"/>
      <c r="C787" s="113"/>
      <c r="D787" s="80"/>
      <c r="E787" s="80"/>
      <c r="F787" s="80"/>
      <c r="G787" s="80"/>
      <c r="H787" s="80"/>
      <c r="I787" s="80"/>
      <c r="J787" s="80"/>
      <c r="K787" s="87"/>
      <c r="L787" s="80"/>
      <c r="M787" s="80"/>
      <c r="N787" s="80"/>
      <c r="O787" s="80"/>
      <c r="P787" s="80"/>
      <c r="Q787" s="80"/>
      <c r="R787" s="80"/>
      <c r="S787" s="80"/>
      <c r="T787" s="80"/>
      <c r="U787" s="80"/>
      <c r="V787" s="24"/>
      <c r="W787" s="24"/>
      <c r="X787" s="80"/>
      <c r="Y787" s="80"/>
      <c r="Z787" s="80"/>
      <c r="AA787" s="80"/>
      <c r="AB787" s="91"/>
      <c r="AC787" s="80"/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24"/>
      <c r="AO787" s="24"/>
      <c r="AP787" s="24"/>
      <c r="AQ787" s="24"/>
      <c r="AR787" s="24"/>
      <c r="AS787" s="18"/>
      <c r="AT787" s="18"/>
      <c r="AU787" s="18"/>
      <c r="AV787" s="18"/>
      <c r="AW787" s="18"/>
      <c r="AX787" s="18"/>
      <c r="AY787" s="18"/>
      <c r="AZ787" s="18"/>
    </row>
    <row r="788" spans="1:52" x14ac:dyDescent="0.25">
      <c r="A788" s="80"/>
      <c r="B788" s="80"/>
      <c r="C788" s="113"/>
      <c r="D788" s="80"/>
      <c r="E788" s="80"/>
      <c r="F788" s="80"/>
      <c r="G788" s="80"/>
      <c r="H788" s="80"/>
      <c r="I788" s="80"/>
      <c r="J788" s="80"/>
      <c r="K788" s="87"/>
      <c r="L788" s="80"/>
      <c r="M788" s="80"/>
      <c r="N788" s="80"/>
      <c r="O788" s="80"/>
      <c r="P788" s="80"/>
      <c r="Q788" s="80"/>
      <c r="R788" s="80"/>
      <c r="S788" s="80"/>
      <c r="T788" s="80"/>
      <c r="U788" s="80"/>
      <c r="V788" s="24"/>
      <c r="W788" s="24"/>
      <c r="X788" s="80"/>
      <c r="Y788" s="80"/>
      <c r="Z788" s="80"/>
      <c r="AA788" s="80"/>
      <c r="AB788" s="91"/>
      <c r="AC788" s="80"/>
      <c r="AD788" s="24"/>
      <c r="AE788" s="24"/>
      <c r="AF788" s="24"/>
      <c r="AG788" s="24"/>
      <c r="AH788" s="24"/>
      <c r="AI788" s="24"/>
      <c r="AJ788" s="24"/>
      <c r="AK788" s="24"/>
      <c r="AL788" s="24"/>
      <c r="AM788" s="24"/>
      <c r="AN788" s="24"/>
      <c r="AO788" s="24"/>
      <c r="AP788" s="24"/>
      <c r="AQ788" s="24"/>
      <c r="AR788" s="24"/>
      <c r="AS788" s="18"/>
      <c r="AT788" s="18"/>
      <c r="AU788" s="18"/>
      <c r="AV788" s="18"/>
      <c r="AW788" s="18"/>
      <c r="AX788" s="18"/>
      <c r="AY788" s="18"/>
      <c r="AZ788" s="18"/>
    </row>
    <row r="789" spans="1:52" x14ac:dyDescent="0.25">
      <c r="A789" s="80"/>
      <c r="B789" s="80"/>
      <c r="C789" s="113"/>
      <c r="D789" s="80"/>
      <c r="E789" s="80"/>
      <c r="F789" s="80"/>
      <c r="G789" s="80"/>
      <c r="H789" s="80"/>
      <c r="I789" s="80"/>
      <c r="J789" s="80"/>
      <c r="K789" s="87"/>
      <c r="L789" s="80"/>
      <c r="M789" s="80"/>
      <c r="N789" s="80"/>
      <c r="O789" s="80"/>
      <c r="P789" s="80"/>
      <c r="Q789" s="80"/>
      <c r="R789" s="80"/>
      <c r="S789" s="80"/>
      <c r="T789" s="80"/>
      <c r="U789" s="80"/>
      <c r="V789" s="24"/>
      <c r="W789" s="24"/>
      <c r="X789" s="80"/>
      <c r="Y789" s="80"/>
      <c r="Z789" s="80"/>
      <c r="AA789" s="80"/>
      <c r="AB789" s="91"/>
      <c r="AC789" s="80"/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24"/>
      <c r="AO789" s="24"/>
      <c r="AP789" s="24"/>
      <c r="AQ789" s="24"/>
      <c r="AR789" s="24"/>
      <c r="AS789" s="18"/>
      <c r="AT789" s="18"/>
      <c r="AU789" s="18"/>
      <c r="AV789" s="18"/>
      <c r="AW789" s="18"/>
      <c r="AX789" s="18"/>
      <c r="AY789" s="18"/>
      <c r="AZ789" s="18"/>
    </row>
    <row r="790" spans="1:52" x14ac:dyDescent="0.25">
      <c r="A790" s="80"/>
      <c r="B790" s="80"/>
      <c r="C790" s="113"/>
      <c r="D790" s="80"/>
      <c r="E790" s="80"/>
      <c r="F790" s="80"/>
      <c r="G790" s="80"/>
      <c r="H790" s="80"/>
      <c r="I790" s="80"/>
      <c r="J790" s="80"/>
      <c r="K790" s="87"/>
      <c r="L790" s="80"/>
      <c r="M790" s="80"/>
      <c r="N790" s="80"/>
      <c r="O790" s="80"/>
      <c r="P790" s="80"/>
      <c r="Q790" s="80"/>
      <c r="R790" s="80"/>
      <c r="S790" s="80"/>
      <c r="T790" s="80"/>
      <c r="U790" s="80"/>
      <c r="V790" s="24"/>
      <c r="W790" s="24"/>
      <c r="X790" s="80"/>
      <c r="Y790" s="80"/>
      <c r="Z790" s="80"/>
      <c r="AA790" s="80"/>
      <c r="AB790" s="91"/>
      <c r="AC790" s="80"/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24"/>
      <c r="AO790" s="24"/>
      <c r="AP790" s="24"/>
      <c r="AQ790" s="24"/>
      <c r="AR790" s="24"/>
      <c r="AS790" s="18"/>
      <c r="AT790" s="18"/>
      <c r="AU790" s="18"/>
      <c r="AV790" s="18"/>
      <c r="AW790" s="18"/>
      <c r="AX790" s="18"/>
      <c r="AY790" s="18"/>
      <c r="AZ790" s="18"/>
    </row>
    <row r="791" spans="1:52" x14ac:dyDescent="0.25">
      <c r="A791" s="80"/>
      <c r="B791" s="80"/>
      <c r="C791" s="113"/>
      <c r="D791" s="80"/>
      <c r="E791" s="80"/>
      <c r="F791" s="80"/>
      <c r="G791" s="80"/>
      <c r="H791" s="80"/>
      <c r="I791" s="80"/>
      <c r="J791" s="80"/>
      <c r="K791" s="87"/>
      <c r="L791" s="80"/>
      <c r="M791" s="80"/>
      <c r="N791" s="80"/>
      <c r="O791" s="80"/>
      <c r="P791" s="80"/>
      <c r="Q791" s="80"/>
      <c r="R791" s="80"/>
      <c r="S791" s="80"/>
      <c r="T791" s="80"/>
      <c r="U791" s="80"/>
      <c r="V791" s="24"/>
      <c r="W791" s="24"/>
      <c r="X791" s="80"/>
      <c r="Y791" s="80"/>
      <c r="Z791" s="80"/>
      <c r="AA791" s="80"/>
      <c r="AB791" s="91"/>
      <c r="AC791" s="80"/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24"/>
      <c r="AO791" s="24"/>
      <c r="AP791" s="24"/>
      <c r="AQ791" s="24"/>
      <c r="AR791" s="24"/>
      <c r="AS791" s="18"/>
      <c r="AT791" s="18"/>
      <c r="AU791" s="18"/>
      <c r="AV791" s="18"/>
      <c r="AW791" s="18"/>
      <c r="AX791" s="18"/>
      <c r="AY791" s="18"/>
      <c r="AZ791" s="18"/>
    </row>
    <row r="792" spans="1:52" x14ac:dyDescent="0.25">
      <c r="A792" s="80"/>
      <c r="B792" s="80"/>
      <c r="C792" s="113"/>
      <c r="D792" s="80"/>
      <c r="E792" s="80"/>
      <c r="F792" s="80"/>
      <c r="G792" s="80"/>
      <c r="H792" s="80"/>
      <c r="I792" s="80"/>
      <c r="J792" s="80"/>
      <c r="K792" s="87"/>
      <c r="L792" s="80"/>
      <c r="M792" s="80"/>
      <c r="N792" s="80"/>
      <c r="O792" s="80"/>
      <c r="P792" s="80"/>
      <c r="Q792" s="80"/>
      <c r="R792" s="80"/>
      <c r="S792" s="80"/>
      <c r="T792" s="80"/>
      <c r="U792" s="80"/>
      <c r="V792" s="24"/>
      <c r="W792" s="24"/>
      <c r="X792" s="80"/>
      <c r="Y792" s="80"/>
      <c r="Z792" s="80"/>
      <c r="AA792" s="80"/>
      <c r="AB792" s="91"/>
      <c r="AC792" s="80"/>
      <c r="AD792" s="24"/>
      <c r="AE792" s="24"/>
      <c r="AF792" s="24"/>
      <c r="AG792" s="24"/>
      <c r="AH792" s="24"/>
      <c r="AI792" s="24"/>
      <c r="AJ792" s="24"/>
      <c r="AK792" s="24"/>
      <c r="AL792" s="24"/>
      <c r="AM792" s="24"/>
      <c r="AN792" s="24"/>
      <c r="AO792" s="24"/>
      <c r="AP792" s="24"/>
      <c r="AQ792" s="24"/>
      <c r="AR792" s="24"/>
      <c r="AS792" s="18"/>
      <c r="AT792" s="18"/>
      <c r="AU792" s="18"/>
      <c r="AV792" s="18"/>
      <c r="AW792" s="18"/>
      <c r="AX792" s="18"/>
      <c r="AY792" s="18"/>
      <c r="AZ792" s="18"/>
    </row>
    <row r="793" spans="1:52" x14ac:dyDescent="0.25">
      <c r="A793" s="80"/>
      <c r="B793" s="80"/>
      <c r="C793" s="113"/>
      <c r="D793" s="80"/>
      <c r="E793" s="80"/>
      <c r="F793" s="80"/>
      <c r="G793" s="80"/>
      <c r="H793" s="80"/>
      <c r="I793" s="80"/>
      <c r="J793" s="80"/>
      <c r="K793" s="87"/>
      <c r="L793" s="80"/>
      <c r="M793" s="80"/>
      <c r="N793" s="80"/>
      <c r="O793" s="80"/>
      <c r="P793" s="80"/>
      <c r="Q793" s="80"/>
      <c r="R793" s="80"/>
      <c r="S793" s="80"/>
      <c r="T793" s="80"/>
      <c r="U793" s="80"/>
      <c r="V793" s="24"/>
      <c r="W793" s="24"/>
      <c r="X793" s="80"/>
      <c r="Y793" s="80"/>
      <c r="Z793" s="80"/>
      <c r="AA793" s="80"/>
      <c r="AB793" s="91"/>
      <c r="AC793" s="80"/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24"/>
      <c r="AO793" s="24"/>
      <c r="AP793" s="24"/>
      <c r="AQ793" s="24"/>
      <c r="AR793" s="24"/>
      <c r="AS793" s="18"/>
      <c r="AT793" s="18"/>
      <c r="AU793" s="18"/>
      <c r="AV793" s="18"/>
      <c r="AW793" s="18"/>
      <c r="AX793" s="18"/>
      <c r="AY793" s="18"/>
      <c r="AZ793" s="18"/>
    </row>
    <row r="794" spans="1:52" x14ac:dyDescent="0.25">
      <c r="A794" s="80"/>
      <c r="B794" s="80"/>
      <c r="C794" s="113"/>
      <c r="D794" s="80"/>
      <c r="E794" s="80"/>
      <c r="F794" s="80"/>
      <c r="G794" s="80"/>
      <c r="H794" s="80"/>
      <c r="I794" s="80"/>
      <c r="J794" s="80"/>
      <c r="K794" s="87"/>
      <c r="L794" s="80"/>
      <c r="M794" s="80"/>
      <c r="N794" s="80"/>
      <c r="O794" s="80"/>
      <c r="P794" s="80"/>
      <c r="Q794" s="80"/>
      <c r="R794" s="80"/>
      <c r="S794" s="80"/>
      <c r="T794" s="80"/>
      <c r="U794" s="80"/>
      <c r="V794" s="24"/>
      <c r="W794" s="24"/>
      <c r="X794" s="80"/>
      <c r="Y794" s="80"/>
      <c r="Z794" s="80"/>
      <c r="AA794" s="80"/>
      <c r="AB794" s="91"/>
      <c r="AC794" s="80"/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24"/>
      <c r="AO794" s="24"/>
      <c r="AP794" s="24"/>
      <c r="AQ794" s="24"/>
      <c r="AR794" s="24"/>
      <c r="AS794" s="18"/>
      <c r="AT794" s="18"/>
      <c r="AU794" s="18"/>
      <c r="AV794" s="18"/>
      <c r="AW794" s="18"/>
      <c r="AX794" s="18"/>
      <c r="AY794" s="18"/>
      <c r="AZ794" s="18"/>
    </row>
    <row r="795" spans="1:52" x14ac:dyDescent="0.25">
      <c r="A795" s="80"/>
      <c r="B795" s="80"/>
      <c r="C795" s="113"/>
      <c r="D795" s="80"/>
      <c r="E795" s="80"/>
      <c r="F795" s="80"/>
      <c r="G795" s="80"/>
      <c r="H795" s="80"/>
      <c r="I795" s="80"/>
      <c r="J795" s="80"/>
      <c r="K795" s="87"/>
      <c r="L795" s="80"/>
      <c r="M795" s="80"/>
      <c r="N795" s="80"/>
      <c r="O795" s="80"/>
      <c r="P795" s="80"/>
      <c r="Q795" s="80"/>
      <c r="R795" s="80"/>
      <c r="S795" s="80"/>
      <c r="T795" s="80"/>
      <c r="U795" s="80"/>
      <c r="V795" s="24"/>
      <c r="W795" s="24"/>
      <c r="X795" s="80"/>
      <c r="Y795" s="80"/>
      <c r="Z795" s="80"/>
      <c r="AA795" s="80"/>
      <c r="AB795" s="91"/>
      <c r="AC795" s="80"/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24"/>
      <c r="AO795" s="24"/>
      <c r="AP795" s="24"/>
      <c r="AQ795" s="24"/>
      <c r="AR795" s="24"/>
      <c r="AS795" s="18"/>
      <c r="AT795" s="18"/>
      <c r="AU795" s="18"/>
      <c r="AV795" s="18"/>
      <c r="AW795" s="18"/>
      <c r="AX795" s="18"/>
      <c r="AY795" s="18"/>
      <c r="AZ795" s="18"/>
    </row>
    <row r="796" spans="1:52" x14ac:dyDescent="0.25">
      <c r="A796" s="80"/>
      <c r="B796" s="80"/>
      <c r="C796" s="113"/>
      <c r="D796" s="80"/>
      <c r="E796" s="80"/>
      <c r="F796" s="80"/>
      <c r="G796" s="80"/>
      <c r="H796" s="80"/>
      <c r="I796" s="80"/>
      <c r="J796" s="80"/>
      <c r="K796" s="87"/>
      <c r="L796" s="80"/>
      <c r="M796" s="80"/>
      <c r="N796" s="80"/>
      <c r="O796" s="80"/>
      <c r="P796" s="80"/>
      <c r="Q796" s="80"/>
      <c r="R796" s="80"/>
      <c r="S796" s="80"/>
      <c r="T796" s="80"/>
      <c r="U796" s="80"/>
      <c r="V796" s="24"/>
      <c r="W796" s="24"/>
      <c r="X796" s="80"/>
      <c r="Y796" s="80"/>
      <c r="Z796" s="80"/>
      <c r="AA796" s="80"/>
      <c r="AB796" s="91"/>
      <c r="AC796" s="80"/>
      <c r="AD796" s="24"/>
      <c r="AE796" s="24"/>
      <c r="AF796" s="24"/>
      <c r="AG796" s="24"/>
      <c r="AH796" s="24"/>
      <c r="AI796" s="24"/>
      <c r="AJ796" s="24"/>
      <c r="AK796" s="24"/>
      <c r="AL796" s="24"/>
      <c r="AM796" s="24"/>
      <c r="AN796" s="24"/>
      <c r="AO796" s="24"/>
      <c r="AP796" s="24"/>
      <c r="AQ796" s="24"/>
      <c r="AR796" s="24"/>
      <c r="AS796" s="18"/>
      <c r="AT796" s="18"/>
      <c r="AU796" s="18"/>
      <c r="AV796" s="18"/>
      <c r="AW796" s="18"/>
      <c r="AX796" s="18"/>
      <c r="AY796" s="18"/>
      <c r="AZ796" s="18"/>
    </row>
    <row r="797" spans="1:52" x14ac:dyDescent="0.25">
      <c r="A797" s="80"/>
      <c r="B797" s="80"/>
      <c r="C797" s="113"/>
      <c r="D797" s="80"/>
      <c r="E797" s="80"/>
      <c r="F797" s="80"/>
      <c r="G797" s="80"/>
      <c r="H797" s="80"/>
      <c r="I797" s="80"/>
      <c r="J797" s="80"/>
      <c r="K797" s="87"/>
      <c r="L797" s="80"/>
      <c r="M797" s="80"/>
      <c r="N797" s="80"/>
      <c r="O797" s="80"/>
      <c r="P797" s="80"/>
      <c r="Q797" s="80"/>
      <c r="R797" s="80"/>
      <c r="S797" s="80"/>
      <c r="T797" s="80"/>
      <c r="U797" s="80"/>
      <c r="V797" s="24"/>
      <c r="W797" s="24"/>
      <c r="X797" s="80"/>
      <c r="Y797" s="80"/>
      <c r="Z797" s="80"/>
      <c r="AA797" s="80"/>
      <c r="AB797" s="91"/>
      <c r="AC797" s="80"/>
      <c r="AD797" s="24"/>
      <c r="AE797" s="24"/>
      <c r="AF797" s="24"/>
      <c r="AG797" s="24"/>
      <c r="AH797" s="24"/>
      <c r="AI797" s="24"/>
      <c r="AJ797" s="24"/>
      <c r="AK797" s="24"/>
      <c r="AL797" s="24"/>
      <c r="AM797" s="24"/>
      <c r="AN797" s="24"/>
      <c r="AO797" s="24"/>
      <c r="AP797" s="24"/>
      <c r="AQ797" s="24"/>
      <c r="AR797" s="24"/>
      <c r="AS797" s="18"/>
      <c r="AT797" s="18"/>
      <c r="AU797" s="18"/>
      <c r="AV797" s="18"/>
      <c r="AW797" s="18"/>
      <c r="AX797" s="18"/>
      <c r="AY797" s="18"/>
      <c r="AZ797" s="18"/>
    </row>
    <row r="798" spans="1:52" x14ac:dyDescent="0.25">
      <c r="A798" s="80"/>
      <c r="B798" s="80"/>
      <c r="C798" s="113"/>
      <c r="D798" s="80"/>
      <c r="E798" s="80"/>
      <c r="F798" s="80"/>
      <c r="G798" s="80"/>
      <c r="H798" s="80"/>
      <c r="I798" s="80"/>
      <c r="J798" s="80"/>
      <c r="K798" s="87"/>
      <c r="L798" s="80"/>
      <c r="M798" s="80"/>
      <c r="N798" s="80"/>
      <c r="O798" s="80"/>
      <c r="P798" s="80"/>
      <c r="Q798" s="80"/>
      <c r="R798" s="80"/>
      <c r="S798" s="80"/>
      <c r="T798" s="80"/>
      <c r="U798" s="80"/>
      <c r="V798" s="24"/>
      <c r="W798" s="24"/>
      <c r="X798" s="80"/>
      <c r="Y798" s="80"/>
      <c r="Z798" s="80"/>
      <c r="AA798" s="80"/>
      <c r="AB798" s="91"/>
      <c r="AC798" s="80"/>
      <c r="AD798" s="24"/>
      <c r="AE798" s="24"/>
      <c r="AF798" s="24"/>
      <c r="AG798" s="24"/>
      <c r="AH798" s="24"/>
      <c r="AI798" s="24"/>
      <c r="AJ798" s="24"/>
      <c r="AK798" s="24"/>
      <c r="AL798" s="24"/>
      <c r="AM798" s="24"/>
      <c r="AN798" s="24"/>
      <c r="AO798" s="24"/>
      <c r="AP798" s="24"/>
      <c r="AQ798" s="24"/>
      <c r="AR798" s="24"/>
      <c r="AS798" s="18"/>
      <c r="AT798" s="18"/>
      <c r="AU798" s="18"/>
      <c r="AV798" s="18"/>
      <c r="AW798" s="18"/>
      <c r="AX798" s="18"/>
      <c r="AY798" s="18"/>
      <c r="AZ798" s="18"/>
    </row>
    <row r="799" spans="1:52" x14ac:dyDescent="0.25">
      <c r="A799" s="80"/>
      <c r="B799" s="80"/>
      <c r="C799" s="113"/>
      <c r="D799" s="80"/>
      <c r="E799" s="80"/>
      <c r="F799" s="80"/>
      <c r="G799" s="80"/>
      <c r="H799" s="80"/>
      <c r="I799" s="80"/>
      <c r="J799" s="80"/>
      <c r="K799" s="87"/>
      <c r="L799" s="80"/>
      <c r="M799" s="80"/>
      <c r="N799" s="80"/>
      <c r="O799" s="80"/>
      <c r="P799" s="80"/>
      <c r="Q799" s="80"/>
      <c r="R799" s="80"/>
      <c r="S799" s="80"/>
      <c r="T799" s="80"/>
      <c r="U799" s="80"/>
      <c r="V799" s="24"/>
      <c r="W799" s="24"/>
      <c r="X799" s="80"/>
      <c r="Y799" s="80"/>
      <c r="Z799" s="80"/>
      <c r="AA799" s="80"/>
      <c r="AB799" s="91"/>
      <c r="AC799" s="80"/>
      <c r="AD799" s="24"/>
      <c r="AE799" s="24"/>
      <c r="AF799" s="24"/>
      <c r="AG799" s="24"/>
      <c r="AH799" s="24"/>
      <c r="AI799" s="24"/>
      <c r="AJ799" s="24"/>
      <c r="AK799" s="24"/>
      <c r="AL799" s="24"/>
      <c r="AM799" s="24"/>
      <c r="AN799" s="24"/>
      <c r="AO799" s="24"/>
      <c r="AP799" s="24"/>
      <c r="AQ799" s="24"/>
      <c r="AR799" s="24"/>
      <c r="AS799" s="18"/>
      <c r="AT799" s="18"/>
      <c r="AU799" s="18"/>
      <c r="AV799" s="18"/>
      <c r="AW799" s="18"/>
      <c r="AX799" s="18"/>
      <c r="AY799" s="18"/>
      <c r="AZ799" s="18"/>
    </row>
    <row r="800" spans="1:52" x14ac:dyDescent="0.25">
      <c r="A800" s="80"/>
      <c r="B800" s="80"/>
      <c r="C800" s="113"/>
      <c r="D800" s="80"/>
      <c r="E800" s="80"/>
      <c r="F800" s="80"/>
      <c r="G800" s="80"/>
      <c r="H800" s="80"/>
      <c r="I800" s="80"/>
      <c r="J800" s="80"/>
      <c r="K800" s="87"/>
      <c r="L800" s="80"/>
      <c r="M800" s="80"/>
      <c r="N800" s="80"/>
      <c r="O800" s="80"/>
      <c r="P800" s="80"/>
      <c r="Q800" s="80"/>
      <c r="R800" s="80"/>
      <c r="S800" s="80"/>
      <c r="T800" s="80"/>
      <c r="U800" s="80"/>
      <c r="V800" s="24"/>
      <c r="W800" s="24"/>
      <c r="X800" s="80"/>
      <c r="Y800" s="80"/>
      <c r="Z800" s="80"/>
      <c r="AA800" s="80"/>
      <c r="AB800" s="91"/>
      <c r="AC800" s="80"/>
      <c r="AD800" s="24"/>
      <c r="AE800" s="24"/>
      <c r="AF800" s="24"/>
      <c r="AG800" s="24"/>
      <c r="AH800" s="24"/>
      <c r="AI800" s="24"/>
      <c r="AJ800" s="24"/>
      <c r="AK800" s="24"/>
      <c r="AL800" s="24"/>
      <c r="AM800" s="24"/>
      <c r="AN800" s="24"/>
      <c r="AO800" s="24"/>
      <c r="AP800" s="24"/>
      <c r="AQ800" s="24"/>
      <c r="AR800" s="24"/>
      <c r="AS800" s="18"/>
      <c r="AT800" s="18"/>
      <c r="AU800" s="18"/>
      <c r="AV800" s="18"/>
      <c r="AW800" s="18"/>
      <c r="AX800" s="18"/>
      <c r="AY800" s="18"/>
      <c r="AZ800" s="18"/>
    </row>
  </sheetData>
  <sheetProtection selectLockedCells="1" pivotTables="0"/>
  <autoFilter ref="A2:AR109">
    <sortState ref="A3:AR59">
      <sortCondition ref="R2:R59"/>
    </sortState>
  </autoFilter>
  <mergeCells count="6">
    <mergeCell ref="AE1:AQ1"/>
    <mergeCell ref="A1:L1"/>
    <mergeCell ref="R1:V1"/>
    <mergeCell ref="M1:O1"/>
    <mergeCell ref="P1:Q1"/>
    <mergeCell ref="W1:AB1"/>
  </mergeCells>
  <dataValidations count="9">
    <dataValidation type="list" allowBlank="1" showInputMessage="1" showErrorMessage="1" sqref="I3:I496">
      <formula1>involvegroup</formula1>
    </dataValidation>
    <dataValidation type="list" allowBlank="1" showInputMessage="1" showErrorMessage="1" sqref="L3:L496">
      <formula1>cmrstat</formula1>
    </dataValidation>
    <dataValidation type="list" allowBlank="1" showInputMessage="1" showErrorMessage="1" sqref="P3:P496 M3:N496">
      <formula1>fsrstat</formula1>
    </dataValidation>
    <dataValidation type="list" allowBlank="1" showInputMessage="1" showErrorMessage="1" sqref="R3:R496 S35:T496 T33:T34">
      <formula1>concat</formula1>
    </dataValidation>
    <dataValidation type="list" allowBlank="1" showInputMessage="1" showErrorMessage="1" sqref="U3:U496">
      <formula1>RepairWorks</formula1>
    </dataValidation>
    <dataValidation type="list" allowBlank="1" showInputMessage="1" showErrorMessage="1" sqref="Z3:Z496">
      <formula1>wostat</formula1>
    </dataValidation>
    <dataValidation type="list" allowBlank="1" showInputMessage="1" showErrorMessage="1" sqref="A3:A496">
      <formula1>area</formula1>
    </dataValidation>
    <dataValidation type="list" allowBlank="1" showInputMessage="1" showErrorMessage="1" sqref="E3:E496">
      <formula1>sitecat</formula1>
    </dataValidation>
    <dataValidation type="list" allowBlank="1" showInputMessage="1" showErrorMessage="1" sqref="F3:F496">
      <formula1>cmrsource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_xludf.consolidate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2</xdr:col>
                    <xdr:colOff>238125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M46"/>
  <sheetViews>
    <sheetView workbookViewId="0"/>
  </sheetViews>
  <sheetFormatPr defaultRowHeight="15" x14ac:dyDescent="0.25"/>
  <cols>
    <col min="1" max="1" width="9.140625" style="18"/>
    <col min="2" max="2" width="9.28515625" style="18" customWidth="1"/>
    <col min="3" max="3" width="42.28515625" style="18" bestFit="1" customWidth="1"/>
    <col min="4" max="4" width="8.140625" style="18" bestFit="1" customWidth="1"/>
    <col min="5" max="5" width="54.140625" style="18" customWidth="1"/>
    <col min="6" max="6" width="14.85546875" style="18" customWidth="1"/>
    <col min="7" max="7" width="9.140625" style="18"/>
    <col min="8" max="8" width="24.28515625" style="18" customWidth="1"/>
    <col min="9" max="9" width="27.5703125" style="18" customWidth="1"/>
    <col min="10" max="10" width="27.85546875" style="18" customWidth="1"/>
    <col min="11" max="11" width="19.85546875" style="18" customWidth="1"/>
    <col min="12" max="12" width="31.28515625" style="18" customWidth="1"/>
    <col min="13" max="13" width="29.140625" style="18" customWidth="1"/>
    <col min="14" max="16384" width="9.140625" style="18"/>
  </cols>
  <sheetData>
    <row r="1" spans="2:13" ht="15.75" thickBot="1" x14ac:dyDescent="0.3"/>
    <row r="2" spans="2:13" x14ac:dyDescent="0.25">
      <c r="B2" s="26" t="s">
        <v>32</v>
      </c>
      <c r="C2" s="26" t="s">
        <v>33</v>
      </c>
      <c r="D2" s="27" t="s">
        <v>34</v>
      </c>
      <c r="E2" s="27" t="s">
        <v>35</v>
      </c>
      <c r="F2" s="27" t="s">
        <v>71</v>
      </c>
      <c r="H2" s="151" t="s">
        <v>81</v>
      </c>
      <c r="I2" s="153" t="s">
        <v>82</v>
      </c>
      <c r="J2" s="154"/>
      <c r="K2" s="154"/>
      <c r="L2" s="154"/>
      <c r="M2" s="155"/>
    </row>
    <row r="3" spans="2:13" x14ac:dyDescent="0.25">
      <c r="B3" s="28">
        <v>1</v>
      </c>
      <c r="C3" s="28" t="s">
        <v>36</v>
      </c>
      <c r="D3" s="29">
        <v>20</v>
      </c>
      <c r="E3" s="30" t="s">
        <v>37</v>
      </c>
      <c r="F3" s="30" t="s">
        <v>72</v>
      </c>
      <c r="H3" s="152"/>
      <c r="I3" s="31" t="s">
        <v>83</v>
      </c>
      <c r="J3" s="32" t="s">
        <v>84</v>
      </c>
      <c r="K3" s="32" t="s">
        <v>85</v>
      </c>
      <c r="L3" s="32" t="s">
        <v>86</v>
      </c>
      <c r="M3" s="33" t="s">
        <v>87</v>
      </c>
    </row>
    <row r="4" spans="2:13" ht="18" customHeight="1" x14ac:dyDescent="0.25">
      <c r="B4" s="28">
        <v>2</v>
      </c>
      <c r="C4" s="28" t="s">
        <v>38</v>
      </c>
      <c r="D4" s="29">
        <v>10</v>
      </c>
      <c r="E4" s="30" t="s">
        <v>37</v>
      </c>
      <c r="F4" s="30" t="s">
        <v>72</v>
      </c>
      <c r="H4" s="34" t="s">
        <v>31</v>
      </c>
      <c r="I4" s="35" t="s">
        <v>88</v>
      </c>
      <c r="J4" s="36" t="s">
        <v>89</v>
      </c>
      <c r="K4" s="36" t="s">
        <v>90</v>
      </c>
      <c r="L4" s="36" t="s">
        <v>91</v>
      </c>
      <c r="M4" s="37"/>
    </row>
    <row r="5" spans="2:13" ht="15.75" customHeight="1" x14ac:dyDescent="0.25">
      <c r="B5" s="28">
        <v>3</v>
      </c>
      <c r="C5" s="28" t="s">
        <v>39</v>
      </c>
      <c r="D5" s="29">
        <v>12</v>
      </c>
      <c r="E5" s="30" t="s">
        <v>40</v>
      </c>
      <c r="F5" s="30" t="s">
        <v>72</v>
      </c>
      <c r="H5" s="34" t="s">
        <v>30</v>
      </c>
      <c r="I5" s="35" t="s">
        <v>88</v>
      </c>
      <c r="J5" s="36" t="s">
        <v>89</v>
      </c>
      <c r="K5" s="36" t="s">
        <v>90</v>
      </c>
      <c r="L5" s="36" t="s">
        <v>92</v>
      </c>
      <c r="M5" s="37"/>
    </row>
    <row r="6" spans="2:13" ht="26.25" x14ac:dyDescent="0.25">
      <c r="B6" s="28">
        <v>4</v>
      </c>
      <c r="C6" s="28" t="s">
        <v>41</v>
      </c>
      <c r="D6" s="29">
        <v>7</v>
      </c>
      <c r="E6" s="30" t="s">
        <v>40</v>
      </c>
      <c r="F6" s="30" t="s">
        <v>72</v>
      </c>
      <c r="H6" s="38" t="s">
        <v>27</v>
      </c>
      <c r="I6" s="39" t="s">
        <v>93</v>
      </c>
      <c r="J6" s="40" t="s">
        <v>94</v>
      </c>
      <c r="K6" s="40"/>
      <c r="L6" s="40"/>
      <c r="M6" s="41"/>
    </row>
    <row r="7" spans="2:13" ht="12.75" customHeight="1" x14ac:dyDescent="0.25">
      <c r="B7" s="28">
        <v>5</v>
      </c>
      <c r="C7" s="28" t="s">
        <v>42</v>
      </c>
      <c r="D7" s="29">
        <v>1</v>
      </c>
      <c r="E7" s="30" t="s">
        <v>40</v>
      </c>
      <c r="F7" s="30" t="s">
        <v>72</v>
      </c>
      <c r="H7" s="38" t="s">
        <v>29</v>
      </c>
      <c r="I7" s="39" t="s">
        <v>93</v>
      </c>
      <c r="J7" s="40" t="s">
        <v>95</v>
      </c>
      <c r="K7" s="40" t="s">
        <v>96</v>
      </c>
      <c r="L7" s="40" t="s">
        <v>97</v>
      </c>
      <c r="M7" s="41" t="s">
        <v>98</v>
      </c>
    </row>
    <row r="8" spans="2:13" ht="14.25" customHeight="1" x14ac:dyDescent="0.25">
      <c r="B8" s="28">
        <v>6</v>
      </c>
      <c r="C8" s="28" t="s">
        <v>43</v>
      </c>
      <c r="D8" s="29">
        <v>2</v>
      </c>
      <c r="E8" s="30" t="s">
        <v>40</v>
      </c>
      <c r="F8" s="30" t="s">
        <v>72</v>
      </c>
      <c r="H8" s="38" t="s">
        <v>28</v>
      </c>
      <c r="I8" s="39" t="s">
        <v>93</v>
      </c>
      <c r="J8" s="40" t="s">
        <v>99</v>
      </c>
      <c r="K8" s="40" t="s">
        <v>96</v>
      </c>
      <c r="L8" s="40" t="s">
        <v>100</v>
      </c>
      <c r="M8" s="41" t="s">
        <v>98</v>
      </c>
    </row>
    <row r="9" spans="2:13" ht="15.75" thickBot="1" x14ac:dyDescent="0.3">
      <c r="B9" s="28">
        <v>7</v>
      </c>
      <c r="C9" s="28" t="s">
        <v>44</v>
      </c>
      <c r="D9" s="29">
        <v>2</v>
      </c>
      <c r="E9" s="30" t="s">
        <v>40</v>
      </c>
      <c r="F9" s="30" t="s">
        <v>72</v>
      </c>
      <c r="H9" s="42" t="s">
        <v>101</v>
      </c>
      <c r="I9" s="43" t="s">
        <v>93</v>
      </c>
      <c r="J9" s="44" t="s">
        <v>102</v>
      </c>
      <c r="K9" s="44"/>
      <c r="L9" s="44"/>
      <c r="M9" s="45"/>
    </row>
    <row r="10" spans="2:13" x14ac:dyDescent="0.25">
      <c r="B10" s="28">
        <v>8</v>
      </c>
      <c r="C10" s="28" t="s">
        <v>45</v>
      </c>
      <c r="D10" s="29">
        <v>1</v>
      </c>
      <c r="E10" s="30" t="s">
        <v>40</v>
      </c>
      <c r="F10" s="30" t="s">
        <v>72</v>
      </c>
    </row>
    <row r="11" spans="2:13" x14ac:dyDescent="0.25">
      <c r="B11" s="28">
        <v>9</v>
      </c>
      <c r="C11" s="28" t="s">
        <v>46</v>
      </c>
      <c r="D11" s="29">
        <v>2</v>
      </c>
      <c r="E11" s="30" t="s">
        <v>40</v>
      </c>
      <c r="F11" s="30" t="s">
        <v>72</v>
      </c>
      <c r="H11" s="46" t="s">
        <v>116</v>
      </c>
      <c r="I11" s="46" t="s">
        <v>117</v>
      </c>
      <c r="J11" s="46" t="s">
        <v>118</v>
      </c>
    </row>
    <row r="12" spans="2:13" x14ac:dyDescent="0.25">
      <c r="B12" s="28">
        <v>10</v>
      </c>
      <c r="C12" s="28" t="s">
        <v>47</v>
      </c>
      <c r="D12" s="29">
        <v>1</v>
      </c>
      <c r="E12" s="30" t="s">
        <v>40</v>
      </c>
      <c r="F12" s="30" t="s">
        <v>72</v>
      </c>
      <c r="H12" s="18" t="s">
        <v>103</v>
      </c>
      <c r="I12" s="18" t="s">
        <v>107</v>
      </c>
      <c r="J12" s="18" t="s">
        <v>105</v>
      </c>
    </row>
    <row r="13" spans="2:13" x14ac:dyDescent="0.25">
      <c r="B13" s="28">
        <v>11</v>
      </c>
      <c r="C13" s="28" t="s">
        <v>48</v>
      </c>
      <c r="D13" s="29">
        <v>1</v>
      </c>
      <c r="E13" s="30" t="s">
        <v>40</v>
      </c>
      <c r="F13" s="30" t="s">
        <v>72</v>
      </c>
      <c r="H13" s="18" t="s">
        <v>104</v>
      </c>
      <c r="I13" s="18" t="s">
        <v>108</v>
      </c>
      <c r="J13" s="18" t="s">
        <v>106</v>
      </c>
    </row>
    <row r="14" spans="2:13" x14ac:dyDescent="0.25">
      <c r="B14" s="28">
        <v>12</v>
      </c>
      <c r="C14" s="28" t="s">
        <v>49</v>
      </c>
      <c r="D14" s="29">
        <v>1</v>
      </c>
      <c r="E14" s="30" t="s">
        <v>40</v>
      </c>
      <c r="F14" s="30" t="s">
        <v>72</v>
      </c>
      <c r="I14" s="18" t="s">
        <v>109</v>
      </c>
    </row>
    <row r="15" spans="2:13" x14ac:dyDescent="0.25">
      <c r="B15" s="28">
        <v>13</v>
      </c>
      <c r="C15" s="28" t="s">
        <v>50</v>
      </c>
      <c r="D15" s="29">
        <v>1</v>
      </c>
      <c r="E15" s="30" t="s">
        <v>40</v>
      </c>
      <c r="F15" s="30" t="s">
        <v>72</v>
      </c>
    </row>
    <row r="16" spans="2:13" x14ac:dyDescent="0.25">
      <c r="B16" s="28">
        <v>14</v>
      </c>
      <c r="C16" s="28" t="s">
        <v>51</v>
      </c>
      <c r="D16" s="29">
        <v>1</v>
      </c>
      <c r="E16" s="30" t="s">
        <v>40</v>
      </c>
      <c r="F16" s="30" t="s">
        <v>72</v>
      </c>
      <c r="H16" s="46" t="s">
        <v>119</v>
      </c>
      <c r="I16" s="46" t="s">
        <v>120</v>
      </c>
      <c r="J16" s="46" t="s">
        <v>142</v>
      </c>
    </row>
    <row r="17" spans="2:10" x14ac:dyDescent="0.25">
      <c r="B17" s="28">
        <v>15</v>
      </c>
      <c r="C17" s="28" t="s">
        <v>52</v>
      </c>
      <c r="D17" s="29">
        <v>3</v>
      </c>
      <c r="E17" s="30" t="s">
        <v>40</v>
      </c>
      <c r="F17" s="30" t="s">
        <v>72</v>
      </c>
      <c r="H17" s="18" t="s">
        <v>110</v>
      </c>
      <c r="I17" s="18" t="s">
        <v>113</v>
      </c>
      <c r="J17" s="77" t="s">
        <v>140</v>
      </c>
    </row>
    <row r="18" spans="2:10" x14ac:dyDescent="0.25">
      <c r="B18" s="28">
        <v>16</v>
      </c>
      <c r="C18" s="28" t="s">
        <v>53</v>
      </c>
      <c r="D18" s="29">
        <v>2</v>
      </c>
      <c r="E18" s="30" t="s">
        <v>40</v>
      </c>
      <c r="F18" s="30" t="s">
        <v>72</v>
      </c>
      <c r="H18" s="18" t="s">
        <v>111</v>
      </c>
      <c r="I18" s="18" t="s">
        <v>114</v>
      </c>
      <c r="J18" s="77" t="s">
        <v>141</v>
      </c>
    </row>
    <row r="19" spans="2:10" x14ac:dyDescent="0.25">
      <c r="B19" s="28">
        <v>17</v>
      </c>
      <c r="C19" s="28" t="s">
        <v>54</v>
      </c>
      <c r="D19" s="29">
        <v>1</v>
      </c>
      <c r="E19" s="30" t="s">
        <v>40</v>
      </c>
      <c r="F19" s="30" t="s">
        <v>72</v>
      </c>
      <c r="H19" s="18" t="s">
        <v>112</v>
      </c>
      <c r="I19" s="18" t="s">
        <v>115</v>
      </c>
      <c r="J19" s="77" t="s">
        <v>144</v>
      </c>
    </row>
    <row r="20" spans="2:10" x14ac:dyDescent="0.25">
      <c r="B20" s="28">
        <v>18</v>
      </c>
      <c r="C20" s="28" t="s">
        <v>55</v>
      </c>
      <c r="D20" s="29">
        <v>4</v>
      </c>
      <c r="E20" s="30" t="s">
        <v>40</v>
      </c>
      <c r="F20" s="30" t="s">
        <v>72</v>
      </c>
      <c r="J20" s="77" t="s">
        <v>143</v>
      </c>
    </row>
    <row r="21" spans="2:10" x14ac:dyDescent="0.25">
      <c r="B21" s="28">
        <v>19</v>
      </c>
      <c r="C21" s="28" t="s">
        <v>56</v>
      </c>
      <c r="D21" s="29">
        <v>1</v>
      </c>
      <c r="E21" s="30" t="s">
        <v>40</v>
      </c>
      <c r="F21" s="30" t="s">
        <v>72</v>
      </c>
      <c r="H21" s="46" t="s">
        <v>136</v>
      </c>
      <c r="I21" s="46" t="s">
        <v>145</v>
      </c>
    </row>
    <row r="22" spans="2:10" x14ac:dyDescent="0.25">
      <c r="B22" s="28">
        <v>20</v>
      </c>
      <c r="C22" s="28" t="s">
        <v>57</v>
      </c>
      <c r="D22" s="29">
        <v>1</v>
      </c>
      <c r="E22" s="30" t="s">
        <v>40</v>
      </c>
      <c r="F22" s="30" t="s">
        <v>72</v>
      </c>
      <c r="H22" s="18" t="s">
        <v>137</v>
      </c>
      <c r="I22" s="18" t="s">
        <v>148</v>
      </c>
    </row>
    <row r="23" spans="2:10" x14ac:dyDescent="0.25">
      <c r="B23" s="28">
        <v>21</v>
      </c>
      <c r="C23" s="28" t="s">
        <v>58</v>
      </c>
      <c r="D23" s="29">
        <v>1</v>
      </c>
      <c r="E23" s="30" t="s">
        <v>40</v>
      </c>
      <c r="F23" s="30" t="s">
        <v>72</v>
      </c>
      <c r="H23" s="18" t="s">
        <v>138</v>
      </c>
      <c r="I23" s="18" t="s">
        <v>146</v>
      </c>
    </row>
    <row r="24" spans="2:10" x14ac:dyDescent="0.25">
      <c r="B24" s="28">
        <v>22</v>
      </c>
      <c r="C24" s="28" t="s">
        <v>59</v>
      </c>
      <c r="D24" s="29">
        <v>1</v>
      </c>
      <c r="E24" s="30" t="s">
        <v>40</v>
      </c>
      <c r="F24" s="30" t="s">
        <v>72</v>
      </c>
      <c r="H24" s="18" t="s">
        <v>139</v>
      </c>
    </row>
    <row r="25" spans="2:10" x14ac:dyDescent="0.25">
      <c r="B25" s="28">
        <v>23</v>
      </c>
      <c r="C25" s="28" t="s">
        <v>60</v>
      </c>
      <c r="D25" s="29">
        <v>1</v>
      </c>
      <c r="E25" s="30" t="s">
        <v>40</v>
      </c>
      <c r="F25" s="30" t="s">
        <v>72</v>
      </c>
    </row>
    <row r="26" spans="2:10" x14ac:dyDescent="0.25">
      <c r="B26" s="28">
        <v>24</v>
      </c>
      <c r="C26" s="28" t="s">
        <v>61</v>
      </c>
      <c r="D26" s="29">
        <v>3</v>
      </c>
      <c r="E26" s="30" t="s">
        <v>40</v>
      </c>
      <c r="F26" s="30" t="s">
        <v>73</v>
      </c>
    </row>
    <row r="27" spans="2:10" x14ac:dyDescent="0.25">
      <c r="B27" s="28">
        <v>25</v>
      </c>
      <c r="C27" s="28" t="s">
        <v>62</v>
      </c>
      <c r="D27" s="29">
        <v>2</v>
      </c>
      <c r="E27" s="30" t="s">
        <v>40</v>
      </c>
      <c r="F27" s="30" t="s">
        <v>73</v>
      </c>
    </row>
    <row r="28" spans="2:10" x14ac:dyDescent="0.25">
      <c r="B28" s="28">
        <v>26</v>
      </c>
      <c r="C28" s="28" t="s">
        <v>63</v>
      </c>
      <c r="D28" s="29">
        <v>7</v>
      </c>
      <c r="E28" s="30" t="s">
        <v>40</v>
      </c>
      <c r="F28" s="30" t="s">
        <v>73</v>
      </c>
    </row>
    <row r="29" spans="2:10" x14ac:dyDescent="0.25">
      <c r="B29" s="28">
        <v>27</v>
      </c>
      <c r="C29" s="28" t="s">
        <v>64</v>
      </c>
      <c r="D29" s="29">
        <v>7</v>
      </c>
      <c r="E29" s="30" t="s">
        <v>40</v>
      </c>
      <c r="F29" s="30" t="s">
        <v>73</v>
      </c>
    </row>
    <row r="30" spans="2:10" x14ac:dyDescent="0.25">
      <c r="B30" s="28">
        <v>28</v>
      </c>
      <c r="C30" s="28" t="s">
        <v>65</v>
      </c>
      <c r="D30" s="29">
        <v>1</v>
      </c>
      <c r="E30" s="30" t="s">
        <v>40</v>
      </c>
      <c r="F30" s="30" t="s">
        <v>73</v>
      </c>
    </row>
    <row r="31" spans="2:10" x14ac:dyDescent="0.25">
      <c r="B31" s="28">
        <v>29</v>
      </c>
      <c r="C31" s="28" t="s">
        <v>66</v>
      </c>
      <c r="D31" s="29">
        <v>3</v>
      </c>
      <c r="E31" s="30" t="s">
        <v>40</v>
      </c>
      <c r="F31" s="30" t="s">
        <v>72</v>
      </c>
    </row>
    <row r="32" spans="2:10" x14ac:dyDescent="0.25">
      <c r="B32" s="28">
        <v>30</v>
      </c>
      <c r="C32" s="28" t="s">
        <v>67</v>
      </c>
      <c r="D32" s="29">
        <v>1</v>
      </c>
      <c r="E32" s="30" t="s">
        <v>68</v>
      </c>
      <c r="F32" s="30" t="s">
        <v>72</v>
      </c>
    </row>
    <row r="33" spans="2:6" x14ac:dyDescent="0.25">
      <c r="B33" s="28">
        <v>31</v>
      </c>
      <c r="C33" s="28" t="s">
        <v>69</v>
      </c>
      <c r="D33" s="29">
        <v>1</v>
      </c>
      <c r="E33" s="30"/>
      <c r="F33" s="30" t="s">
        <v>72</v>
      </c>
    </row>
    <row r="34" spans="2:6" x14ac:dyDescent="0.25">
      <c r="B34" s="28">
        <v>32</v>
      </c>
      <c r="C34" s="28" t="s">
        <v>74</v>
      </c>
      <c r="D34" s="29">
        <v>1</v>
      </c>
      <c r="E34" s="30"/>
      <c r="F34" s="30" t="s">
        <v>73</v>
      </c>
    </row>
    <row r="35" spans="2:6" x14ac:dyDescent="0.25">
      <c r="B35" s="28">
        <v>33</v>
      </c>
      <c r="C35" s="28" t="s">
        <v>75</v>
      </c>
      <c r="D35" s="29">
        <v>1</v>
      </c>
      <c r="E35" s="30"/>
      <c r="F35" s="30" t="s">
        <v>73</v>
      </c>
    </row>
    <row r="36" spans="2:6" x14ac:dyDescent="0.25">
      <c r="B36" s="28">
        <v>34</v>
      </c>
      <c r="C36" s="28" t="s">
        <v>76</v>
      </c>
      <c r="D36" s="29">
        <v>1</v>
      </c>
      <c r="E36" s="30"/>
      <c r="F36" s="30" t="s">
        <v>73</v>
      </c>
    </row>
    <row r="37" spans="2:6" x14ac:dyDescent="0.25">
      <c r="B37" s="28">
        <v>35</v>
      </c>
      <c r="C37" s="28" t="s">
        <v>77</v>
      </c>
      <c r="D37" s="29">
        <v>1</v>
      </c>
      <c r="E37" s="30"/>
      <c r="F37" s="30" t="s">
        <v>73</v>
      </c>
    </row>
    <row r="38" spans="2:6" x14ac:dyDescent="0.25">
      <c r="B38" s="28">
        <v>36</v>
      </c>
      <c r="C38" s="28" t="s">
        <v>78</v>
      </c>
      <c r="D38" s="29">
        <v>1</v>
      </c>
      <c r="E38" s="30"/>
      <c r="F38" s="30" t="s">
        <v>73</v>
      </c>
    </row>
    <row r="39" spans="2:6" x14ac:dyDescent="0.25">
      <c r="B39" s="28">
        <v>37</v>
      </c>
      <c r="C39" s="28" t="s">
        <v>79</v>
      </c>
      <c r="D39" s="29">
        <v>1</v>
      </c>
      <c r="E39" s="30"/>
      <c r="F39" s="30" t="s">
        <v>73</v>
      </c>
    </row>
    <row r="40" spans="2:6" x14ac:dyDescent="0.25">
      <c r="B40" s="28">
        <v>38</v>
      </c>
      <c r="C40" s="28" t="s">
        <v>80</v>
      </c>
      <c r="D40" s="29">
        <v>1</v>
      </c>
      <c r="E40" s="30"/>
      <c r="F40" s="30" t="s">
        <v>73</v>
      </c>
    </row>
    <row r="41" spans="2:6" x14ac:dyDescent="0.25">
      <c r="B41" s="28">
        <v>39</v>
      </c>
      <c r="C41" s="28" t="s">
        <v>130</v>
      </c>
      <c r="D41" s="29">
        <v>1</v>
      </c>
      <c r="E41" s="30"/>
      <c r="F41" s="30" t="s">
        <v>73</v>
      </c>
    </row>
    <row r="42" spans="2:6" x14ac:dyDescent="0.25">
      <c r="B42" s="28">
        <v>40</v>
      </c>
      <c r="C42" s="28"/>
      <c r="D42" s="47"/>
      <c r="E42" s="30"/>
      <c r="F42" s="30"/>
    </row>
    <row r="43" spans="2:6" x14ac:dyDescent="0.25">
      <c r="B43" s="28">
        <v>41</v>
      </c>
      <c r="C43" s="28"/>
      <c r="D43" s="47"/>
      <c r="E43" s="30"/>
      <c r="F43" s="30"/>
    </row>
    <row r="44" spans="2:6" x14ac:dyDescent="0.25">
      <c r="B44" s="28">
        <v>42</v>
      </c>
      <c r="C44" s="28"/>
      <c r="D44" s="47"/>
      <c r="E44" s="30"/>
      <c r="F44" s="30"/>
    </row>
    <row r="45" spans="2:6" x14ac:dyDescent="0.25">
      <c r="B45" s="48"/>
      <c r="C45" s="48"/>
      <c r="D45" s="30"/>
      <c r="E45" s="30"/>
      <c r="F45" s="30"/>
    </row>
    <row r="46" spans="2:6" ht="24.75" customHeight="1" x14ac:dyDescent="0.25">
      <c r="B46" s="28"/>
      <c r="C46" s="49" t="s">
        <v>70</v>
      </c>
      <c r="D46" s="49"/>
      <c r="E46" s="30"/>
      <c r="F46" s="30"/>
    </row>
  </sheetData>
  <sheetProtection algorithmName="SHA-512" hashValue="NjZidU+pmo8G8c4R1juJieUlJQMRr0v8TZI0wT7yrMDQcRctyHYSdJRNVn7PEFlpl7UkxzKMpVmSHRuW3Ifp3g==" saltValue="KnerlyKwmaj4W0wBobqAQQ==" spinCount="100000" sheet="1" objects="1" scenarios="1" selectLockedCells="1"/>
  <mergeCells count="2">
    <mergeCell ref="H2:H3"/>
    <mergeCell ref="I2:M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U496"/>
  <sheetViews>
    <sheetView zoomScale="70" zoomScaleNormal="70" workbookViewId="0">
      <pane xSplit="3" ySplit="2" topLeftCell="D3" activePane="bottomRight" state="frozen"/>
      <selection activeCell="E10" sqref="E10"/>
      <selection pane="topRight" activeCell="E10" sqref="E10"/>
      <selection pane="bottomLeft" activeCell="E10" sqref="E10"/>
      <selection pane="bottomRight" activeCell="E10" sqref="E10"/>
    </sheetView>
  </sheetViews>
  <sheetFormatPr defaultRowHeight="15" x14ac:dyDescent="0.25"/>
  <cols>
    <col min="2" max="2" width="15.7109375" bestFit="1" customWidth="1"/>
    <col min="3" max="3" width="43" bestFit="1" customWidth="1"/>
    <col min="4" max="4" width="23.42578125" customWidth="1"/>
    <col min="5" max="5" width="16.5703125" customWidth="1"/>
    <col min="6" max="6" width="43" customWidth="1"/>
    <col min="7" max="7" width="79.7109375" customWidth="1"/>
    <col min="8" max="8" width="20.140625" customWidth="1"/>
    <col min="9" max="9" width="15.7109375" customWidth="1"/>
    <col min="10" max="10" width="41.85546875" customWidth="1"/>
    <col min="11" max="11" width="11.140625" customWidth="1"/>
    <col min="12" max="12" width="24.28515625" customWidth="1"/>
    <col min="13" max="13" width="12.7109375" customWidth="1"/>
    <col min="14" max="14" width="23.85546875" customWidth="1"/>
    <col min="15" max="15" width="12.85546875" customWidth="1"/>
    <col min="16" max="16" width="18.7109375" customWidth="1"/>
    <col min="17" max="17" width="35" customWidth="1"/>
    <col min="18" max="18" width="16.85546875" style="81" customWidth="1"/>
    <col min="19" max="19" width="15" style="81" customWidth="1"/>
    <col min="20" max="20" width="13.28515625" customWidth="1"/>
    <col min="21" max="21" width="12" customWidth="1"/>
    <col min="22" max="22" width="25" customWidth="1"/>
    <col min="23" max="23" width="23.42578125" customWidth="1"/>
    <col min="24" max="24" width="39.5703125" customWidth="1"/>
    <col min="25" max="25" width="15.28515625" customWidth="1"/>
    <col min="26" max="26" width="35.85546875" style="81" customWidth="1"/>
    <col min="27" max="27" width="13.85546875" style="81" hidden="1" customWidth="1"/>
    <col min="28" max="28" width="13.85546875" style="81" customWidth="1"/>
    <col min="29" max="29" width="19.5703125" style="81" customWidth="1"/>
    <col min="30" max="31" width="17" style="81" hidden="1" customWidth="1"/>
    <col min="32" max="32" width="17" style="81" customWidth="1"/>
    <col min="33" max="33" width="16.7109375" style="81" bestFit="1" customWidth="1"/>
    <col min="34" max="35" width="9.140625" style="81" hidden="1" customWidth="1"/>
    <col min="36" max="36" width="19" style="81" customWidth="1"/>
    <col min="37" max="37" width="16.7109375" style="81" bestFit="1" customWidth="1"/>
    <col min="38" max="38" width="19.7109375" style="81" customWidth="1"/>
    <col min="40" max="40" width="15.7109375" hidden="1" customWidth="1"/>
    <col min="41" max="41" width="14.28515625" hidden="1" customWidth="1"/>
    <col min="42" max="42" width="12.42578125" hidden="1" customWidth="1"/>
    <col min="43" max="43" width="12.5703125" hidden="1" customWidth="1"/>
    <col min="44" max="44" width="12.42578125" hidden="1" customWidth="1"/>
    <col min="45" max="45" width="19.140625" hidden="1" customWidth="1"/>
  </cols>
  <sheetData>
    <row r="1" spans="1:47" s="1" customFormat="1" ht="32.25" customHeight="1" thickBot="1" x14ac:dyDescent="0.3">
      <c r="A1" s="156"/>
      <c r="B1" s="156"/>
      <c r="C1" s="156"/>
      <c r="D1" s="156"/>
      <c r="E1" s="156"/>
      <c r="F1" s="156"/>
      <c r="G1" s="156"/>
      <c r="H1" s="156"/>
      <c r="I1" s="156"/>
      <c r="J1" s="156"/>
      <c r="K1" s="157"/>
      <c r="L1" s="161" t="s">
        <v>7</v>
      </c>
      <c r="M1" s="162"/>
      <c r="N1" s="163" t="s">
        <v>8</v>
      </c>
      <c r="O1" s="164"/>
      <c r="P1" s="158" t="s">
        <v>129</v>
      </c>
      <c r="Q1" s="159"/>
      <c r="R1" s="160"/>
      <c r="S1" s="165" t="s">
        <v>11</v>
      </c>
      <c r="T1" s="166"/>
      <c r="U1" s="166"/>
      <c r="V1" s="166"/>
      <c r="W1" s="166"/>
      <c r="X1" s="167"/>
      <c r="Y1" s="60"/>
      <c r="Z1" s="61"/>
      <c r="AA1" s="135" t="s">
        <v>14</v>
      </c>
      <c r="AB1" s="136"/>
      <c r="AC1" s="136"/>
      <c r="AD1" s="136"/>
      <c r="AE1" s="136"/>
      <c r="AF1" s="136"/>
      <c r="AG1" s="136"/>
      <c r="AH1" s="136"/>
      <c r="AI1" s="136"/>
      <c r="AJ1" s="136"/>
      <c r="AK1" s="137"/>
      <c r="AL1" s="62"/>
    </row>
    <row r="2" spans="1:47" s="54" customFormat="1" ht="54" customHeight="1" thickBot="1" x14ac:dyDescent="0.3">
      <c r="A2" s="2" t="s">
        <v>134</v>
      </c>
      <c r="B2" s="2" t="s">
        <v>0</v>
      </c>
      <c r="C2" s="2" t="s">
        <v>1</v>
      </c>
      <c r="D2" s="2" t="s">
        <v>135</v>
      </c>
      <c r="E2" s="2" t="s">
        <v>132</v>
      </c>
      <c r="F2" s="2" t="s">
        <v>133</v>
      </c>
      <c r="G2" s="6" t="s">
        <v>2</v>
      </c>
      <c r="H2" s="6" t="s">
        <v>3</v>
      </c>
      <c r="I2" s="6" t="s">
        <v>4</v>
      </c>
      <c r="J2" s="6" t="s">
        <v>5</v>
      </c>
      <c r="K2" s="6" t="s">
        <v>6</v>
      </c>
      <c r="L2" s="2" t="s">
        <v>6</v>
      </c>
      <c r="M2" s="3" t="s">
        <v>4</v>
      </c>
      <c r="N2" s="4" t="s">
        <v>6</v>
      </c>
      <c r="O2" s="5" t="s">
        <v>4</v>
      </c>
      <c r="P2" s="50" t="s">
        <v>26</v>
      </c>
      <c r="Q2" s="6" t="s">
        <v>9</v>
      </c>
      <c r="R2" s="51" t="s">
        <v>10</v>
      </c>
      <c r="S2" s="6" t="s">
        <v>16</v>
      </c>
      <c r="T2" s="7" t="s">
        <v>17</v>
      </c>
      <c r="U2" s="8" t="s">
        <v>18</v>
      </c>
      <c r="V2" s="7" t="s">
        <v>6</v>
      </c>
      <c r="W2" s="3" t="s">
        <v>19</v>
      </c>
      <c r="X2" s="5" t="s">
        <v>20</v>
      </c>
      <c r="Y2" s="52" t="s">
        <v>12</v>
      </c>
      <c r="Z2" s="53" t="s">
        <v>13</v>
      </c>
      <c r="AA2" s="11" t="s">
        <v>121</v>
      </c>
      <c r="AB2" s="11" t="s">
        <v>21</v>
      </c>
      <c r="AC2" s="11" t="s">
        <v>20</v>
      </c>
      <c r="AD2" s="12" t="s">
        <v>122</v>
      </c>
      <c r="AE2" s="12" t="s">
        <v>123</v>
      </c>
      <c r="AF2" s="12" t="s">
        <v>22</v>
      </c>
      <c r="AG2" s="12" t="s">
        <v>20</v>
      </c>
      <c r="AH2" s="13" t="s">
        <v>23</v>
      </c>
      <c r="AI2" s="14" t="s">
        <v>24</v>
      </c>
      <c r="AJ2" s="13" t="s">
        <v>25</v>
      </c>
      <c r="AK2" s="13" t="s">
        <v>20</v>
      </c>
      <c r="AL2" s="10" t="s">
        <v>15</v>
      </c>
      <c r="AN2" s="55" t="s">
        <v>31</v>
      </c>
      <c r="AO2" s="55" t="s">
        <v>30</v>
      </c>
      <c r="AP2" s="55" t="s">
        <v>27</v>
      </c>
      <c r="AQ2" s="55" t="s">
        <v>29</v>
      </c>
      <c r="AR2" s="55" t="s">
        <v>28</v>
      </c>
      <c r="AS2" s="55" t="s">
        <v>25</v>
      </c>
    </row>
    <row r="3" spans="1:47" x14ac:dyDescent="0.25">
      <c r="A3" s="83"/>
      <c r="B3" s="15"/>
      <c r="C3" s="15"/>
      <c r="D3" s="15"/>
      <c r="E3" s="15"/>
      <c r="F3" s="15"/>
      <c r="G3" s="15"/>
      <c r="H3" s="15"/>
      <c r="I3" s="21"/>
      <c r="J3" s="15"/>
      <c r="K3" s="15"/>
      <c r="L3" s="15"/>
      <c r="M3" s="19"/>
      <c r="N3" s="15"/>
      <c r="O3" s="19"/>
      <c r="P3" s="15"/>
      <c r="Q3" s="15"/>
      <c r="R3" s="17" t="str">
        <f>IF(Q3="","",VLOOKUP(Q3,'References (2)'!C:D,2,0))</f>
        <v/>
      </c>
      <c r="S3" s="17" t="str">
        <f>IF(Q3="","",VLOOKUP(Q3,'References (2)'!C:F,4,0))</f>
        <v/>
      </c>
      <c r="T3" s="68"/>
      <c r="U3" s="21"/>
      <c r="V3" s="68"/>
      <c r="W3" s="22"/>
      <c r="X3" s="69"/>
      <c r="Y3" s="74"/>
      <c r="Z3" s="25" t="str">
        <f t="shared" ref="Z3:Z66" si="0">IF(B3="","",IF(AN3=1,$AN$2,IF(AO3=1,$AO$2,IF(AP3=1,$AP$2,IF(AQ3=1,$AQ$2,IF(AR3=1,$AR$2,IF(AS3=1,$AS$2,"INCORRECT DATA INPUT")))))))</f>
        <v/>
      </c>
      <c r="AA3" s="17" t="str">
        <f t="shared" ref="AA3:AA66" ca="1" si="1">IF(I3="","",IF(M3="",TODAY()-I3,M3-I3))</f>
        <v/>
      </c>
      <c r="AB3" s="17" t="str">
        <f t="shared" ref="AB3:AB66" ca="1" si="2">IF(AA3="","",IF(AA3&lt;=0,0,AA3-1))</f>
        <v/>
      </c>
      <c r="AC3" s="17" t="str">
        <f t="shared" ref="AC3:AC66" ca="1" si="3">IF(AA3="","",IF(AA3&gt;1,"EXCEEDED SLA","WITHIN SLA"))</f>
        <v/>
      </c>
      <c r="AD3" s="17" t="str">
        <f t="shared" ref="AD3:AD66" ca="1" si="4">IF(M3="","",IF(W3="",TODAY()-M3,W3-M3))</f>
        <v/>
      </c>
      <c r="AE3" s="17" t="str">
        <f t="shared" ref="AE3:AE66" si="5">IF(M3="","",IF(S3="WFM",AD3,AD3-1))</f>
        <v/>
      </c>
      <c r="AF3" s="17" t="str">
        <f t="shared" ref="AF3:AF66" si="6">IF(AE3&lt;0,0,AE3)</f>
        <v/>
      </c>
      <c r="AG3" s="17" t="str">
        <f t="shared" ref="AG3:AG66" si="7">IF(M3="","",IF(S3="WFM","WFM SLA",IF(AE3&gt;0,"EXCEEDED SLA","WITHIN SLA")))</f>
        <v/>
      </c>
      <c r="AH3" s="17">
        <f t="shared" ref="AH3:AH66" si="8">Y3-W3</f>
        <v>0</v>
      </c>
      <c r="AI3" s="17" t="str">
        <f t="shared" ref="AI3:AI66" ca="1" si="9">IF(W3="","",IF(Y3="",TODAY()-W3-R3,Y3-W3-R3))</f>
        <v/>
      </c>
      <c r="AJ3" s="17" t="str">
        <f t="shared" ref="AJ3:AJ66" ca="1" si="10">IF(AI3&lt;=0,0,AI3)</f>
        <v/>
      </c>
      <c r="AK3" s="17" t="str">
        <f t="shared" ref="AK3:AK66" si="11">IF(W3="","",IF(AJ3&lt;1,"WITHIN SLA","EXCEEDED SLA"))</f>
        <v/>
      </c>
      <c r="AL3" s="17" t="str">
        <f t="shared" ref="AL3:AL66" ca="1" si="12">IF(B3="","",IF(K3="DONE",Y3-I3,TODAY()-I3))</f>
        <v/>
      </c>
      <c r="AN3" s="24">
        <f t="shared" ref="AN3:AN66" si="13">IF(AND(K3="DONE",Y3&gt;0,AK3="WITHIN SLA"),1,0)</f>
        <v>0</v>
      </c>
      <c r="AO3" s="24">
        <f t="shared" ref="AO3:AO66" si="14">IF(AND(K3="DONE",Y3&gt;0,AK3="EXCEEDED SLA"),1,0)</f>
        <v>0</v>
      </c>
      <c r="AP3" s="24">
        <f t="shared" ref="AP3:AP66" si="15">IF(AND(K3="PENDING",L3="AWAITING FROM CSMP"),1,0)</f>
        <v>0</v>
      </c>
      <c r="AQ3" s="24">
        <f t="shared" ref="AQ3:AQ66" si="16">IF(AND(K3="PENDING",L3="WATO ON-HAND",M3&gt;0,S3="WATO",W3=0),1,0)</f>
        <v>0</v>
      </c>
      <c r="AR3" s="24">
        <f t="shared" ref="AR3:AR66" si="17">IF(AND(K3="PENDING",L3="SUBMITTED TO WFM",M3&gt;0,S3="WFM",W3=0),1,0)</f>
        <v>0</v>
      </c>
      <c r="AS3" s="24">
        <f t="shared" ref="AS3:AS66" si="18">IF(AND(K3="PENDING",W3&gt;0),1,0)</f>
        <v>0</v>
      </c>
      <c r="AT3" s="18"/>
      <c r="AU3" s="18"/>
    </row>
    <row r="4" spans="1:47" x14ac:dyDescent="0.25">
      <c r="A4" s="83"/>
      <c r="B4" s="16"/>
      <c r="C4" s="15"/>
      <c r="D4" s="15"/>
      <c r="E4" s="15"/>
      <c r="F4" s="15"/>
      <c r="G4" s="15"/>
      <c r="H4" s="16"/>
      <c r="I4" s="22"/>
      <c r="J4" s="16"/>
      <c r="K4" s="16"/>
      <c r="L4" s="15"/>
      <c r="M4" s="20"/>
      <c r="N4" s="15"/>
      <c r="O4" s="20"/>
      <c r="P4" s="15"/>
      <c r="Q4" s="15"/>
      <c r="R4" s="17" t="str">
        <f>IF(Q4="","",VLOOKUP(Q4,'References (2)'!C:D,2,0))</f>
        <v/>
      </c>
      <c r="S4" s="17" t="str">
        <f>IF(Q4="","",VLOOKUP(Q4,'References (2)'!C:F,4,0))</f>
        <v/>
      </c>
      <c r="T4" s="68"/>
      <c r="U4" s="21"/>
      <c r="V4" s="68"/>
      <c r="W4" s="22"/>
      <c r="X4" s="69"/>
      <c r="Y4" s="74"/>
      <c r="Z4" s="25" t="str">
        <f t="shared" si="0"/>
        <v/>
      </c>
      <c r="AA4" s="17" t="str">
        <f t="shared" ca="1" si="1"/>
        <v/>
      </c>
      <c r="AB4" s="17" t="str">
        <f t="shared" ca="1" si="2"/>
        <v/>
      </c>
      <c r="AC4" s="17" t="str">
        <f t="shared" ca="1" si="3"/>
        <v/>
      </c>
      <c r="AD4" s="17" t="str">
        <f t="shared" ca="1" si="4"/>
        <v/>
      </c>
      <c r="AE4" s="17" t="str">
        <f t="shared" si="5"/>
        <v/>
      </c>
      <c r="AF4" s="17" t="str">
        <f t="shared" si="6"/>
        <v/>
      </c>
      <c r="AG4" s="17" t="str">
        <f t="shared" si="7"/>
        <v/>
      </c>
      <c r="AH4" s="17">
        <f t="shared" si="8"/>
        <v>0</v>
      </c>
      <c r="AI4" s="17" t="str">
        <f t="shared" ca="1" si="9"/>
        <v/>
      </c>
      <c r="AJ4" s="17" t="str">
        <f t="shared" ca="1" si="10"/>
        <v/>
      </c>
      <c r="AK4" s="17" t="str">
        <f t="shared" si="11"/>
        <v/>
      </c>
      <c r="AL4" s="17" t="str">
        <f t="shared" ca="1" si="12"/>
        <v/>
      </c>
      <c r="AN4" s="24">
        <f t="shared" si="13"/>
        <v>0</v>
      </c>
      <c r="AO4" s="24">
        <f t="shared" si="14"/>
        <v>0</v>
      </c>
      <c r="AP4" s="24">
        <f t="shared" si="15"/>
        <v>0</v>
      </c>
      <c r="AQ4" s="24">
        <f t="shared" si="16"/>
        <v>0</v>
      </c>
      <c r="AR4" s="24">
        <f t="shared" si="17"/>
        <v>0</v>
      </c>
      <c r="AS4" s="24">
        <f t="shared" si="18"/>
        <v>0</v>
      </c>
    </row>
    <row r="5" spans="1:47" x14ac:dyDescent="0.25">
      <c r="A5" s="83"/>
      <c r="B5" s="16"/>
      <c r="C5" s="15"/>
      <c r="D5" s="15"/>
      <c r="E5" s="15"/>
      <c r="F5" s="15"/>
      <c r="G5" s="15"/>
      <c r="H5" s="16"/>
      <c r="I5" s="22"/>
      <c r="J5" s="16"/>
      <c r="K5" s="16"/>
      <c r="L5" s="15"/>
      <c r="M5" s="20"/>
      <c r="N5" s="15"/>
      <c r="O5" s="20"/>
      <c r="P5" s="15"/>
      <c r="Q5" s="15"/>
      <c r="R5" s="17" t="str">
        <f>IF(Q5="","",VLOOKUP(Q5,'References (2)'!C:D,2,0))</f>
        <v/>
      </c>
      <c r="S5" s="17" t="str">
        <f>IF(Q5="","",VLOOKUP(Q5,'References (2)'!C:F,4,0))</f>
        <v/>
      </c>
      <c r="T5" s="68"/>
      <c r="U5" s="21"/>
      <c r="V5" s="68"/>
      <c r="W5" s="22"/>
      <c r="X5" s="69"/>
      <c r="Y5" s="74"/>
      <c r="Z5" s="25" t="str">
        <f t="shared" si="0"/>
        <v/>
      </c>
      <c r="AA5" s="17" t="str">
        <f t="shared" ca="1" si="1"/>
        <v/>
      </c>
      <c r="AB5" s="17" t="str">
        <f t="shared" ca="1" si="2"/>
        <v/>
      </c>
      <c r="AC5" s="17" t="str">
        <f t="shared" ca="1" si="3"/>
        <v/>
      </c>
      <c r="AD5" s="17" t="str">
        <f t="shared" ca="1" si="4"/>
        <v/>
      </c>
      <c r="AE5" s="17" t="str">
        <f t="shared" si="5"/>
        <v/>
      </c>
      <c r="AF5" s="17" t="str">
        <f t="shared" si="6"/>
        <v/>
      </c>
      <c r="AG5" s="17" t="str">
        <f t="shared" si="7"/>
        <v/>
      </c>
      <c r="AH5" s="17">
        <f t="shared" si="8"/>
        <v>0</v>
      </c>
      <c r="AI5" s="17" t="str">
        <f t="shared" ca="1" si="9"/>
        <v/>
      </c>
      <c r="AJ5" s="17" t="str">
        <f t="shared" ca="1" si="10"/>
        <v/>
      </c>
      <c r="AK5" s="17" t="str">
        <f t="shared" si="11"/>
        <v/>
      </c>
      <c r="AL5" s="17" t="str">
        <f t="shared" ca="1" si="12"/>
        <v/>
      </c>
      <c r="AN5" s="24">
        <f t="shared" si="13"/>
        <v>0</v>
      </c>
      <c r="AO5" s="24">
        <f t="shared" si="14"/>
        <v>0</v>
      </c>
      <c r="AP5" s="24">
        <f t="shared" si="15"/>
        <v>0</v>
      </c>
      <c r="AQ5" s="24">
        <f t="shared" si="16"/>
        <v>0</v>
      </c>
      <c r="AR5" s="24">
        <f t="shared" si="17"/>
        <v>0</v>
      </c>
      <c r="AS5" s="24">
        <f t="shared" si="18"/>
        <v>0</v>
      </c>
    </row>
    <row r="6" spans="1:47" x14ac:dyDescent="0.25">
      <c r="A6" s="83"/>
      <c r="B6" s="16"/>
      <c r="C6" s="15"/>
      <c r="D6" s="15"/>
      <c r="E6" s="15"/>
      <c r="F6" s="15"/>
      <c r="G6" s="15"/>
      <c r="H6" s="16"/>
      <c r="I6" s="22"/>
      <c r="J6" s="16"/>
      <c r="K6" s="16"/>
      <c r="L6" s="15"/>
      <c r="M6" s="20"/>
      <c r="N6" s="15"/>
      <c r="O6" s="20"/>
      <c r="P6" s="15"/>
      <c r="Q6" s="15"/>
      <c r="R6" s="17" t="str">
        <f>IF(Q6="","",VLOOKUP(Q6,'References (2)'!C:D,2,0))</f>
        <v/>
      </c>
      <c r="S6" s="17" t="str">
        <f>IF(Q6="","",VLOOKUP(Q6,'References (2)'!C:F,4,0))</f>
        <v/>
      </c>
      <c r="T6" s="68"/>
      <c r="U6" s="21"/>
      <c r="V6" s="68"/>
      <c r="W6" s="22"/>
      <c r="X6" s="69"/>
      <c r="Y6" s="74"/>
      <c r="Z6" s="25" t="str">
        <f t="shared" si="0"/>
        <v/>
      </c>
      <c r="AA6" s="17" t="str">
        <f t="shared" ca="1" si="1"/>
        <v/>
      </c>
      <c r="AB6" s="17" t="str">
        <f t="shared" ca="1" si="2"/>
        <v/>
      </c>
      <c r="AC6" s="17" t="str">
        <f t="shared" ca="1" si="3"/>
        <v/>
      </c>
      <c r="AD6" s="17" t="str">
        <f t="shared" ca="1" si="4"/>
        <v/>
      </c>
      <c r="AE6" s="17" t="str">
        <f t="shared" si="5"/>
        <v/>
      </c>
      <c r="AF6" s="17" t="str">
        <f t="shared" si="6"/>
        <v/>
      </c>
      <c r="AG6" s="17" t="str">
        <f t="shared" si="7"/>
        <v/>
      </c>
      <c r="AH6" s="17">
        <f t="shared" si="8"/>
        <v>0</v>
      </c>
      <c r="AI6" s="17" t="str">
        <f t="shared" ca="1" si="9"/>
        <v/>
      </c>
      <c r="AJ6" s="17" t="str">
        <f t="shared" ca="1" si="10"/>
        <v/>
      </c>
      <c r="AK6" s="17" t="str">
        <f t="shared" si="11"/>
        <v/>
      </c>
      <c r="AL6" s="17" t="str">
        <f t="shared" ca="1" si="12"/>
        <v/>
      </c>
      <c r="AN6" s="24">
        <f t="shared" si="13"/>
        <v>0</v>
      </c>
      <c r="AO6" s="24">
        <f t="shared" si="14"/>
        <v>0</v>
      </c>
      <c r="AP6" s="24">
        <f t="shared" si="15"/>
        <v>0</v>
      </c>
      <c r="AQ6" s="24">
        <f t="shared" si="16"/>
        <v>0</v>
      </c>
      <c r="AR6" s="24">
        <f t="shared" si="17"/>
        <v>0</v>
      </c>
      <c r="AS6" s="24">
        <f t="shared" si="18"/>
        <v>0</v>
      </c>
    </row>
    <row r="7" spans="1:47" x14ac:dyDescent="0.25">
      <c r="A7" s="83"/>
      <c r="B7" s="16"/>
      <c r="C7" s="15"/>
      <c r="D7" s="15"/>
      <c r="E7" s="15"/>
      <c r="F7" s="15"/>
      <c r="G7" s="15"/>
      <c r="H7" s="16"/>
      <c r="I7" s="22"/>
      <c r="J7" s="16"/>
      <c r="K7" s="16"/>
      <c r="L7" s="15"/>
      <c r="M7" s="20"/>
      <c r="N7" s="15"/>
      <c r="O7" s="20"/>
      <c r="P7" s="15"/>
      <c r="Q7" s="15"/>
      <c r="R7" s="17" t="str">
        <f>IF(Q7="","",VLOOKUP(Q7,'References (2)'!C:D,2,0))</f>
        <v/>
      </c>
      <c r="S7" s="17" t="str">
        <f>IF(Q7="","",VLOOKUP(Q7,'References (2)'!C:F,4,0))</f>
        <v/>
      </c>
      <c r="T7" s="68"/>
      <c r="U7" s="21"/>
      <c r="V7" s="68"/>
      <c r="W7" s="22"/>
      <c r="X7" s="69"/>
      <c r="Y7" s="74"/>
      <c r="Z7" s="25" t="str">
        <f t="shared" si="0"/>
        <v/>
      </c>
      <c r="AA7" s="17" t="str">
        <f t="shared" ca="1" si="1"/>
        <v/>
      </c>
      <c r="AB7" s="17" t="str">
        <f t="shared" ca="1" si="2"/>
        <v/>
      </c>
      <c r="AC7" s="17" t="str">
        <f t="shared" ca="1" si="3"/>
        <v/>
      </c>
      <c r="AD7" s="17" t="str">
        <f t="shared" ca="1" si="4"/>
        <v/>
      </c>
      <c r="AE7" s="17" t="str">
        <f t="shared" si="5"/>
        <v/>
      </c>
      <c r="AF7" s="17" t="str">
        <f t="shared" si="6"/>
        <v/>
      </c>
      <c r="AG7" s="17" t="str">
        <f t="shared" si="7"/>
        <v/>
      </c>
      <c r="AH7" s="17">
        <f t="shared" si="8"/>
        <v>0</v>
      </c>
      <c r="AI7" s="17" t="str">
        <f t="shared" ca="1" si="9"/>
        <v/>
      </c>
      <c r="AJ7" s="17" t="str">
        <f t="shared" ca="1" si="10"/>
        <v/>
      </c>
      <c r="AK7" s="17" t="str">
        <f t="shared" si="11"/>
        <v/>
      </c>
      <c r="AL7" s="17" t="str">
        <f t="shared" ca="1" si="12"/>
        <v/>
      </c>
      <c r="AN7" s="24">
        <f t="shared" si="13"/>
        <v>0</v>
      </c>
      <c r="AO7" s="24">
        <f t="shared" si="14"/>
        <v>0</v>
      </c>
      <c r="AP7" s="24">
        <f t="shared" si="15"/>
        <v>0</v>
      </c>
      <c r="AQ7" s="24">
        <f t="shared" si="16"/>
        <v>0</v>
      </c>
      <c r="AR7" s="24">
        <f t="shared" si="17"/>
        <v>0</v>
      </c>
      <c r="AS7" s="24">
        <f t="shared" si="18"/>
        <v>0</v>
      </c>
    </row>
    <row r="8" spans="1:47" x14ac:dyDescent="0.25">
      <c r="A8" s="83"/>
      <c r="B8" s="16"/>
      <c r="C8" s="15"/>
      <c r="D8" s="15"/>
      <c r="E8" s="15"/>
      <c r="F8" s="15"/>
      <c r="G8" s="15"/>
      <c r="H8" s="16"/>
      <c r="I8" s="22"/>
      <c r="J8" s="23"/>
      <c r="K8" s="16"/>
      <c r="L8" s="15"/>
      <c r="M8" s="20"/>
      <c r="N8" s="15"/>
      <c r="O8" s="20"/>
      <c r="P8" s="15"/>
      <c r="Q8" s="15"/>
      <c r="R8" s="17" t="str">
        <f>IF(Q8="","",VLOOKUP(Q8,'References (2)'!C:D,2,0))</f>
        <v/>
      </c>
      <c r="S8" s="17" t="str">
        <f>IF(Q8="","",VLOOKUP(Q8,'References (2)'!C:F,4,0))</f>
        <v/>
      </c>
      <c r="T8" s="68"/>
      <c r="U8" s="21"/>
      <c r="V8" s="68"/>
      <c r="W8" s="22"/>
      <c r="X8" s="69"/>
      <c r="Y8" s="74"/>
      <c r="Z8" s="25" t="str">
        <f t="shared" si="0"/>
        <v/>
      </c>
      <c r="AA8" s="17" t="str">
        <f t="shared" ca="1" si="1"/>
        <v/>
      </c>
      <c r="AB8" s="17" t="str">
        <f t="shared" ca="1" si="2"/>
        <v/>
      </c>
      <c r="AC8" s="17" t="str">
        <f t="shared" ca="1" si="3"/>
        <v/>
      </c>
      <c r="AD8" s="17" t="str">
        <f t="shared" ca="1" si="4"/>
        <v/>
      </c>
      <c r="AE8" s="17" t="str">
        <f t="shared" si="5"/>
        <v/>
      </c>
      <c r="AF8" s="17" t="str">
        <f t="shared" si="6"/>
        <v/>
      </c>
      <c r="AG8" s="17" t="str">
        <f t="shared" si="7"/>
        <v/>
      </c>
      <c r="AH8" s="17">
        <f t="shared" si="8"/>
        <v>0</v>
      </c>
      <c r="AI8" s="17" t="str">
        <f t="shared" ca="1" si="9"/>
        <v/>
      </c>
      <c r="AJ8" s="17" t="str">
        <f t="shared" ca="1" si="10"/>
        <v/>
      </c>
      <c r="AK8" s="17" t="str">
        <f t="shared" si="11"/>
        <v/>
      </c>
      <c r="AL8" s="17" t="str">
        <f t="shared" ca="1" si="12"/>
        <v/>
      </c>
      <c r="AN8" s="24">
        <f t="shared" si="13"/>
        <v>0</v>
      </c>
      <c r="AO8" s="24">
        <f t="shared" si="14"/>
        <v>0</v>
      </c>
      <c r="AP8" s="24">
        <f t="shared" si="15"/>
        <v>0</v>
      </c>
      <c r="AQ8" s="24">
        <f t="shared" si="16"/>
        <v>0</v>
      </c>
      <c r="AR8" s="24">
        <f t="shared" si="17"/>
        <v>0</v>
      </c>
      <c r="AS8" s="24">
        <f t="shared" si="18"/>
        <v>0</v>
      </c>
    </row>
    <row r="9" spans="1:47" x14ac:dyDescent="0.25">
      <c r="A9" s="83"/>
      <c r="B9" s="16"/>
      <c r="C9" s="16"/>
      <c r="D9" s="15"/>
      <c r="E9" s="15"/>
      <c r="F9" s="15"/>
      <c r="G9" s="15"/>
      <c r="H9" s="15"/>
      <c r="I9" s="22"/>
      <c r="J9" s="16"/>
      <c r="K9" s="15"/>
      <c r="L9" s="15"/>
      <c r="M9" s="19"/>
      <c r="N9" s="15"/>
      <c r="O9" s="20"/>
      <c r="P9" s="15"/>
      <c r="Q9" s="15"/>
      <c r="R9" s="17" t="str">
        <f>IF(Q9="","",VLOOKUP(Q9,'References (2)'!C:D,2,0))</f>
        <v/>
      </c>
      <c r="S9" s="17" t="str">
        <f>IF(Q9="","",VLOOKUP(Q9,'References (2)'!C:F,4,0))</f>
        <v/>
      </c>
      <c r="T9" s="68"/>
      <c r="U9" s="21"/>
      <c r="V9" s="68"/>
      <c r="W9" s="22"/>
      <c r="X9" s="69"/>
      <c r="Y9" s="74"/>
      <c r="Z9" s="25" t="str">
        <f t="shared" si="0"/>
        <v/>
      </c>
      <c r="AA9" s="17" t="str">
        <f t="shared" ca="1" si="1"/>
        <v/>
      </c>
      <c r="AB9" s="17" t="str">
        <f t="shared" ca="1" si="2"/>
        <v/>
      </c>
      <c r="AC9" s="17" t="str">
        <f t="shared" ca="1" si="3"/>
        <v/>
      </c>
      <c r="AD9" s="17" t="str">
        <f t="shared" ca="1" si="4"/>
        <v/>
      </c>
      <c r="AE9" s="17" t="str">
        <f t="shared" si="5"/>
        <v/>
      </c>
      <c r="AF9" s="17" t="str">
        <f t="shared" si="6"/>
        <v/>
      </c>
      <c r="AG9" s="17" t="str">
        <f t="shared" si="7"/>
        <v/>
      </c>
      <c r="AH9" s="17">
        <f t="shared" si="8"/>
        <v>0</v>
      </c>
      <c r="AI9" s="17" t="str">
        <f t="shared" ca="1" si="9"/>
        <v/>
      </c>
      <c r="AJ9" s="17" t="str">
        <f t="shared" ca="1" si="10"/>
        <v/>
      </c>
      <c r="AK9" s="17" t="str">
        <f t="shared" si="11"/>
        <v/>
      </c>
      <c r="AL9" s="17" t="str">
        <f t="shared" ca="1" si="12"/>
        <v/>
      </c>
      <c r="AN9" s="24">
        <f t="shared" si="13"/>
        <v>0</v>
      </c>
      <c r="AO9" s="24">
        <f t="shared" si="14"/>
        <v>0</v>
      </c>
      <c r="AP9" s="24">
        <f t="shared" si="15"/>
        <v>0</v>
      </c>
      <c r="AQ9" s="24">
        <f t="shared" si="16"/>
        <v>0</v>
      </c>
      <c r="AR9" s="24">
        <f t="shared" si="17"/>
        <v>0</v>
      </c>
      <c r="AS9" s="24">
        <f t="shared" si="18"/>
        <v>0</v>
      </c>
    </row>
    <row r="10" spans="1:47" x14ac:dyDescent="0.25">
      <c r="A10" s="83"/>
      <c r="B10" s="16"/>
      <c r="C10" s="16"/>
      <c r="D10" s="15"/>
      <c r="E10" s="15"/>
      <c r="F10" s="15"/>
      <c r="G10" s="15"/>
      <c r="H10" s="16"/>
      <c r="I10" s="22"/>
      <c r="J10" s="16"/>
      <c r="K10" s="16"/>
      <c r="L10" s="15"/>
      <c r="M10" s="20"/>
      <c r="N10" s="15"/>
      <c r="O10" s="20"/>
      <c r="P10" s="15"/>
      <c r="Q10" s="15"/>
      <c r="R10" s="17" t="str">
        <f>IF(Q10="","",VLOOKUP(Q10,'References (2)'!C:D,2,0))</f>
        <v/>
      </c>
      <c r="S10" s="17" t="str">
        <f>IF(Q10="","",VLOOKUP(Q10,'References (2)'!C:F,4,0))</f>
        <v/>
      </c>
      <c r="T10" s="68"/>
      <c r="U10" s="21"/>
      <c r="V10" s="68"/>
      <c r="W10" s="22"/>
      <c r="X10" s="69"/>
      <c r="Y10" s="74"/>
      <c r="Z10" s="25" t="str">
        <f t="shared" si="0"/>
        <v/>
      </c>
      <c r="AA10" s="17" t="str">
        <f t="shared" ca="1" si="1"/>
        <v/>
      </c>
      <c r="AB10" s="17" t="str">
        <f t="shared" ca="1" si="2"/>
        <v/>
      </c>
      <c r="AC10" s="17" t="str">
        <f t="shared" ca="1" si="3"/>
        <v/>
      </c>
      <c r="AD10" s="17" t="str">
        <f t="shared" ca="1" si="4"/>
        <v/>
      </c>
      <c r="AE10" s="17" t="str">
        <f t="shared" si="5"/>
        <v/>
      </c>
      <c r="AF10" s="17" t="str">
        <f t="shared" si="6"/>
        <v/>
      </c>
      <c r="AG10" s="17" t="str">
        <f t="shared" si="7"/>
        <v/>
      </c>
      <c r="AH10" s="17">
        <f t="shared" si="8"/>
        <v>0</v>
      </c>
      <c r="AI10" s="17" t="str">
        <f t="shared" ca="1" si="9"/>
        <v/>
      </c>
      <c r="AJ10" s="17" t="str">
        <f t="shared" ca="1" si="10"/>
        <v/>
      </c>
      <c r="AK10" s="17" t="str">
        <f t="shared" si="11"/>
        <v/>
      </c>
      <c r="AL10" s="17" t="str">
        <f t="shared" ca="1" si="12"/>
        <v/>
      </c>
      <c r="AN10" s="24">
        <f t="shared" si="13"/>
        <v>0</v>
      </c>
      <c r="AO10" s="24">
        <f t="shared" si="14"/>
        <v>0</v>
      </c>
      <c r="AP10" s="24">
        <f t="shared" si="15"/>
        <v>0</v>
      </c>
      <c r="AQ10" s="24">
        <f t="shared" si="16"/>
        <v>0</v>
      </c>
      <c r="AR10" s="24">
        <f t="shared" si="17"/>
        <v>0</v>
      </c>
      <c r="AS10" s="24">
        <f t="shared" si="18"/>
        <v>0</v>
      </c>
    </row>
    <row r="11" spans="1:47" x14ac:dyDescent="0.25">
      <c r="A11" s="83"/>
      <c r="B11" s="16"/>
      <c r="C11" s="16"/>
      <c r="D11" s="15"/>
      <c r="E11" s="15"/>
      <c r="F11" s="15"/>
      <c r="G11" s="15"/>
      <c r="H11" s="16"/>
      <c r="I11" s="22"/>
      <c r="J11" s="16"/>
      <c r="K11" s="16"/>
      <c r="L11" s="15"/>
      <c r="M11" s="20"/>
      <c r="N11" s="15"/>
      <c r="O11" s="20"/>
      <c r="P11" s="15"/>
      <c r="Q11" s="15"/>
      <c r="R11" s="17" t="str">
        <f>IF(Q11="","",VLOOKUP(Q11,'References (2)'!C:D,2,0))</f>
        <v/>
      </c>
      <c r="S11" s="17" t="str">
        <f>IF(Q11="","",VLOOKUP(Q11,'References (2)'!C:F,4,0))</f>
        <v/>
      </c>
      <c r="T11" s="68"/>
      <c r="U11" s="21"/>
      <c r="V11" s="68"/>
      <c r="W11" s="22"/>
      <c r="X11" s="69"/>
      <c r="Y11" s="74"/>
      <c r="Z11" s="25" t="str">
        <f t="shared" si="0"/>
        <v/>
      </c>
      <c r="AA11" s="17" t="str">
        <f t="shared" ca="1" si="1"/>
        <v/>
      </c>
      <c r="AB11" s="17" t="str">
        <f t="shared" ca="1" si="2"/>
        <v/>
      </c>
      <c r="AC11" s="17" t="str">
        <f t="shared" ca="1" si="3"/>
        <v/>
      </c>
      <c r="AD11" s="17" t="str">
        <f t="shared" ca="1" si="4"/>
        <v/>
      </c>
      <c r="AE11" s="17" t="str">
        <f t="shared" si="5"/>
        <v/>
      </c>
      <c r="AF11" s="17" t="str">
        <f t="shared" si="6"/>
        <v/>
      </c>
      <c r="AG11" s="17" t="str">
        <f t="shared" si="7"/>
        <v/>
      </c>
      <c r="AH11" s="17">
        <f t="shared" si="8"/>
        <v>0</v>
      </c>
      <c r="AI11" s="17" t="str">
        <f t="shared" ca="1" si="9"/>
        <v/>
      </c>
      <c r="AJ11" s="17" t="str">
        <f t="shared" ca="1" si="10"/>
        <v/>
      </c>
      <c r="AK11" s="17" t="str">
        <f t="shared" si="11"/>
        <v/>
      </c>
      <c r="AL11" s="17" t="str">
        <f t="shared" ca="1" si="12"/>
        <v/>
      </c>
      <c r="AN11" s="24">
        <f t="shared" si="13"/>
        <v>0</v>
      </c>
      <c r="AO11" s="24">
        <f t="shared" si="14"/>
        <v>0</v>
      </c>
      <c r="AP11" s="24">
        <f t="shared" si="15"/>
        <v>0</v>
      </c>
      <c r="AQ11" s="24">
        <f t="shared" si="16"/>
        <v>0</v>
      </c>
      <c r="AR11" s="24">
        <f t="shared" si="17"/>
        <v>0</v>
      </c>
      <c r="AS11" s="24">
        <f t="shared" si="18"/>
        <v>0</v>
      </c>
    </row>
    <row r="12" spans="1:47" x14ac:dyDescent="0.25">
      <c r="A12" s="83"/>
      <c r="B12" s="16"/>
      <c r="C12" s="16"/>
      <c r="D12" s="15"/>
      <c r="E12" s="15"/>
      <c r="F12" s="15"/>
      <c r="G12" s="15"/>
      <c r="H12" s="16"/>
      <c r="I12" s="22"/>
      <c r="J12" s="16"/>
      <c r="K12" s="16"/>
      <c r="L12" s="15"/>
      <c r="M12" s="20"/>
      <c r="N12" s="15"/>
      <c r="O12" s="20"/>
      <c r="P12" s="15"/>
      <c r="Q12" s="15"/>
      <c r="R12" s="17" t="str">
        <f>IF(Q12="","",VLOOKUP(Q12,'References (2)'!C:D,2,0))</f>
        <v/>
      </c>
      <c r="S12" s="17" t="str">
        <f>IF(Q12="","",VLOOKUP(Q12,'References (2)'!C:F,4,0))</f>
        <v/>
      </c>
      <c r="T12" s="68"/>
      <c r="U12" s="21"/>
      <c r="V12" s="68"/>
      <c r="W12" s="22"/>
      <c r="X12" s="69"/>
      <c r="Y12" s="74"/>
      <c r="Z12" s="25" t="str">
        <f t="shared" si="0"/>
        <v/>
      </c>
      <c r="AA12" s="17" t="str">
        <f t="shared" ca="1" si="1"/>
        <v/>
      </c>
      <c r="AB12" s="17" t="str">
        <f t="shared" ca="1" si="2"/>
        <v/>
      </c>
      <c r="AC12" s="17" t="str">
        <f t="shared" ca="1" si="3"/>
        <v/>
      </c>
      <c r="AD12" s="17" t="str">
        <f t="shared" ca="1" si="4"/>
        <v/>
      </c>
      <c r="AE12" s="17" t="str">
        <f t="shared" si="5"/>
        <v/>
      </c>
      <c r="AF12" s="17" t="str">
        <f t="shared" si="6"/>
        <v/>
      </c>
      <c r="AG12" s="17" t="str">
        <f t="shared" si="7"/>
        <v/>
      </c>
      <c r="AH12" s="17">
        <f t="shared" si="8"/>
        <v>0</v>
      </c>
      <c r="AI12" s="17" t="str">
        <f t="shared" ca="1" si="9"/>
        <v/>
      </c>
      <c r="AJ12" s="17" t="str">
        <f t="shared" ca="1" si="10"/>
        <v/>
      </c>
      <c r="AK12" s="17" t="str">
        <f t="shared" si="11"/>
        <v/>
      </c>
      <c r="AL12" s="17" t="str">
        <f t="shared" ca="1" si="12"/>
        <v/>
      </c>
      <c r="AN12" s="24">
        <f t="shared" si="13"/>
        <v>0</v>
      </c>
      <c r="AO12" s="24">
        <f t="shared" si="14"/>
        <v>0</v>
      </c>
      <c r="AP12" s="24">
        <f t="shared" si="15"/>
        <v>0</v>
      </c>
      <c r="AQ12" s="24">
        <f t="shared" si="16"/>
        <v>0</v>
      </c>
      <c r="AR12" s="24">
        <f t="shared" si="17"/>
        <v>0</v>
      </c>
      <c r="AS12" s="24">
        <f t="shared" si="18"/>
        <v>0</v>
      </c>
    </row>
    <row r="13" spans="1:47" x14ac:dyDescent="0.25">
      <c r="A13" s="83"/>
      <c r="B13" s="16"/>
      <c r="C13" s="16"/>
      <c r="D13" s="15"/>
      <c r="E13" s="15"/>
      <c r="F13" s="15"/>
      <c r="G13" s="15"/>
      <c r="H13" s="16"/>
      <c r="I13" s="22"/>
      <c r="J13" s="16"/>
      <c r="K13" s="16"/>
      <c r="L13" s="15"/>
      <c r="M13" s="20"/>
      <c r="N13" s="15"/>
      <c r="O13" s="20"/>
      <c r="P13" s="15"/>
      <c r="Q13" s="15"/>
      <c r="R13" s="17" t="str">
        <f>IF(Q13="","",VLOOKUP(Q13,'References (2)'!C:D,2,0))</f>
        <v/>
      </c>
      <c r="S13" s="17" t="str">
        <f>IF(Q13="","",VLOOKUP(Q13,'References (2)'!C:F,4,0))</f>
        <v/>
      </c>
      <c r="T13" s="70"/>
      <c r="U13" s="21"/>
      <c r="V13" s="68"/>
      <c r="W13" s="22"/>
      <c r="X13" s="69"/>
      <c r="Y13" s="74"/>
      <c r="Z13" s="25" t="str">
        <f t="shared" si="0"/>
        <v/>
      </c>
      <c r="AA13" s="17" t="str">
        <f t="shared" ca="1" si="1"/>
        <v/>
      </c>
      <c r="AB13" s="17" t="str">
        <f t="shared" ca="1" si="2"/>
        <v/>
      </c>
      <c r="AC13" s="17" t="str">
        <f t="shared" ca="1" si="3"/>
        <v/>
      </c>
      <c r="AD13" s="17" t="str">
        <f t="shared" ca="1" si="4"/>
        <v/>
      </c>
      <c r="AE13" s="17" t="str">
        <f t="shared" si="5"/>
        <v/>
      </c>
      <c r="AF13" s="17" t="str">
        <f t="shared" si="6"/>
        <v/>
      </c>
      <c r="AG13" s="17" t="str">
        <f t="shared" si="7"/>
        <v/>
      </c>
      <c r="AH13" s="17">
        <f t="shared" si="8"/>
        <v>0</v>
      </c>
      <c r="AI13" s="17" t="str">
        <f t="shared" ca="1" si="9"/>
        <v/>
      </c>
      <c r="AJ13" s="17" t="str">
        <f t="shared" ca="1" si="10"/>
        <v/>
      </c>
      <c r="AK13" s="17" t="str">
        <f t="shared" si="11"/>
        <v/>
      </c>
      <c r="AL13" s="17" t="str">
        <f t="shared" ca="1" si="12"/>
        <v/>
      </c>
      <c r="AN13" s="24">
        <f t="shared" si="13"/>
        <v>0</v>
      </c>
      <c r="AO13" s="24">
        <f t="shared" si="14"/>
        <v>0</v>
      </c>
      <c r="AP13" s="24">
        <f t="shared" si="15"/>
        <v>0</v>
      </c>
      <c r="AQ13" s="24">
        <f t="shared" si="16"/>
        <v>0</v>
      </c>
      <c r="AR13" s="24">
        <f t="shared" si="17"/>
        <v>0</v>
      </c>
      <c r="AS13" s="24">
        <f t="shared" si="18"/>
        <v>0</v>
      </c>
    </row>
    <row r="14" spans="1:47" x14ac:dyDescent="0.25">
      <c r="A14" s="83"/>
      <c r="B14" s="16"/>
      <c r="C14" s="16"/>
      <c r="D14" s="15"/>
      <c r="E14" s="15"/>
      <c r="F14" s="15"/>
      <c r="G14" s="15"/>
      <c r="H14" s="16"/>
      <c r="I14" s="22"/>
      <c r="J14" s="16"/>
      <c r="K14" s="16"/>
      <c r="L14" s="15"/>
      <c r="M14" s="20"/>
      <c r="N14" s="15"/>
      <c r="O14" s="20"/>
      <c r="P14" s="15"/>
      <c r="Q14" s="15"/>
      <c r="R14" s="17" t="str">
        <f>IF(Q14="","",VLOOKUP(Q14,'References (2)'!C:D,2,0))</f>
        <v/>
      </c>
      <c r="S14" s="17" t="str">
        <f>IF(Q14="","",VLOOKUP(Q14,'References (2)'!C:F,4,0))</f>
        <v/>
      </c>
      <c r="T14" s="68"/>
      <c r="U14" s="21"/>
      <c r="V14" s="68"/>
      <c r="W14" s="22"/>
      <c r="X14" s="69"/>
      <c r="Y14" s="74"/>
      <c r="Z14" s="25" t="str">
        <f t="shared" si="0"/>
        <v/>
      </c>
      <c r="AA14" s="17" t="str">
        <f t="shared" ca="1" si="1"/>
        <v/>
      </c>
      <c r="AB14" s="17" t="str">
        <f t="shared" ca="1" si="2"/>
        <v/>
      </c>
      <c r="AC14" s="17" t="str">
        <f t="shared" ca="1" si="3"/>
        <v/>
      </c>
      <c r="AD14" s="17" t="str">
        <f t="shared" ca="1" si="4"/>
        <v/>
      </c>
      <c r="AE14" s="17" t="str">
        <f t="shared" si="5"/>
        <v/>
      </c>
      <c r="AF14" s="17" t="str">
        <f t="shared" si="6"/>
        <v/>
      </c>
      <c r="AG14" s="17" t="str">
        <f t="shared" si="7"/>
        <v/>
      </c>
      <c r="AH14" s="17">
        <f t="shared" si="8"/>
        <v>0</v>
      </c>
      <c r="AI14" s="17" t="str">
        <f t="shared" ca="1" si="9"/>
        <v/>
      </c>
      <c r="AJ14" s="17" t="str">
        <f t="shared" ca="1" si="10"/>
        <v/>
      </c>
      <c r="AK14" s="17" t="str">
        <f t="shared" si="11"/>
        <v/>
      </c>
      <c r="AL14" s="17" t="str">
        <f t="shared" ca="1" si="12"/>
        <v/>
      </c>
      <c r="AN14" s="24">
        <f t="shared" si="13"/>
        <v>0</v>
      </c>
      <c r="AO14" s="24">
        <f t="shared" si="14"/>
        <v>0</v>
      </c>
      <c r="AP14" s="24">
        <f t="shared" si="15"/>
        <v>0</v>
      </c>
      <c r="AQ14" s="24">
        <f t="shared" si="16"/>
        <v>0</v>
      </c>
      <c r="AR14" s="24">
        <f t="shared" si="17"/>
        <v>0</v>
      </c>
      <c r="AS14" s="24">
        <f t="shared" si="18"/>
        <v>0</v>
      </c>
    </row>
    <row r="15" spans="1:47" x14ac:dyDescent="0.25">
      <c r="A15" s="83"/>
      <c r="B15" s="16"/>
      <c r="C15" s="16"/>
      <c r="D15" s="15"/>
      <c r="E15" s="15"/>
      <c r="F15" s="15"/>
      <c r="G15" s="15"/>
      <c r="H15" s="15"/>
      <c r="I15" s="22"/>
      <c r="J15" s="16"/>
      <c r="K15" s="15"/>
      <c r="L15" s="15"/>
      <c r="M15" s="19"/>
      <c r="N15" s="15"/>
      <c r="O15" s="20"/>
      <c r="P15" s="15"/>
      <c r="Q15" s="15"/>
      <c r="R15" s="17" t="str">
        <f>IF(Q15="","",VLOOKUP(Q15,'References (2)'!C:D,2,0))</f>
        <v/>
      </c>
      <c r="S15" s="17" t="str">
        <f>IF(Q15="","",VLOOKUP(Q15,'References (2)'!C:F,4,0))</f>
        <v/>
      </c>
      <c r="T15" s="68"/>
      <c r="U15" s="21"/>
      <c r="V15" s="68"/>
      <c r="W15" s="22"/>
      <c r="X15" s="69"/>
      <c r="Y15" s="74"/>
      <c r="Z15" s="25" t="str">
        <f t="shared" si="0"/>
        <v/>
      </c>
      <c r="AA15" s="17" t="str">
        <f t="shared" ca="1" si="1"/>
        <v/>
      </c>
      <c r="AB15" s="17" t="str">
        <f t="shared" ca="1" si="2"/>
        <v/>
      </c>
      <c r="AC15" s="17" t="str">
        <f t="shared" ca="1" si="3"/>
        <v/>
      </c>
      <c r="AD15" s="17" t="str">
        <f t="shared" ca="1" si="4"/>
        <v/>
      </c>
      <c r="AE15" s="17" t="str">
        <f t="shared" si="5"/>
        <v/>
      </c>
      <c r="AF15" s="17" t="str">
        <f t="shared" si="6"/>
        <v/>
      </c>
      <c r="AG15" s="17" t="str">
        <f t="shared" si="7"/>
        <v/>
      </c>
      <c r="AH15" s="17">
        <f t="shared" si="8"/>
        <v>0</v>
      </c>
      <c r="AI15" s="17" t="str">
        <f t="shared" ca="1" si="9"/>
        <v/>
      </c>
      <c r="AJ15" s="17" t="str">
        <f t="shared" ca="1" si="10"/>
        <v/>
      </c>
      <c r="AK15" s="17" t="str">
        <f t="shared" si="11"/>
        <v/>
      </c>
      <c r="AL15" s="17" t="str">
        <f t="shared" ca="1" si="12"/>
        <v/>
      </c>
      <c r="AN15" s="24">
        <f t="shared" si="13"/>
        <v>0</v>
      </c>
      <c r="AO15" s="24">
        <f t="shared" si="14"/>
        <v>0</v>
      </c>
      <c r="AP15" s="24">
        <f t="shared" si="15"/>
        <v>0</v>
      </c>
      <c r="AQ15" s="24">
        <f t="shared" si="16"/>
        <v>0</v>
      </c>
      <c r="AR15" s="24">
        <f t="shared" si="17"/>
        <v>0</v>
      </c>
      <c r="AS15" s="24">
        <f t="shared" si="18"/>
        <v>0</v>
      </c>
    </row>
    <row r="16" spans="1:47" x14ac:dyDescent="0.25">
      <c r="A16" s="83"/>
      <c r="B16" s="16"/>
      <c r="C16" s="16"/>
      <c r="D16" s="15"/>
      <c r="E16" s="15"/>
      <c r="F16" s="15"/>
      <c r="G16" s="15"/>
      <c r="H16" s="16"/>
      <c r="I16" s="22"/>
      <c r="J16" s="16"/>
      <c r="K16" s="16"/>
      <c r="L16" s="15"/>
      <c r="M16" s="20"/>
      <c r="N16" s="15"/>
      <c r="O16" s="20"/>
      <c r="P16" s="15"/>
      <c r="Q16" s="15"/>
      <c r="R16" s="17" t="str">
        <f>IF(Q16="","",VLOOKUP(Q16,'References (2)'!C:D,2,0))</f>
        <v/>
      </c>
      <c r="S16" s="17" t="str">
        <f>IF(Q16="","",VLOOKUP(Q16,'References (2)'!C:F,4,0))</f>
        <v/>
      </c>
      <c r="T16" s="68"/>
      <c r="U16" s="21"/>
      <c r="V16" s="68"/>
      <c r="W16" s="22"/>
      <c r="X16" s="69"/>
      <c r="Y16" s="74"/>
      <c r="Z16" s="25" t="str">
        <f t="shared" si="0"/>
        <v/>
      </c>
      <c r="AA16" s="17" t="str">
        <f t="shared" ca="1" si="1"/>
        <v/>
      </c>
      <c r="AB16" s="17" t="str">
        <f t="shared" ca="1" si="2"/>
        <v/>
      </c>
      <c r="AC16" s="17" t="str">
        <f t="shared" ca="1" si="3"/>
        <v/>
      </c>
      <c r="AD16" s="17" t="str">
        <f t="shared" ca="1" si="4"/>
        <v/>
      </c>
      <c r="AE16" s="17" t="str">
        <f t="shared" si="5"/>
        <v/>
      </c>
      <c r="AF16" s="17" t="str">
        <f t="shared" si="6"/>
        <v/>
      </c>
      <c r="AG16" s="17" t="str">
        <f t="shared" si="7"/>
        <v/>
      </c>
      <c r="AH16" s="17">
        <f t="shared" si="8"/>
        <v>0</v>
      </c>
      <c r="AI16" s="17" t="str">
        <f t="shared" ca="1" si="9"/>
        <v/>
      </c>
      <c r="AJ16" s="17" t="str">
        <f t="shared" ca="1" si="10"/>
        <v/>
      </c>
      <c r="AK16" s="17" t="str">
        <f t="shared" si="11"/>
        <v/>
      </c>
      <c r="AL16" s="17" t="str">
        <f t="shared" ca="1" si="12"/>
        <v/>
      </c>
      <c r="AN16" s="24">
        <f t="shared" si="13"/>
        <v>0</v>
      </c>
      <c r="AO16" s="24">
        <f t="shared" si="14"/>
        <v>0</v>
      </c>
      <c r="AP16" s="24">
        <f t="shared" si="15"/>
        <v>0</v>
      </c>
      <c r="AQ16" s="24">
        <f t="shared" si="16"/>
        <v>0</v>
      </c>
      <c r="AR16" s="24">
        <f t="shared" si="17"/>
        <v>0</v>
      </c>
      <c r="AS16" s="24">
        <f t="shared" si="18"/>
        <v>0</v>
      </c>
    </row>
    <row r="17" spans="1:45" x14ac:dyDescent="0.25">
      <c r="A17" s="83"/>
      <c r="B17" s="16"/>
      <c r="C17" s="16"/>
      <c r="D17" s="15"/>
      <c r="E17" s="15"/>
      <c r="F17" s="15"/>
      <c r="G17" s="15"/>
      <c r="H17" s="16"/>
      <c r="I17" s="22"/>
      <c r="J17" s="16"/>
      <c r="K17" s="16"/>
      <c r="L17" s="15"/>
      <c r="M17" s="20"/>
      <c r="N17" s="15"/>
      <c r="O17" s="20"/>
      <c r="P17" s="15"/>
      <c r="Q17" s="15"/>
      <c r="R17" s="17" t="str">
        <f>IF(Q17="","",VLOOKUP(Q17,'References (2)'!C:D,2,0))</f>
        <v/>
      </c>
      <c r="S17" s="17" t="str">
        <f>IF(Q17="","",VLOOKUP(Q17,'References (2)'!C:F,4,0))</f>
        <v/>
      </c>
      <c r="T17" s="68"/>
      <c r="U17" s="21"/>
      <c r="V17" s="68"/>
      <c r="W17" s="22"/>
      <c r="X17" s="69"/>
      <c r="Y17" s="74"/>
      <c r="Z17" s="25" t="str">
        <f t="shared" si="0"/>
        <v/>
      </c>
      <c r="AA17" s="17" t="str">
        <f t="shared" ca="1" si="1"/>
        <v/>
      </c>
      <c r="AB17" s="17" t="str">
        <f t="shared" ca="1" si="2"/>
        <v/>
      </c>
      <c r="AC17" s="17" t="str">
        <f t="shared" ca="1" si="3"/>
        <v/>
      </c>
      <c r="AD17" s="17" t="str">
        <f t="shared" ca="1" si="4"/>
        <v/>
      </c>
      <c r="AE17" s="17" t="str">
        <f t="shared" si="5"/>
        <v/>
      </c>
      <c r="AF17" s="17" t="str">
        <f t="shared" si="6"/>
        <v/>
      </c>
      <c r="AG17" s="17" t="str">
        <f t="shared" si="7"/>
        <v/>
      </c>
      <c r="AH17" s="17">
        <f t="shared" si="8"/>
        <v>0</v>
      </c>
      <c r="AI17" s="17" t="str">
        <f t="shared" ca="1" si="9"/>
        <v/>
      </c>
      <c r="AJ17" s="17" t="str">
        <f t="shared" ca="1" si="10"/>
        <v/>
      </c>
      <c r="AK17" s="17" t="str">
        <f t="shared" si="11"/>
        <v/>
      </c>
      <c r="AL17" s="17" t="str">
        <f t="shared" ca="1" si="12"/>
        <v/>
      </c>
      <c r="AN17" s="24">
        <f t="shared" si="13"/>
        <v>0</v>
      </c>
      <c r="AO17" s="24">
        <f t="shared" si="14"/>
        <v>0</v>
      </c>
      <c r="AP17" s="24">
        <f t="shared" si="15"/>
        <v>0</v>
      </c>
      <c r="AQ17" s="24">
        <f t="shared" si="16"/>
        <v>0</v>
      </c>
      <c r="AR17" s="24">
        <f t="shared" si="17"/>
        <v>0</v>
      </c>
      <c r="AS17" s="24">
        <f t="shared" si="18"/>
        <v>0</v>
      </c>
    </row>
    <row r="18" spans="1:45" x14ac:dyDescent="0.25">
      <c r="A18" s="83"/>
      <c r="B18" s="16"/>
      <c r="C18" s="16"/>
      <c r="D18" s="15"/>
      <c r="E18" s="15"/>
      <c r="F18" s="15"/>
      <c r="G18" s="15"/>
      <c r="H18" s="16"/>
      <c r="I18" s="22"/>
      <c r="J18" s="16"/>
      <c r="K18" s="16"/>
      <c r="L18" s="15"/>
      <c r="M18" s="20"/>
      <c r="N18" s="15"/>
      <c r="O18" s="20"/>
      <c r="P18" s="15"/>
      <c r="Q18" s="15"/>
      <c r="R18" s="17" t="str">
        <f>IF(Q18="","",VLOOKUP(Q18,'References (2)'!C:D,2,0))</f>
        <v/>
      </c>
      <c r="S18" s="17" t="str">
        <f>IF(Q18="","",VLOOKUP(Q18,'References (2)'!C:F,4,0))</f>
        <v/>
      </c>
      <c r="T18" s="68"/>
      <c r="U18" s="21"/>
      <c r="V18" s="68"/>
      <c r="W18" s="22"/>
      <c r="X18" s="69"/>
      <c r="Y18" s="74"/>
      <c r="Z18" s="25" t="str">
        <f t="shared" si="0"/>
        <v/>
      </c>
      <c r="AA18" s="17" t="str">
        <f t="shared" ca="1" si="1"/>
        <v/>
      </c>
      <c r="AB18" s="17" t="str">
        <f t="shared" ca="1" si="2"/>
        <v/>
      </c>
      <c r="AC18" s="17" t="str">
        <f t="shared" ca="1" si="3"/>
        <v/>
      </c>
      <c r="AD18" s="17" t="str">
        <f t="shared" ca="1" si="4"/>
        <v/>
      </c>
      <c r="AE18" s="17" t="str">
        <f t="shared" si="5"/>
        <v/>
      </c>
      <c r="AF18" s="17" t="str">
        <f t="shared" si="6"/>
        <v/>
      </c>
      <c r="AG18" s="17" t="str">
        <f t="shared" si="7"/>
        <v/>
      </c>
      <c r="AH18" s="17">
        <f t="shared" si="8"/>
        <v>0</v>
      </c>
      <c r="AI18" s="17" t="str">
        <f t="shared" ca="1" si="9"/>
        <v/>
      </c>
      <c r="AJ18" s="17" t="str">
        <f t="shared" ca="1" si="10"/>
        <v/>
      </c>
      <c r="AK18" s="17" t="str">
        <f t="shared" si="11"/>
        <v/>
      </c>
      <c r="AL18" s="17" t="str">
        <f t="shared" ca="1" si="12"/>
        <v/>
      </c>
      <c r="AN18" s="24">
        <f t="shared" si="13"/>
        <v>0</v>
      </c>
      <c r="AO18" s="24">
        <f t="shared" si="14"/>
        <v>0</v>
      </c>
      <c r="AP18" s="24">
        <f t="shared" si="15"/>
        <v>0</v>
      </c>
      <c r="AQ18" s="24">
        <f t="shared" si="16"/>
        <v>0</v>
      </c>
      <c r="AR18" s="24">
        <f t="shared" si="17"/>
        <v>0</v>
      </c>
      <c r="AS18" s="24">
        <f t="shared" si="18"/>
        <v>0</v>
      </c>
    </row>
    <row r="19" spans="1:45" x14ac:dyDescent="0.25">
      <c r="A19" s="83"/>
      <c r="B19" s="16"/>
      <c r="C19" s="16"/>
      <c r="D19" s="15"/>
      <c r="E19" s="15"/>
      <c r="F19" s="15"/>
      <c r="G19" s="15"/>
      <c r="H19" s="16"/>
      <c r="I19" s="22"/>
      <c r="J19" s="16"/>
      <c r="K19" s="16"/>
      <c r="L19" s="15"/>
      <c r="M19" s="20"/>
      <c r="N19" s="15"/>
      <c r="O19" s="20"/>
      <c r="P19" s="15"/>
      <c r="Q19" s="15"/>
      <c r="R19" s="17" t="str">
        <f>IF(Q19="","",VLOOKUP(Q19,'References (2)'!C:D,2,0))</f>
        <v/>
      </c>
      <c r="S19" s="17" t="str">
        <f>IF(Q19="","",VLOOKUP(Q19,'References (2)'!C:F,4,0))</f>
        <v/>
      </c>
      <c r="T19" s="68"/>
      <c r="U19" s="21"/>
      <c r="V19" s="68"/>
      <c r="W19" s="22"/>
      <c r="X19" s="69"/>
      <c r="Y19" s="74"/>
      <c r="Z19" s="25" t="str">
        <f t="shared" si="0"/>
        <v/>
      </c>
      <c r="AA19" s="17" t="str">
        <f t="shared" ca="1" si="1"/>
        <v/>
      </c>
      <c r="AB19" s="17" t="str">
        <f t="shared" ca="1" si="2"/>
        <v/>
      </c>
      <c r="AC19" s="17" t="str">
        <f t="shared" ca="1" si="3"/>
        <v/>
      </c>
      <c r="AD19" s="17" t="str">
        <f t="shared" ca="1" si="4"/>
        <v/>
      </c>
      <c r="AE19" s="17" t="str">
        <f t="shared" si="5"/>
        <v/>
      </c>
      <c r="AF19" s="17" t="str">
        <f t="shared" si="6"/>
        <v/>
      </c>
      <c r="AG19" s="17" t="str">
        <f t="shared" si="7"/>
        <v/>
      </c>
      <c r="AH19" s="17">
        <f t="shared" si="8"/>
        <v>0</v>
      </c>
      <c r="AI19" s="17" t="str">
        <f t="shared" ca="1" si="9"/>
        <v/>
      </c>
      <c r="AJ19" s="17" t="str">
        <f t="shared" ca="1" si="10"/>
        <v/>
      </c>
      <c r="AK19" s="17" t="str">
        <f t="shared" si="11"/>
        <v/>
      </c>
      <c r="AL19" s="17" t="str">
        <f t="shared" ca="1" si="12"/>
        <v/>
      </c>
      <c r="AN19" s="24">
        <f t="shared" si="13"/>
        <v>0</v>
      </c>
      <c r="AO19" s="24">
        <f t="shared" si="14"/>
        <v>0</v>
      </c>
      <c r="AP19" s="24">
        <f t="shared" si="15"/>
        <v>0</v>
      </c>
      <c r="AQ19" s="24">
        <f t="shared" si="16"/>
        <v>0</v>
      </c>
      <c r="AR19" s="24">
        <f t="shared" si="17"/>
        <v>0</v>
      </c>
      <c r="AS19" s="24">
        <f t="shared" si="18"/>
        <v>0</v>
      </c>
    </row>
    <row r="20" spans="1:45" x14ac:dyDescent="0.25">
      <c r="A20" s="83"/>
      <c r="B20" s="16"/>
      <c r="C20" s="16"/>
      <c r="D20" s="15"/>
      <c r="E20" s="15"/>
      <c r="F20" s="15"/>
      <c r="G20" s="15"/>
      <c r="H20" s="16"/>
      <c r="I20" s="22"/>
      <c r="J20" s="16"/>
      <c r="K20" s="16"/>
      <c r="L20" s="15"/>
      <c r="M20" s="20"/>
      <c r="N20" s="15"/>
      <c r="O20" s="20"/>
      <c r="P20" s="15"/>
      <c r="Q20" s="15"/>
      <c r="R20" s="17" t="str">
        <f>IF(Q20="","",VLOOKUP(Q20,'References (2)'!C:D,2,0))</f>
        <v/>
      </c>
      <c r="S20" s="17" t="str">
        <f>IF(Q20="","",VLOOKUP(Q20,'References (2)'!C:F,4,0))</f>
        <v/>
      </c>
      <c r="T20" s="68"/>
      <c r="U20" s="21"/>
      <c r="V20" s="68"/>
      <c r="W20" s="22"/>
      <c r="X20" s="69"/>
      <c r="Y20" s="74"/>
      <c r="Z20" s="25" t="str">
        <f t="shared" si="0"/>
        <v/>
      </c>
      <c r="AA20" s="17" t="str">
        <f t="shared" ca="1" si="1"/>
        <v/>
      </c>
      <c r="AB20" s="17" t="str">
        <f t="shared" ca="1" si="2"/>
        <v/>
      </c>
      <c r="AC20" s="17" t="str">
        <f t="shared" ca="1" si="3"/>
        <v/>
      </c>
      <c r="AD20" s="17" t="str">
        <f t="shared" ca="1" si="4"/>
        <v/>
      </c>
      <c r="AE20" s="17" t="str">
        <f t="shared" si="5"/>
        <v/>
      </c>
      <c r="AF20" s="17" t="str">
        <f t="shared" si="6"/>
        <v/>
      </c>
      <c r="AG20" s="17" t="str">
        <f t="shared" si="7"/>
        <v/>
      </c>
      <c r="AH20" s="17">
        <f t="shared" si="8"/>
        <v>0</v>
      </c>
      <c r="AI20" s="17" t="str">
        <f t="shared" ca="1" si="9"/>
        <v/>
      </c>
      <c r="AJ20" s="17" t="str">
        <f t="shared" ca="1" si="10"/>
        <v/>
      </c>
      <c r="AK20" s="17" t="str">
        <f t="shared" si="11"/>
        <v/>
      </c>
      <c r="AL20" s="17" t="str">
        <f t="shared" ca="1" si="12"/>
        <v/>
      </c>
      <c r="AN20" s="24">
        <f t="shared" si="13"/>
        <v>0</v>
      </c>
      <c r="AO20" s="24">
        <f t="shared" si="14"/>
        <v>0</v>
      </c>
      <c r="AP20" s="24">
        <f t="shared" si="15"/>
        <v>0</v>
      </c>
      <c r="AQ20" s="24">
        <f t="shared" si="16"/>
        <v>0</v>
      </c>
      <c r="AR20" s="24">
        <f t="shared" si="17"/>
        <v>0</v>
      </c>
      <c r="AS20" s="24">
        <f t="shared" si="18"/>
        <v>0</v>
      </c>
    </row>
    <row r="21" spans="1:45" x14ac:dyDescent="0.25">
      <c r="A21" s="83"/>
      <c r="B21" s="16"/>
      <c r="C21" s="16"/>
      <c r="D21" s="15"/>
      <c r="E21" s="15"/>
      <c r="F21" s="15"/>
      <c r="G21" s="15"/>
      <c r="H21" s="15"/>
      <c r="I21" s="22"/>
      <c r="J21" s="16"/>
      <c r="K21" s="15"/>
      <c r="L21" s="15"/>
      <c r="M21" s="19"/>
      <c r="N21" s="15"/>
      <c r="O21" s="20"/>
      <c r="P21" s="15"/>
      <c r="Q21" s="15"/>
      <c r="R21" s="17" t="str">
        <f>IF(Q21="","",VLOOKUP(Q21,'References (2)'!C:D,2,0))</f>
        <v/>
      </c>
      <c r="S21" s="17" t="str">
        <f>IF(Q21="","",VLOOKUP(Q21,'References (2)'!C:F,4,0))</f>
        <v/>
      </c>
      <c r="T21" s="71"/>
      <c r="U21" s="66"/>
      <c r="V21" s="71"/>
      <c r="W21" s="64"/>
      <c r="X21" s="69"/>
      <c r="Y21" s="74"/>
      <c r="Z21" s="25" t="str">
        <f t="shared" si="0"/>
        <v/>
      </c>
      <c r="AA21" s="17" t="str">
        <f t="shared" ca="1" si="1"/>
        <v/>
      </c>
      <c r="AB21" s="17" t="str">
        <f t="shared" ca="1" si="2"/>
        <v/>
      </c>
      <c r="AC21" s="17" t="str">
        <f t="shared" ca="1" si="3"/>
        <v/>
      </c>
      <c r="AD21" s="17" t="str">
        <f t="shared" ca="1" si="4"/>
        <v/>
      </c>
      <c r="AE21" s="17" t="str">
        <f t="shared" si="5"/>
        <v/>
      </c>
      <c r="AF21" s="17" t="str">
        <f t="shared" si="6"/>
        <v/>
      </c>
      <c r="AG21" s="17" t="str">
        <f t="shared" si="7"/>
        <v/>
      </c>
      <c r="AH21" s="17">
        <f t="shared" si="8"/>
        <v>0</v>
      </c>
      <c r="AI21" s="17" t="str">
        <f t="shared" ca="1" si="9"/>
        <v/>
      </c>
      <c r="AJ21" s="17" t="str">
        <f t="shared" ca="1" si="10"/>
        <v/>
      </c>
      <c r="AK21" s="17" t="str">
        <f t="shared" si="11"/>
        <v/>
      </c>
      <c r="AL21" s="17" t="str">
        <f t="shared" ca="1" si="12"/>
        <v/>
      </c>
      <c r="AN21" s="24">
        <f t="shared" si="13"/>
        <v>0</v>
      </c>
      <c r="AO21" s="24">
        <f t="shared" si="14"/>
        <v>0</v>
      </c>
      <c r="AP21" s="24">
        <f t="shared" si="15"/>
        <v>0</v>
      </c>
      <c r="AQ21" s="24">
        <f t="shared" si="16"/>
        <v>0</v>
      </c>
      <c r="AR21" s="24">
        <f t="shared" si="17"/>
        <v>0</v>
      </c>
      <c r="AS21" s="24">
        <f t="shared" si="18"/>
        <v>0</v>
      </c>
    </row>
    <row r="22" spans="1:45" x14ac:dyDescent="0.25">
      <c r="A22" s="83"/>
      <c r="B22" s="16"/>
      <c r="C22" s="16"/>
      <c r="D22" s="15"/>
      <c r="E22" s="15"/>
      <c r="F22" s="15"/>
      <c r="G22" s="15"/>
      <c r="H22" s="16"/>
      <c r="I22" s="22"/>
      <c r="J22" s="16"/>
      <c r="K22" s="16"/>
      <c r="L22" s="15"/>
      <c r="M22" s="20"/>
      <c r="N22" s="15"/>
      <c r="O22" s="20"/>
      <c r="P22" s="15"/>
      <c r="Q22" s="15"/>
      <c r="R22" s="17" t="str">
        <f>IF(Q22="","",VLOOKUP(Q22,'References (2)'!C:D,2,0))</f>
        <v/>
      </c>
      <c r="S22" s="17" t="str">
        <f>IF(Q22="","",VLOOKUP(Q22,'References (2)'!C:F,4,0))</f>
        <v/>
      </c>
      <c r="T22" s="71"/>
      <c r="U22" s="66"/>
      <c r="V22" s="71"/>
      <c r="W22" s="64"/>
      <c r="X22" s="69"/>
      <c r="Y22" s="74"/>
      <c r="Z22" s="25" t="str">
        <f t="shared" si="0"/>
        <v/>
      </c>
      <c r="AA22" s="17" t="str">
        <f t="shared" ca="1" si="1"/>
        <v/>
      </c>
      <c r="AB22" s="17" t="str">
        <f t="shared" ca="1" si="2"/>
        <v/>
      </c>
      <c r="AC22" s="17" t="str">
        <f t="shared" ca="1" si="3"/>
        <v/>
      </c>
      <c r="AD22" s="17" t="str">
        <f t="shared" ca="1" si="4"/>
        <v/>
      </c>
      <c r="AE22" s="17" t="str">
        <f t="shared" si="5"/>
        <v/>
      </c>
      <c r="AF22" s="17" t="str">
        <f t="shared" si="6"/>
        <v/>
      </c>
      <c r="AG22" s="17" t="str">
        <f t="shared" si="7"/>
        <v/>
      </c>
      <c r="AH22" s="17">
        <f t="shared" si="8"/>
        <v>0</v>
      </c>
      <c r="AI22" s="17" t="str">
        <f t="shared" ca="1" si="9"/>
        <v/>
      </c>
      <c r="AJ22" s="17" t="str">
        <f t="shared" ca="1" si="10"/>
        <v/>
      </c>
      <c r="AK22" s="17" t="str">
        <f t="shared" si="11"/>
        <v/>
      </c>
      <c r="AL22" s="17" t="str">
        <f t="shared" ca="1" si="12"/>
        <v/>
      </c>
      <c r="AN22" s="24">
        <f t="shared" si="13"/>
        <v>0</v>
      </c>
      <c r="AO22" s="24">
        <f t="shared" si="14"/>
        <v>0</v>
      </c>
      <c r="AP22" s="24">
        <f t="shared" si="15"/>
        <v>0</v>
      </c>
      <c r="AQ22" s="24">
        <f t="shared" si="16"/>
        <v>0</v>
      </c>
      <c r="AR22" s="24">
        <f t="shared" si="17"/>
        <v>0</v>
      </c>
      <c r="AS22" s="24">
        <f t="shared" si="18"/>
        <v>0</v>
      </c>
    </row>
    <row r="23" spans="1:45" x14ac:dyDescent="0.25">
      <c r="A23" s="83"/>
      <c r="B23" s="16"/>
      <c r="C23" s="16"/>
      <c r="D23" s="15"/>
      <c r="E23" s="15"/>
      <c r="F23" s="15"/>
      <c r="G23" s="15"/>
      <c r="H23" s="16"/>
      <c r="I23" s="22"/>
      <c r="J23" s="16"/>
      <c r="K23" s="16"/>
      <c r="L23" s="15"/>
      <c r="M23" s="20"/>
      <c r="N23" s="15"/>
      <c r="O23" s="20"/>
      <c r="P23" s="15"/>
      <c r="Q23" s="15"/>
      <c r="R23" s="17" t="str">
        <f>IF(Q23="","",VLOOKUP(Q23,'References (2)'!C:D,2,0))</f>
        <v/>
      </c>
      <c r="S23" s="17" t="str">
        <f>IF(Q23="","",VLOOKUP(Q23,'References (2)'!C:F,4,0))</f>
        <v/>
      </c>
      <c r="T23" s="71"/>
      <c r="U23" s="66"/>
      <c r="V23" s="71"/>
      <c r="W23" s="64"/>
      <c r="X23" s="69"/>
      <c r="Y23" s="74"/>
      <c r="Z23" s="25" t="str">
        <f t="shared" si="0"/>
        <v/>
      </c>
      <c r="AA23" s="17" t="str">
        <f t="shared" ca="1" si="1"/>
        <v/>
      </c>
      <c r="AB23" s="17" t="str">
        <f t="shared" ca="1" si="2"/>
        <v/>
      </c>
      <c r="AC23" s="17" t="str">
        <f t="shared" ca="1" si="3"/>
        <v/>
      </c>
      <c r="AD23" s="17" t="str">
        <f t="shared" ca="1" si="4"/>
        <v/>
      </c>
      <c r="AE23" s="17" t="str">
        <f t="shared" si="5"/>
        <v/>
      </c>
      <c r="AF23" s="17" t="str">
        <f t="shared" si="6"/>
        <v/>
      </c>
      <c r="AG23" s="17" t="str">
        <f t="shared" si="7"/>
        <v/>
      </c>
      <c r="AH23" s="17">
        <f t="shared" si="8"/>
        <v>0</v>
      </c>
      <c r="AI23" s="17" t="str">
        <f t="shared" ca="1" si="9"/>
        <v/>
      </c>
      <c r="AJ23" s="17" t="str">
        <f t="shared" ca="1" si="10"/>
        <v/>
      </c>
      <c r="AK23" s="17" t="str">
        <f t="shared" si="11"/>
        <v/>
      </c>
      <c r="AL23" s="17" t="str">
        <f t="shared" ca="1" si="12"/>
        <v/>
      </c>
      <c r="AN23" s="24">
        <f t="shared" si="13"/>
        <v>0</v>
      </c>
      <c r="AO23" s="24">
        <f t="shared" si="14"/>
        <v>0</v>
      </c>
      <c r="AP23" s="24">
        <f t="shared" si="15"/>
        <v>0</v>
      </c>
      <c r="AQ23" s="24">
        <f t="shared" si="16"/>
        <v>0</v>
      </c>
      <c r="AR23" s="24">
        <f t="shared" si="17"/>
        <v>0</v>
      </c>
      <c r="AS23" s="24">
        <f t="shared" si="18"/>
        <v>0</v>
      </c>
    </row>
    <row r="24" spans="1:45" x14ac:dyDescent="0.25">
      <c r="A24" s="83"/>
      <c r="B24" s="16"/>
      <c r="C24" s="16"/>
      <c r="D24" s="15"/>
      <c r="E24" s="15"/>
      <c r="F24" s="15"/>
      <c r="G24" s="15"/>
      <c r="H24" s="16"/>
      <c r="I24" s="22"/>
      <c r="J24" s="16"/>
      <c r="K24" s="16"/>
      <c r="L24" s="15"/>
      <c r="M24" s="20"/>
      <c r="N24" s="15"/>
      <c r="O24" s="20"/>
      <c r="P24" s="15"/>
      <c r="Q24" s="15"/>
      <c r="R24" s="17" t="str">
        <f>IF(Q24="","",VLOOKUP(Q24,'References (2)'!C:D,2,0))</f>
        <v/>
      </c>
      <c r="S24" s="17" t="str">
        <f>IF(Q24="","",VLOOKUP(Q24,'References (2)'!C:F,4,0))</f>
        <v/>
      </c>
      <c r="T24" s="72"/>
      <c r="U24" s="66"/>
      <c r="V24" s="71"/>
      <c r="W24" s="64"/>
      <c r="X24" s="69"/>
      <c r="Y24" s="74"/>
      <c r="Z24" s="25" t="str">
        <f t="shared" si="0"/>
        <v/>
      </c>
      <c r="AA24" s="17" t="str">
        <f t="shared" ca="1" si="1"/>
        <v/>
      </c>
      <c r="AB24" s="17" t="str">
        <f t="shared" ca="1" si="2"/>
        <v/>
      </c>
      <c r="AC24" s="17" t="str">
        <f t="shared" ca="1" si="3"/>
        <v/>
      </c>
      <c r="AD24" s="17" t="str">
        <f t="shared" ca="1" si="4"/>
        <v/>
      </c>
      <c r="AE24" s="17" t="str">
        <f t="shared" si="5"/>
        <v/>
      </c>
      <c r="AF24" s="17" t="str">
        <f t="shared" si="6"/>
        <v/>
      </c>
      <c r="AG24" s="17" t="str">
        <f t="shared" si="7"/>
        <v/>
      </c>
      <c r="AH24" s="17">
        <f t="shared" si="8"/>
        <v>0</v>
      </c>
      <c r="AI24" s="17" t="str">
        <f t="shared" ca="1" si="9"/>
        <v/>
      </c>
      <c r="AJ24" s="17" t="str">
        <f t="shared" ca="1" si="10"/>
        <v/>
      </c>
      <c r="AK24" s="17" t="str">
        <f t="shared" si="11"/>
        <v/>
      </c>
      <c r="AL24" s="17" t="str">
        <f t="shared" ca="1" si="12"/>
        <v/>
      </c>
      <c r="AN24" s="24">
        <f t="shared" si="13"/>
        <v>0</v>
      </c>
      <c r="AO24" s="24">
        <f t="shared" si="14"/>
        <v>0</v>
      </c>
      <c r="AP24" s="24">
        <f t="shared" si="15"/>
        <v>0</v>
      </c>
      <c r="AQ24" s="24">
        <f t="shared" si="16"/>
        <v>0</v>
      </c>
      <c r="AR24" s="24">
        <f t="shared" si="17"/>
        <v>0</v>
      </c>
      <c r="AS24" s="24">
        <f t="shared" si="18"/>
        <v>0</v>
      </c>
    </row>
    <row r="25" spans="1:45" x14ac:dyDescent="0.25">
      <c r="A25" s="83"/>
      <c r="B25" s="16"/>
      <c r="C25" s="16"/>
      <c r="D25" s="15"/>
      <c r="E25" s="15"/>
      <c r="F25" s="15"/>
      <c r="G25" s="15"/>
      <c r="H25" s="16"/>
      <c r="I25" s="22"/>
      <c r="J25" s="16"/>
      <c r="K25" s="16"/>
      <c r="L25" s="15"/>
      <c r="M25" s="20"/>
      <c r="N25" s="15"/>
      <c r="O25" s="20"/>
      <c r="P25" s="15"/>
      <c r="Q25" s="15"/>
      <c r="R25" s="17" t="str">
        <f>IF(Q25="","",VLOOKUP(Q25,'References (2)'!C:D,2,0))</f>
        <v/>
      </c>
      <c r="S25" s="17" t="str">
        <f>IF(Q25="","",VLOOKUP(Q25,'References (2)'!C:F,4,0))</f>
        <v/>
      </c>
      <c r="T25" s="72"/>
      <c r="U25" s="66"/>
      <c r="V25" s="71"/>
      <c r="W25" s="22"/>
      <c r="X25" s="69"/>
      <c r="Y25" s="74"/>
      <c r="Z25" s="25" t="str">
        <f t="shared" si="0"/>
        <v/>
      </c>
      <c r="AA25" s="17" t="str">
        <f t="shared" ca="1" si="1"/>
        <v/>
      </c>
      <c r="AB25" s="17" t="str">
        <f t="shared" ca="1" si="2"/>
        <v/>
      </c>
      <c r="AC25" s="17" t="str">
        <f t="shared" ca="1" si="3"/>
        <v/>
      </c>
      <c r="AD25" s="17" t="str">
        <f t="shared" ca="1" si="4"/>
        <v/>
      </c>
      <c r="AE25" s="17" t="str">
        <f t="shared" si="5"/>
        <v/>
      </c>
      <c r="AF25" s="17" t="str">
        <f t="shared" si="6"/>
        <v/>
      </c>
      <c r="AG25" s="17" t="str">
        <f t="shared" si="7"/>
        <v/>
      </c>
      <c r="AH25" s="17">
        <f t="shared" si="8"/>
        <v>0</v>
      </c>
      <c r="AI25" s="17" t="str">
        <f t="shared" ca="1" si="9"/>
        <v/>
      </c>
      <c r="AJ25" s="17" t="str">
        <f t="shared" ca="1" si="10"/>
        <v/>
      </c>
      <c r="AK25" s="17" t="str">
        <f t="shared" si="11"/>
        <v/>
      </c>
      <c r="AL25" s="17" t="str">
        <f t="shared" ca="1" si="12"/>
        <v/>
      </c>
      <c r="AN25" s="24">
        <f t="shared" si="13"/>
        <v>0</v>
      </c>
      <c r="AO25" s="24">
        <f t="shared" si="14"/>
        <v>0</v>
      </c>
      <c r="AP25" s="24">
        <f t="shared" si="15"/>
        <v>0</v>
      </c>
      <c r="AQ25" s="24">
        <f t="shared" si="16"/>
        <v>0</v>
      </c>
      <c r="AR25" s="24">
        <f t="shared" si="17"/>
        <v>0</v>
      </c>
      <c r="AS25" s="24">
        <f t="shared" si="18"/>
        <v>0</v>
      </c>
    </row>
    <row r="26" spans="1:45" x14ac:dyDescent="0.25">
      <c r="A26" s="83"/>
      <c r="B26" s="16"/>
      <c r="C26" s="16"/>
      <c r="D26" s="15"/>
      <c r="E26" s="15"/>
      <c r="F26" s="15"/>
      <c r="G26" s="15"/>
      <c r="H26" s="16"/>
      <c r="I26" s="22"/>
      <c r="J26" s="16"/>
      <c r="K26" s="16"/>
      <c r="L26" s="15"/>
      <c r="M26" s="20"/>
      <c r="N26" s="15"/>
      <c r="O26" s="20"/>
      <c r="P26" s="15"/>
      <c r="Q26" s="15"/>
      <c r="R26" s="17" t="str">
        <f>IF(Q26="","",VLOOKUP(Q26,'References (2)'!C:D,2,0))</f>
        <v/>
      </c>
      <c r="S26" s="17" t="str">
        <f>IF(Q26="","",VLOOKUP(Q26,'References (2)'!C:F,4,0))</f>
        <v/>
      </c>
      <c r="T26" s="71"/>
      <c r="U26" s="66"/>
      <c r="V26" s="71"/>
      <c r="W26" s="64"/>
      <c r="X26" s="69"/>
      <c r="Y26" s="74"/>
      <c r="Z26" s="25" t="str">
        <f t="shared" si="0"/>
        <v/>
      </c>
      <c r="AA26" s="17" t="str">
        <f t="shared" ca="1" si="1"/>
        <v/>
      </c>
      <c r="AB26" s="17" t="str">
        <f t="shared" ca="1" si="2"/>
        <v/>
      </c>
      <c r="AC26" s="17" t="str">
        <f t="shared" ca="1" si="3"/>
        <v/>
      </c>
      <c r="AD26" s="17" t="str">
        <f t="shared" ca="1" si="4"/>
        <v/>
      </c>
      <c r="AE26" s="17" t="str">
        <f t="shared" si="5"/>
        <v/>
      </c>
      <c r="AF26" s="17" t="str">
        <f t="shared" si="6"/>
        <v/>
      </c>
      <c r="AG26" s="17" t="str">
        <f t="shared" si="7"/>
        <v/>
      </c>
      <c r="AH26" s="17">
        <f t="shared" si="8"/>
        <v>0</v>
      </c>
      <c r="AI26" s="17" t="str">
        <f t="shared" ca="1" si="9"/>
        <v/>
      </c>
      <c r="AJ26" s="17" t="str">
        <f t="shared" ca="1" si="10"/>
        <v/>
      </c>
      <c r="AK26" s="17" t="str">
        <f t="shared" si="11"/>
        <v/>
      </c>
      <c r="AL26" s="17" t="str">
        <f t="shared" ca="1" si="12"/>
        <v/>
      </c>
      <c r="AN26" s="24">
        <f t="shared" si="13"/>
        <v>0</v>
      </c>
      <c r="AO26" s="24">
        <f t="shared" si="14"/>
        <v>0</v>
      </c>
      <c r="AP26" s="24">
        <f t="shared" si="15"/>
        <v>0</v>
      </c>
      <c r="AQ26" s="24">
        <f t="shared" si="16"/>
        <v>0</v>
      </c>
      <c r="AR26" s="24">
        <f t="shared" si="17"/>
        <v>0</v>
      </c>
      <c r="AS26" s="24">
        <f t="shared" si="18"/>
        <v>0</v>
      </c>
    </row>
    <row r="27" spans="1:45" x14ac:dyDescent="0.25">
      <c r="A27" s="83"/>
      <c r="B27" s="16"/>
      <c r="C27" s="16"/>
      <c r="D27" s="15"/>
      <c r="E27" s="15"/>
      <c r="F27" s="15"/>
      <c r="G27" s="15"/>
      <c r="H27" s="15"/>
      <c r="I27" s="22"/>
      <c r="J27" s="16"/>
      <c r="K27" s="15"/>
      <c r="L27" s="15"/>
      <c r="M27" s="19"/>
      <c r="N27" s="15"/>
      <c r="O27" s="20"/>
      <c r="P27" s="15"/>
      <c r="Q27" s="15"/>
      <c r="R27" s="17" t="str">
        <f>IF(Q27="","",VLOOKUP(Q27,'References (2)'!C:D,2,0))</f>
        <v/>
      </c>
      <c r="S27" s="17" t="str">
        <f>IF(Q27="","",VLOOKUP(Q27,'References (2)'!C:F,4,0))</f>
        <v/>
      </c>
      <c r="T27" s="71"/>
      <c r="U27" s="66"/>
      <c r="V27" s="71"/>
      <c r="W27" s="22"/>
      <c r="X27" s="69"/>
      <c r="Y27" s="74"/>
      <c r="Z27" s="25" t="str">
        <f t="shared" si="0"/>
        <v/>
      </c>
      <c r="AA27" s="17" t="str">
        <f t="shared" ca="1" si="1"/>
        <v/>
      </c>
      <c r="AB27" s="17" t="str">
        <f t="shared" ca="1" si="2"/>
        <v/>
      </c>
      <c r="AC27" s="17" t="str">
        <f t="shared" ca="1" si="3"/>
        <v/>
      </c>
      <c r="AD27" s="17" t="str">
        <f t="shared" ca="1" si="4"/>
        <v/>
      </c>
      <c r="AE27" s="17" t="str">
        <f t="shared" si="5"/>
        <v/>
      </c>
      <c r="AF27" s="17" t="str">
        <f t="shared" si="6"/>
        <v/>
      </c>
      <c r="AG27" s="17" t="str">
        <f t="shared" si="7"/>
        <v/>
      </c>
      <c r="AH27" s="17">
        <f t="shared" si="8"/>
        <v>0</v>
      </c>
      <c r="AI27" s="17" t="str">
        <f t="shared" ca="1" si="9"/>
        <v/>
      </c>
      <c r="AJ27" s="17" t="str">
        <f t="shared" ca="1" si="10"/>
        <v/>
      </c>
      <c r="AK27" s="17" t="str">
        <f t="shared" si="11"/>
        <v/>
      </c>
      <c r="AL27" s="17" t="str">
        <f t="shared" ca="1" si="12"/>
        <v/>
      </c>
      <c r="AN27" s="24">
        <f t="shared" si="13"/>
        <v>0</v>
      </c>
      <c r="AO27" s="24">
        <f t="shared" si="14"/>
        <v>0</v>
      </c>
      <c r="AP27" s="24">
        <f t="shared" si="15"/>
        <v>0</v>
      </c>
      <c r="AQ27" s="24">
        <f t="shared" si="16"/>
        <v>0</v>
      </c>
      <c r="AR27" s="24">
        <f t="shared" si="17"/>
        <v>0</v>
      </c>
      <c r="AS27" s="24">
        <f t="shared" si="18"/>
        <v>0</v>
      </c>
    </row>
    <row r="28" spans="1:45" x14ac:dyDescent="0.25">
      <c r="A28" s="83"/>
      <c r="B28" s="16"/>
      <c r="C28" s="16"/>
      <c r="D28" s="15"/>
      <c r="E28" s="15"/>
      <c r="F28" s="15"/>
      <c r="G28" s="15"/>
      <c r="H28" s="16"/>
      <c r="I28" s="22"/>
      <c r="J28" s="16"/>
      <c r="K28" s="16"/>
      <c r="L28" s="15"/>
      <c r="M28" s="20"/>
      <c r="N28" s="15"/>
      <c r="O28" s="20"/>
      <c r="P28" s="15"/>
      <c r="Q28" s="15"/>
      <c r="R28" s="17" t="str">
        <f>IF(Q28="","",VLOOKUP(Q28,'References (2)'!C:D,2,0))</f>
        <v/>
      </c>
      <c r="S28" s="17" t="str">
        <f>IF(Q28="","",VLOOKUP(Q28,'References (2)'!C:F,4,0))</f>
        <v/>
      </c>
      <c r="T28" s="71"/>
      <c r="U28" s="66"/>
      <c r="V28" s="71"/>
      <c r="W28" s="64"/>
      <c r="X28" s="69"/>
      <c r="Y28" s="74"/>
      <c r="Z28" s="25" t="str">
        <f t="shared" si="0"/>
        <v/>
      </c>
      <c r="AA28" s="17" t="str">
        <f t="shared" ca="1" si="1"/>
        <v/>
      </c>
      <c r="AB28" s="17" t="str">
        <f t="shared" ca="1" si="2"/>
        <v/>
      </c>
      <c r="AC28" s="17" t="str">
        <f t="shared" ca="1" si="3"/>
        <v/>
      </c>
      <c r="AD28" s="17" t="str">
        <f t="shared" ca="1" si="4"/>
        <v/>
      </c>
      <c r="AE28" s="17" t="str">
        <f t="shared" si="5"/>
        <v/>
      </c>
      <c r="AF28" s="17" t="str">
        <f t="shared" si="6"/>
        <v/>
      </c>
      <c r="AG28" s="17" t="str">
        <f t="shared" si="7"/>
        <v/>
      </c>
      <c r="AH28" s="17">
        <f t="shared" si="8"/>
        <v>0</v>
      </c>
      <c r="AI28" s="17" t="str">
        <f t="shared" ca="1" si="9"/>
        <v/>
      </c>
      <c r="AJ28" s="17" t="str">
        <f t="shared" ca="1" si="10"/>
        <v/>
      </c>
      <c r="AK28" s="17" t="str">
        <f t="shared" si="11"/>
        <v/>
      </c>
      <c r="AL28" s="17" t="str">
        <f t="shared" ca="1" si="12"/>
        <v/>
      </c>
      <c r="AN28" s="24">
        <f t="shared" si="13"/>
        <v>0</v>
      </c>
      <c r="AO28" s="24">
        <f t="shared" si="14"/>
        <v>0</v>
      </c>
      <c r="AP28" s="24">
        <f t="shared" si="15"/>
        <v>0</v>
      </c>
      <c r="AQ28" s="24">
        <f t="shared" si="16"/>
        <v>0</v>
      </c>
      <c r="AR28" s="24">
        <f t="shared" si="17"/>
        <v>0</v>
      </c>
      <c r="AS28" s="24">
        <f t="shared" si="18"/>
        <v>0</v>
      </c>
    </row>
    <row r="29" spans="1:45" x14ac:dyDescent="0.25">
      <c r="A29" s="83"/>
      <c r="B29" s="16"/>
      <c r="C29" s="16"/>
      <c r="D29" s="15"/>
      <c r="E29" s="15"/>
      <c r="F29" s="15"/>
      <c r="G29" s="15"/>
      <c r="H29" s="16"/>
      <c r="I29" s="22"/>
      <c r="J29" s="16"/>
      <c r="K29" s="16"/>
      <c r="L29" s="15"/>
      <c r="M29" s="20"/>
      <c r="N29" s="15"/>
      <c r="O29" s="20"/>
      <c r="P29" s="15"/>
      <c r="Q29" s="15"/>
      <c r="R29" s="17" t="str">
        <f>IF(Q29="","",VLOOKUP(Q29,'References (2)'!C:D,2,0))</f>
        <v/>
      </c>
      <c r="S29" s="17" t="str">
        <f>IF(Q29="","",VLOOKUP(Q29,'References (2)'!C:F,4,0))</f>
        <v/>
      </c>
      <c r="T29" s="71"/>
      <c r="U29" s="66"/>
      <c r="V29" s="71"/>
      <c r="W29" s="22"/>
      <c r="X29" s="69"/>
      <c r="Y29" s="74"/>
      <c r="Z29" s="25" t="str">
        <f t="shared" si="0"/>
        <v/>
      </c>
      <c r="AA29" s="17" t="str">
        <f t="shared" ca="1" si="1"/>
        <v/>
      </c>
      <c r="AB29" s="17" t="str">
        <f t="shared" ca="1" si="2"/>
        <v/>
      </c>
      <c r="AC29" s="17" t="str">
        <f t="shared" ca="1" si="3"/>
        <v/>
      </c>
      <c r="AD29" s="17" t="str">
        <f t="shared" ca="1" si="4"/>
        <v/>
      </c>
      <c r="AE29" s="17" t="str">
        <f t="shared" si="5"/>
        <v/>
      </c>
      <c r="AF29" s="17" t="str">
        <f t="shared" si="6"/>
        <v/>
      </c>
      <c r="AG29" s="17" t="str">
        <f t="shared" si="7"/>
        <v/>
      </c>
      <c r="AH29" s="17">
        <f t="shared" si="8"/>
        <v>0</v>
      </c>
      <c r="AI29" s="17" t="str">
        <f t="shared" ca="1" si="9"/>
        <v/>
      </c>
      <c r="AJ29" s="17" t="str">
        <f t="shared" ca="1" si="10"/>
        <v/>
      </c>
      <c r="AK29" s="17" t="str">
        <f t="shared" si="11"/>
        <v/>
      </c>
      <c r="AL29" s="17" t="str">
        <f t="shared" ca="1" si="12"/>
        <v/>
      </c>
      <c r="AN29" s="24">
        <f t="shared" si="13"/>
        <v>0</v>
      </c>
      <c r="AO29" s="24">
        <f t="shared" si="14"/>
        <v>0</v>
      </c>
      <c r="AP29" s="24">
        <f t="shared" si="15"/>
        <v>0</v>
      </c>
      <c r="AQ29" s="24">
        <f t="shared" si="16"/>
        <v>0</v>
      </c>
      <c r="AR29" s="24">
        <f t="shared" si="17"/>
        <v>0</v>
      </c>
      <c r="AS29" s="24">
        <f t="shared" si="18"/>
        <v>0</v>
      </c>
    </row>
    <row r="30" spans="1:45" x14ac:dyDescent="0.25">
      <c r="A30" s="83"/>
      <c r="B30" s="16"/>
      <c r="C30" s="16"/>
      <c r="D30" s="15"/>
      <c r="E30" s="15"/>
      <c r="F30" s="15"/>
      <c r="G30" s="15"/>
      <c r="H30" s="16"/>
      <c r="I30" s="22"/>
      <c r="J30" s="16"/>
      <c r="K30" s="16"/>
      <c r="L30" s="15"/>
      <c r="M30" s="20"/>
      <c r="N30" s="15"/>
      <c r="O30" s="20"/>
      <c r="P30" s="15"/>
      <c r="Q30" s="15"/>
      <c r="R30" s="17" t="str">
        <f>IF(Q30="","",VLOOKUP(Q30,'References (2)'!C:D,2,0))</f>
        <v/>
      </c>
      <c r="S30" s="17" t="str">
        <f>IF(Q30="","",VLOOKUP(Q30,'References (2)'!C:F,4,0))</f>
        <v/>
      </c>
      <c r="T30" s="71"/>
      <c r="U30" s="66"/>
      <c r="V30" s="71"/>
      <c r="W30" s="64"/>
      <c r="X30" s="69"/>
      <c r="Y30" s="74"/>
      <c r="Z30" s="25" t="str">
        <f t="shared" si="0"/>
        <v/>
      </c>
      <c r="AA30" s="17" t="str">
        <f t="shared" ca="1" si="1"/>
        <v/>
      </c>
      <c r="AB30" s="17" t="str">
        <f t="shared" ca="1" si="2"/>
        <v/>
      </c>
      <c r="AC30" s="17" t="str">
        <f t="shared" ca="1" si="3"/>
        <v/>
      </c>
      <c r="AD30" s="17" t="str">
        <f t="shared" ca="1" si="4"/>
        <v/>
      </c>
      <c r="AE30" s="17" t="str">
        <f t="shared" si="5"/>
        <v/>
      </c>
      <c r="AF30" s="17" t="str">
        <f t="shared" si="6"/>
        <v/>
      </c>
      <c r="AG30" s="17" t="str">
        <f t="shared" si="7"/>
        <v/>
      </c>
      <c r="AH30" s="17">
        <f t="shared" si="8"/>
        <v>0</v>
      </c>
      <c r="AI30" s="17" t="str">
        <f t="shared" ca="1" si="9"/>
        <v/>
      </c>
      <c r="AJ30" s="17" t="str">
        <f t="shared" ca="1" si="10"/>
        <v/>
      </c>
      <c r="AK30" s="17" t="str">
        <f t="shared" si="11"/>
        <v/>
      </c>
      <c r="AL30" s="17" t="str">
        <f t="shared" ca="1" si="12"/>
        <v/>
      </c>
      <c r="AN30" s="24">
        <f t="shared" si="13"/>
        <v>0</v>
      </c>
      <c r="AO30" s="24">
        <f t="shared" si="14"/>
        <v>0</v>
      </c>
      <c r="AP30" s="24">
        <f t="shared" si="15"/>
        <v>0</v>
      </c>
      <c r="AQ30" s="24">
        <f t="shared" si="16"/>
        <v>0</v>
      </c>
      <c r="AR30" s="24">
        <f t="shared" si="17"/>
        <v>0</v>
      </c>
      <c r="AS30" s="24">
        <f t="shared" si="18"/>
        <v>0</v>
      </c>
    </row>
    <row r="31" spans="1:45" x14ac:dyDescent="0.25">
      <c r="A31" s="83"/>
      <c r="B31" s="16"/>
      <c r="C31" s="16"/>
      <c r="D31" s="15"/>
      <c r="E31" s="15"/>
      <c r="F31" s="15"/>
      <c r="G31" s="15"/>
      <c r="H31" s="16"/>
      <c r="I31" s="22"/>
      <c r="J31" s="16"/>
      <c r="K31" s="16"/>
      <c r="L31" s="15"/>
      <c r="M31" s="20"/>
      <c r="N31" s="15"/>
      <c r="O31" s="20"/>
      <c r="P31" s="15"/>
      <c r="Q31" s="15"/>
      <c r="R31" s="17" t="str">
        <f>IF(Q31="","",VLOOKUP(Q31,'References (2)'!C:D,2,0))</f>
        <v/>
      </c>
      <c r="S31" s="17" t="str">
        <f>IF(Q31="","",VLOOKUP(Q31,'References (2)'!C:F,4,0))</f>
        <v/>
      </c>
      <c r="T31" s="71"/>
      <c r="U31" s="66"/>
      <c r="V31" s="71"/>
      <c r="W31" s="64"/>
      <c r="X31" s="69"/>
      <c r="Y31" s="74"/>
      <c r="Z31" s="25" t="str">
        <f t="shared" si="0"/>
        <v/>
      </c>
      <c r="AA31" s="17" t="str">
        <f t="shared" ca="1" si="1"/>
        <v/>
      </c>
      <c r="AB31" s="17" t="str">
        <f t="shared" ca="1" si="2"/>
        <v/>
      </c>
      <c r="AC31" s="17" t="str">
        <f t="shared" ca="1" si="3"/>
        <v/>
      </c>
      <c r="AD31" s="17" t="str">
        <f t="shared" ca="1" si="4"/>
        <v/>
      </c>
      <c r="AE31" s="17" t="str">
        <f t="shared" si="5"/>
        <v/>
      </c>
      <c r="AF31" s="17" t="str">
        <f t="shared" si="6"/>
        <v/>
      </c>
      <c r="AG31" s="17" t="str">
        <f t="shared" si="7"/>
        <v/>
      </c>
      <c r="AH31" s="17">
        <f t="shared" si="8"/>
        <v>0</v>
      </c>
      <c r="AI31" s="17" t="str">
        <f t="shared" ca="1" si="9"/>
        <v/>
      </c>
      <c r="AJ31" s="17" t="str">
        <f t="shared" ca="1" si="10"/>
        <v/>
      </c>
      <c r="AK31" s="17" t="str">
        <f t="shared" si="11"/>
        <v/>
      </c>
      <c r="AL31" s="17" t="str">
        <f t="shared" ca="1" si="12"/>
        <v/>
      </c>
      <c r="AN31" s="24">
        <f t="shared" si="13"/>
        <v>0</v>
      </c>
      <c r="AO31" s="24">
        <f t="shared" si="14"/>
        <v>0</v>
      </c>
      <c r="AP31" s="24">
        <f t="shared" si="15"/>
        <v>0</v>
      </c>
      <c r="AQ31" s="24">
        <f t="shared" si="16"/>
        <v>0</v>
      </c>
      <c r="AR31" s="24">
        <f t="shared" si="17"/>
        <v>0</v>
      </c>
      <c r="AS31" s="24">
        <f t="shared" si="18"/>
        <v>0</v>
      </c>
    </row>
    <row r="32" spans="1:45" x14ac:dyDescent="0.25">
      <c r="A32" s="83"/>
      <c r="B32" s="16"/>
      <c r="C32" s="16"/>
      <c r="D32" s="15"/>
      <c r="E32" s="15"/>
      <c r="F32" s="15"/>
      <c r="G32" s="15"/>
      <c r="H32" s="16"/>
      <c r="I32" s="22"/>
      <c r="J32" s="16"/>
      <c r="K32" s="16"/>
      <c r="L32" s="15"/>
      <c r="M32" s="20"/>
      <c r="N32" s="15"/>
      <c r="O32" s="20"/>
      <c r="P32" s="15"/>
      <c r="Q32" s="15"/>
      <c r="R32" s="17" t="str">
        <f>IF(Q32="","",VLOOKUP(Q32,'References (2)'!C:D,2,0))</f>
        <v/>
      </c>
      <c r="S32" s="17" t="str">
        <f>IF(Q32="","",VLOOKUP(Q32,'References (2)'!C:F,4,0))</f>
        <v/>
      </c>
      <c r="T32" s="71"/>
      <c r="U32" s="66"/>
      <c r="V32" s="71"/>
      <c r="W32" s="64"/>
      <c r="X32" s="69"/>
      <c r="Y32" s="74"/>
      <c r="Z32" s="25" t="str">
        <f t="shared" si="0"/>
        <v/>
      </c>
      <c r="AA32" s="17" t="str">
        <f t="shared" ca="1" si="1"/>
        <v/>
      </c>
      <c r="AB32" s="17" t="str">
        <f t="shared" ca="1" si="2"/>
        <v/>
      </c>
      <c r="AC32" s="17" t="str">
        <f t="shared" ca="1" si="3"/>
        <v/>
      </c>
      <c r="AD32" s="17" t="str">
        <f t="shared" ca="1" si="4"/>
        <v/>
      </c>
      <c r="AE32" s="17" t="str">
        <f t="shared" si="5"/>
        <v/>
      </c>
      <c r="AF32" s="17" t="str">
        <f t="shared" si="6"/>
        <v/>
      </c>
      <c r="AG32" s="17" t="str">
        <f t="shared" si="7"/>
        <v/>
      </c>
      <c r="AH32" s="17">
        <f t="shared" si="8"/>
        <v>0</v>
      </c>
      <c r="AI32" s="17" t="str">
        <f t="shared" ca="1" si="9"/>
        <v/>
      </c>
      <c r="AJ32" s="17" t="str">
        <f t="shared" ca="1" si="10"/>
        <v/>
      </c>
      <c r="AK32" s="17" t="str">
        <f t="shared" si="11"/>
        <v/>
      </c>
      <c r="AL32" s="17" t="str">
        <f t="shared" ca="1" si="12"/>
        <v/>
      </c>
      <c r="AN32" s="24">
        <f t="shared" si="13"/>
        <v>0</v>
      </c>
      <c r="AO32" s="24">
        <f t="shared" si="14"/>
        <v>0</v>
      </c>
      <c r="AP32" s="24">
        <f t="shared" si="15"/>
        <v>0</v>
      </c>
      <c r="AQ32" s="24">
        <f t="shared" si="16"/>
        <v>0</v>
      </c>
      <c r="AR32" s="24">
        <f t="shared" si="17"/>
        <v>0</v>
      </c>
      <c r="AS32" s="24">
        <f t="shared" si="18"/>
        <v>0</v>
      </c>
    </row>
    <row r="33" spans="1:45" x14ac:dyDescent="0.25">
      <c r="A33" s="83"/>
      <c r="B33" s="16"/>
      <c r="C33" s="16"/>
      <c r="D33" s="15"/>
      <c r="E33" s="15"/>
      <c r="F33" s="15"/>
      <c r="G33" s="15"/>
      <c r="H33" s="15"/>
      <c r="I33" s="22"/>
      <c r="J33" s="16"/>
      <c r="K33" s="15"/>
      <c r="L33" s="15"/>
      <c r="M33" s="19"/>
      <c r="N33" s="15"/>
      <c r="O33" s="20"/>
      <c r="P33" s="15"/>
      <c r="Q33" s="15"/>
      <c r="R33" s="17" t="str">
        <f>IF(Q33="","",VLOOKUP(Q33,'References (2)'!C:D,2,0))</f>
        <v/>
      </c>
      <c r="S33" s="17" t="str">
        <f>IF(Q33="","",VLOOKUP(Q33,'References (2)'!C:F,4,0))</f>
        <v/>
      </c>
      <c r="T33" s="71"/>
      <c r="U33" s="66"/>
      <c r="V33" s="71"/>
      <c r="W33" s="64"/>
      <c r="X33" s="69"/>
      <c r="Y33" s="74"/>
      <c r="Z33" s="25" t="str">
        <f t="shared" si="0"/>
        <v/>
      </c>
      <c r="AA33" s="17" t="str">
        <f t="shared" ca="1" si="1"/>
        <v/>
      </c>
      <c r="AB33" s="17" t="str">
        <f t="shared" ca="1" si="2"/>
        <v/>
      </c>
      <c r="AC33" s="17" t="str">
        <f t="shared" ca="1" si="3"/>
        <v/>
      </c>
      <c r="AD33" s="17" t="str">
        <f t="shared" ca="1" si="4"/>
        <v/>
      </c>
      <c r="AE33" s="17" t="str">
        <f t="shared" si="5"/>
        <v/>
      </c>
      <c r="AF33" s="17" t="str">
        <f t="shared" si="6"/>
        <v/>
      </c>
      <c r="AG33" s="17" t="str">
        <f t="shared" si="7"/>
        <v/>
      </c>
      <c r="AH33" s="17">
        <f t="shared" si="8"/>
        <v>0</v>
      </c>
      <c r="AI33" s="17" t="str">
        <f t="shared" ca="1" si="9"/>
        <v/>
      </c>
      <c r="AJ33" s="17" t="str">
        <f t="shared" ca="1" si="10"/>
        <v/>
      </c>
      <c r="AK33" s="17" t="str">
        <f t="shared" si="11"/>
        <v/>
      </c>
      <c r="AL33" s="17" t="str">
        <f t="shared" ca="1" si="12"/>
        <v/>
      </c>
      <c r="AN33" s="24">
        <f t="shared" si="13"/>
        <v>0</v>
      </c>
      <c r="AO33" s="24">
        <f t="shared" si="14"/>
        <v>0</v>
      </c>
      <c r="AP33" s="24">
        <f t="shared" si="15"/>
        <v>0</v>
      </c>
      <c r="AQ33" s="24">
        <f t="shared" si="16"/>
        <v>0</v>
      </c>
      <c r="AR33" s="24">
        <f t="shared" si="17"/>
        <v>0</v>
      </c>
      <c r="AS33" s="24">
        <f t="shared" si="18"/>
        <v>0</v>
      </c>
    </row>
    <row r="34" spans="1:45" x14ac:dyDescent="0.25">
      <c r="A34" s="83"/>
      <c r="B34" s="16"/>
      <c r="C34" s="16"/>
      <c r="D34" s="15"/>
      <c r="E34" s="15"/>
      <c r="F34" s="15"/>
      <c r="G34" s="15"/>
      <c r="H34" s="16"/>
      <c r="I34" s="22"/>
      <c r="J34" s="16"/>
      <c r="K34" s="16"/>
      <c r="L34" s="15"/>
      <c r="M34" s="20"/>
      <c r="N34" s="15"/>
      <c r="O34" s="20"/>
      <c r="P34" s="15"/>
      <c r="Q34" s="15"/>
      <c r="R34" s="17" t="str">
        <f>IF(Q34="","",VLOOKUP(Q34,'References (2)'!C:D,2,0))</f>
        <v/>
      </c>
      <c r="S34" s="17" t="str">
        <f>IF(Q34="","",VLOOKUP(Q34,'References (2)'!C:F,4,0))</f>
        <v/>
      </c>
      <c r="T34" s="71"/>
      <c r="U34" s="66"/>
      <c r="V34" s="71"/>
      <c r="W34" s="64"/>
      <c r="X34" s="73"/>
      <c r="Y34" s="74"/>
      <c r="Z34" s="25" t="str">
        <f t="shared" si="0"/>
        <v/>
      </c>
      <c r="AA34" s="17" t="str">
        <f t="shared" ca="1" si="1"/>
        <v/>
      </c>
      <c r="AB34" s="17" t="str">
        <f t="shared" ca="1" si="2"/>
        <v/>
      </c>
      <c r="AC34" s="17" t="str">
        <f t="shared" ca="1" si="3"/>
        <v/>
      </c>
      <c r="AD34" s="17" t="str">
        <f t="shared" ca="1" si="4"/>
        <v/>
      </c>
      <c r="AE34" s="17" t="str">
        <f t="shared" si="5"/>
        <v/>
      </c>
      <c r="AF34" s="17" t="str">
        <f t="shared" si="6"/>
        <v/>
      </c>
      <c r="AG34" s="17" t="str">
        <f t="shared" si="7"/>
        <v/>
      </c>
      <c r="AH34" s="17">
        <f t="shared" si="8"/>
        <v>0</v>
      </c>
      <c r="AI34" s="17" t="str">
        <f t="shared" ca="1" si="9"/>
        <v/>
      </c>
      <c r="AJ34" s="17" t="str">
        <f t="shared" ca="1" si="10"/>
        <v/>
      </c>
      <c r="AK34" s="17" t="str">
        <f t="shared" si="11"/>
        <v/>
      </c>
      <c r="AL34" s="17" t="str">
        <f t="shared" ca="1" si="12"/>
        <v/>
      </c>
      <c r="AN34" s="24">
        <f t="shared" si="13"/>
        <v>0</v>
      </c>
      <c r="AO34" s="24">
        <f t="shared" si="14"/>
        <v>0</v>
      </c>
      <c r="AP34" s="24">
        <f t="shared" si="15"/>
        <v>0</v>
      </c>
      <c r="AQ34" s="24">
        <f t="shared" si="16"/>
        <v>0</v>
      </c>
      <c r="AR34" s="24">
        <f t="shared" si="17"/>
        <v>0</v>
      </c>
      <c r="AS34" s="24">
        <f t="shared" si="18"/>
        <v>0</v>
      </c>
    </row>
    <row r="35" spans="1:45" x14ac:dyDescent="0.25">
      <c r="A35" s="83"/>
      <c r="B35" s="16"/>
      <c r="C35" s="16"/>
      <c r="D35" s="15"/>
      <c r="E35" s="15"/>
      <c r="F35" s="15"/>
      <c r="G35" s="15"/>
      <c r="H35" s="16"/>
      <c r="I35" s="22"/>
      <c r="J35" s="16"/>
      <c r="K35" s="16"/>
      <c r="L35" s="15"/>
      <c r="M35" s="20"/>
      <c r="N35" s="15"/>
      <c r="O35" s="20"/>
      <c r="P35" s="15"/>
      <c r="Q35" s="15"/>
      <c r="R35" s="17" t="str">
        <f>IF(Q35="","",VLOOKUP(Q35,'References (2)'!C:D,2,0))</f>
        <v/>
      </c>
      <c r="S35" s="17" t="str">
        <f>IF(Q35="","",VLOOKUP(Q35,'References (2)'!C:F,4,0))</f>
        <v/>
      </c>
      <c r="T35" s="71"/>
      <c r="U35" s="66"/>
      <c r="V35" s="71"/>
      <c r="W35" s="64"/>
      <c r="X35" s="73"/>
      <c r="Y35" s="74"/>
      <c r="Z35" s="25" t="str">
        <f t="shared" si="0"/>
        <v/>
      </c>
      <c r="AA35" s="17" t="str">
        <f t="shared" ca="1" si="1"/>
        <v/>
      </c>
      <c r="AB35" s="17" t="str">
        <f t="shared" ca="1" si="2"/>
        <v/>
      </c>
      <c r="AC35" s="17" t="str">
        <f t="shared" ca="1" si="3"/>
        <v/>
      </c>
      <c r="AD35" s="17" t="str">
        <f t="shared" ca="1" si="4"/>
        <v/>
      </c>
      <c r="AE35" s="17" t="str">
        <f t="shared" si="5"/>
        <v/>
      </c>
      <c r="AF35" s="17" t="str">
        <f t="shared" si="6"/>
        <v/>
      </c>
      <c r="AG35" s="17" t="str">
        <f t="shared" si="7"/>
        <v/>
      </c>
      <c r="AH35" s="17">
        <f t="shared" si="8"/>
        <v>0</v>
      </c>
      <c r="AI35" s="17" t="str">
        <f t="shared" ca="1" si="9"/>
        <v/>
      </c>
      <c r="AJ35" s="17" t="str">
        <f t="shared" ca="1" si="10"/>
        <v/>
      </c>
      <c r="AK35" s="17" t="str">
        <f t="shared" si="11"/>
        <v/>
      </c>
      <c r="AL35" s="17" t="str">
        <f t="shared" ca="1" si="12"/>
        <v/>
      </c>
      <c r="AN35" s="24">
        <f t="shared" si="13"/>
        <v>0</v>
      </c>
      <c r="AO35" s="24">
        <f t="shared" si="14"/>
        <v>0</v>
      </c>
      <c r="AP35" s="24">
        <f t="shared" si="15"/>
        <v>0</v>
      </c>
      <c r="AQ35" s="24">
        <f t="shared" si="16"/>
        <v>0</v>
      </c>
      <c r="AR35" s="24">
        <f t="shared" si="17"/>
        <v>0</v>
      </c>
      <c r="AS35" s="24">
        <f t="shared" si="18"/>
        <v>0</v>
      </c>
    </row>
    <row r="36" spans="1:45" x14ac:dyDescent="0.25">
      <c r="A36" s="83"/>
      <c r="B36" s="16"/>
      <c r="C36" s="16"/>
      <c r="D36" s="15"/>
      <c r="E36" s="15"/>
      <c r="F36" s="15"/>
      <c r="G36" s="15"/>
      <c r="H36" s="16"/>
      <c r="I36" s="22"/>
      <c r="J36" s="16"/>
      <c r="K36" s="16"/>
      <c r="L36" s="15"/>
      <c r="M36" s="20"/>
      <c r="N36" s="15"/>
      <c r="O36" s="20"/>
      <c r="P36" s="15"/>
      <c r="Q36" s="67"/>
      <c r="R36" s="17" t="str">
        <f>IF(Q36="","",VLOOKUP(Q36,'References (2)'!C:D,2,0))</f>
        <v/>
      </c>
      <c r="S36" s="17" t="str">
        <f>IF(Q36="","",VLOOKUP(Q36,'References (2)'!C:F,4,0))</f>
        <v/>
      </c>
      <c r="T36" s="16"/>
      <c r="U36" s="20"/>
      <c r="V36" s="15"/>
      <c r="W36" s="22"/>
      <c r="X36" s="16"/>
      <c r="Y36" s="22"/>
      <c r="Z36" s="25" t="str">
        <f t="shared" si="0"/>
        <v/>
      </c>
      <c r="AA36" s="17" t="str">
        <f t="shared" ca="1" si="1"/>
        <v/>
      </c>
      <c r="AB36" s="17" t="str">
        <f t="shared" ca="1" si="2"/>
        <v/>
      </c>
      <c r="AC36" s="17" t="str">
        <f t="shared" ca="1" si="3"/>
        <v/>
      </c>
      <c r="AD36" s="17" t="str">
        <f t="shared" ca="1" si="4"/>
        <v/>
      </c>
      <c r="AE36" s="17" t="str">
        <f t="shared" si="5"/>
        <v/>
      </c>
      <c r="AF36" s="17" t="str">
        <f t="shared" si="6"/>
        <v/>
      </c>
      <c r="AG36" s="17" t="str">
        <f t="shared" si="7"/>
        <v/>
      </c>
      <c r="AH36" s="17">
        <f t="shared" si="8"/>
        <v>0</v>
      </c>
      <c r="AI36" s="17" t="str">
        <f t="shared" ca="1" si="9"/>
        <v/>
      </c>
      <c r="AJ36" s="17" t="str">
        <f t="shared" ca="1" si="10"/>
        <v/>
      </c>
      <c r="AK36" s="17" t="str">
        <f t="shared" si="11"/>
        <v/>
      </c>
      <c r="AL36" s="17" t="str">
        <f t="shared" ca="1" si="12"/>
        <v/>
      </c>
      <c r="AN36" s="24">
        <f t="shared" si="13"/>
        <v>0</v>
      </c>
      <c r="AO36" s="24">
        <f t="shared" si="14"/>
        <v>0</v>
      </c>
      <c r="AP36" s="24">
        <f t="shared" si="15"/>
        <v>0</v>
      </c>
      <c r="AQ36" s="24">
        <f t="shared" si="16"/>
        <v>0</v>
      </c>
      <c r="AR36" s="24">
        <f t="shared" si="17"/>
        <v>0</v>
      </c>
      <c r="AS36" s="24">
        <f t="shared" si="18"/>
        <v>0</v>
      </c>
    </row>
    <row r="37" spans="1:45" x14ac:dyDescent="0.25">
      <c r="A37" s="83"/>
      <c r="B37" s="16"/>
      <c r="C37" s="16"/>
      <c r="D37" s="15"/>
      <c r="E37" s="15"/>
      <c r="F37" s="15"/>
      <c r="G37" s="15"/>
      <c r="H37" s="16"/>
      <c r="I37" s="22"/>
      <c r="J37" s="16"/>
      <c r="K37" s="16"/>
      <c r="L37" s="15"/>
      <c r="M37" s="20"/>
      <c r="N37" s="15"/>
      <c r="O37" s="20"/>
      <c r="P37" s="15"/>
      <c r="Q37" s="67"/>
      <c r="R37" s="17" t="str">
        <f>IF(Q37="","",VLOOKUP(Q37,'References (2)'!C:D,2,0))</f>
        <v/>
      </c>
      <c r="S37" s="17" t="str">
        <f>IF(Q37="","",VLOOKUP(Q37,'References (2)'!C:F,4,0))</f>
        <v/>
      </c>
      <c r="T37" s="16"/>
      <c r="U37" s="20"/>
      <c r="V37" s="15"/>
      <c r="W37" s="22"/>
      <c r="X37" s="16"/>
      <c r="Y37" s="22"/>
      <c r="Z37" s="25" t="str">
        <f t="shared" si="0"/>
        <v/>
      </c>
      <c r="AA37" s="17" t="str">
        <f t="shared" ca="1" si="1"/>
        <v/>
      </c>
      <c r="AB37" s="17" t="str">
        <f t="shared" ca="1" si="2"/>
        <v/>
      </c>
      <c r="AC37" s="17" t="str">
        <f t="shared" ca="1" si="3"/>
        <v/>
      </c>
      <c r="AD37" s="17" t="str">
        <f t="shared" ca="1" si="4"/>
        <v/>
      </c>
      <c r="AE37" s="17" t="str">
        <f t="shared" si="5"/>
        <v/>
      </c>
      <c r="AF37" s="17" t="str">
        <f t="shared" si="6"/>
        <v/>
      </c>
      <c r="AG37" s="17" t="str">
        <f t="shared" si="7"/>
        <v/>
      </c>
      <c r="AH37" s="17">
        <f t="shared" si="8"/>
        <v>0</v>
      </c>
      <c r="AI37" s="17" t="str">
        <f t="shared" ca="1" si="9"/>
        <v/>
      </c>
      <c r="AJ37" s="17" t="str">
        <f t="shared" ca="1" si="10"/>
        <v/>
      </c>
      <c r="AK37" s="17" t="str">
        <f t="shared" si="11"/>
        <v/>
      </c>
      <c r="AL37" s="17" t="str">
        <f t="shared" ca="1" si="12"/>
        <v/>
      </c>
      <c r="AN37" s="24">
        <f t="shared" si="13"/>
        <v>0</v>
      </c>
      <c r="AO37" s="24">
        <f t="shared" si="14"/>
        <v>0</v>
      </c>
      <c r="AP37" s="24">
        <f t="shared" si="15"/>
        <v>0</v>
      </c>
      <c r="AQ37" s="24">
        <f t="shared" si="16"/>
        <v>0</v>
      </c>
      <c r="AR37" s="24">
        <f t="shared" si="17"/>
        <v>0</v>
      </c>
      <c r="AS37" s="24">
        <f t="shared" si="18"/>
        <v>0</v>
      </c>
    </row>
    <row r="38" spans="1:45" x14ac:dyDescent="0.25">
      <c r="A38" s="83"/>
      <c r="B38" s="16"/>
      <c r="C38" s="16"/>
      <c r="D38" s="15"/>
      <c r="E38" s="15"/>
      <c r="F38" s="15"/>
      <c r="G38" s="15"/>
      <c r="H38" s="16"/>
      <c r="I38" s="22"/>
      <c r="J38" s="16"/>
      <c r="K38" s="16"/>
      <c r="L38" s="15"/>
      <c r="M38" s="20"/>
      <c r="N38" s="15"/>
      <c r="O38" s="20"/>
      <c r="P38" s="15"/>
      <c r="Q38" s="67"/>
      <c r="R38" s="17" t="str">
        <f>IF(Q38="","",VLOOKUP(Q38,'References (2)'!C:D,2,0))</f>
        <v/>
      </c>
      <c r="S38" s="17" t="str">
        <f>IF(Q38="","",VLOOKUP(Q38,'References (2)'!C:F,4,0))</f>
        <v/>
      </c>
      <c r="T38" s="16"/>
      <c r="U38" s="20"/>
      <c r="V38" s="15"/>
      <c r="W38" s="22"/>
      <c r="X38" s="16"/>
      <c r="Y38" s="22"/>
      <c r="Z38" s="25" t="str">
        <f t="shared" si="0"/>
        <v/>
      </c>
      <c r="AA38" s="17" t="str">
        <f t="shared" ca="1" si="1"/>
        <v/>
      </c>
      <c r="AB38" s="17" t="str">
        <f t="shared" ca="1" si="2"/>
        <v/>
      </c>
      <c r="AC38" s="17" t="str">
        <f t="shared" ca="1" si="3"/>
        <v/>
      </c>
      <c r="AD38" s="17" t="str">
        <f t="shared" ca="1" si="4"/>
        <v/>
      </c>
      <c r="AE38" s="17" t="str">
        <f t="shared" si="5"/>
        <v/>
      </c>
      <c r="AF38" s="17" t="str">
        <f t="shared" si="6"/>
        <v/>
      </c>
      <c r="AG38" s="17" t="str">
        <f t="shared" si="7"/>
        <v/>
      </c>
      <c r="AH38" s="17">
        <f t="shared" si="8"/>
        <v>0</v>
      </c>
      <c r="AI38" s="17" t="str">
        <f t="shared" ca="1" si="9"/>
        <v/>
      </c>
      <c r="AJ38" s="17" t="str">
        <f t="shared" ca="1" si="10"/>
        <v/>
      </c>
      <c r="AK38" s="17" t="str">
        <f t="shared" si="11"/>
        <v/>
      </c>
      <c r="AL38" s="17" t="str">
        <f t="shared" ca="1" si="12"/>
        <v/>
      </c>
      <c r="AN38" s="24">
        <f t="shared" si="13"/>
        <v>0</v>
      </c>
      <c r="AO38" s="24">
        <f t="shared" si="14"/>
        <v>0</v>
      </c>
      <c r="AP38" s="24">
        <f t="shared" si="15"/>
        <v>0</v>
      </c>
      <c r="AQ38" s="24">
        <f t="shared" si="16"/>
        <v>0</v>
      </c>
      <c r="AR38" s="24">
        <f t="shared" si="17"/>
        <v>0</v>
      </c>
      <c r="AS38" s="24">
        <f t="shared" si="18"/>
        <v>0</v>
      </c>
    </row>
    <row r="39" spans="1:45" x14ac:dyDescent="0.25">
      <c r="A39" s="83"/>
      <c r="B39" s="16"/>
      <c r="C39" s="16"/>
      <c r="D39" s="15"/>
      <c r="E39" s="15"/>
      <c r="F39" s="16"/>
      <c r="G39" s="16"/>
      <c r="H39" s="16"/>
      <c r="I39" s="22"/>
      <c r="J39" s="16"/>
      <c r="K39" s="16"/>
      <c r="L39" s="15"/>
      <c r="M39" s="20"/>
      <c r="N39" s="15"/>
      <c r="O39" s="20"/>
      <c r="P39" s="15"/>
      <c r="Q39" s="67"/>
      <c r="R39" s="17" t="str">
        <f>IF(Q39="","",VLOOKUP(Q39,'References (2)'!C:D,2,0))</f>
        <v/>
      </c>
      <c r="S39" s="17" t="str">
        <f>IF(Q39="","",VLOOKUP(Q39,'References (2)'!C:F,4,0))</f>
        <v/>
      </c>
      <c r="T39" s="16"/>
      <c r="U39" s="20"/>
      <c r="V39" s="15"/>
      <c r="W39" s="22"/>
      <c r="X39" s="16"/>
      <c r="Y39" s="22"/>
      <c r="Z39" s="25" t="str">
        <f t="shared" si="0"/>
        <v/>
      </c>
      <c r="AA39" s="17" t="str">
        <f t="shared" ca="1" si="1"/>
        <v/>
      </c>
      <c r="AB39" s="17" t="str">
        <f t="shared" ca="1" si="2"/>
        <v/>
      </c>
      <c r="AC39" s="17" t="str">
        <f t="shared" ca="1" si="3"/>
        <v/>
      </c>
      <c r="AD39" s="17" t="str">
        <f t="shared" ca="1" si="4"/>
        <v/>
      </c>
      <c r="AE39" s="17" t="str">
        <f t="shared" si="5"/>
        <v/>
      </c>
      <c r="AF39" s="17" t="str">
        <f t="shared" si="6"/>
        <v/>
      </c>
      <c r="AG39" s="17" t="str">
        <f t="shared" si="7"/>
        <v/>
      </c>
      <c r="AH39" s="17">
        <f t="shared" si="8"/>
        <v>0</v>
      </c>
      <c r="AI39" s="17" t="str">
        <f t="shared" ca="1" si="9"/>
        <v/>
      </c>
      <c r="AJ39" s="17" t="str">
        <f t="shared" ca="1" si="10"/>
        <v/>
      </c>
      <c r="AK39" s="17" t="str">
        <f t="shared" si="11"/>
        <v/>
      </c>
      <c r="AL39" s="17" t="str">
        <f t="shared" ca="1" si="12"/>
        <v/>
      </c>
      <c r="AN39" s="24">
        <f t="shared" si="13"/>
        <v>0</v>
      </c>
      <c r="AO39" s="24">
        <f t="shared" si="14"/>
        <v>0</v>
      </c>
      <c r="AP39" s="24">
        <f t="shared" si="15"/>
        <v>0</v>
      </c>
      <c r="AQ39" s="24">
        <f t="shared" si="16"/>
        <v>0</v>
      </c>
      <c r="AR39" s="24">
        <f t="shared" si="17"/>
        <v>0</v>
      </c>
      <c r="AS39" s="24">
        <f t="shared" si="18"/>
        <v>0</v>
      </c>
    </row>
    <row r="40" spans="1:45" x14ac:dyDescent="0.25">
      <c r="A40" s="83"/>
      <c r="B40" s="16"/>
      <c r="C40" s="16"/>
      <c r="D40" s="15"/>
      <c r="E40" s="15"/>
      <c r="F40" s="16"/>
      <c r="G40" s="16"/>
      <c r="H40" s="16"/>
      <c r="I40" s="22"/>
      <c r="J40" s="16"/>
      <c r="K40" s="16"/>
      <c r="L40" s="15"/>
      <c r="M40" s="20"/>
      <c r="N40" s="15"/>
      <c r="O40" s="20"/>
      <c r="P40" s="15"/>
      <c r="Q40" s="67"/>
      <c r="R40" s="17" t="str">
        <f>IF(Q40="","",VLOOKUP(Q40,'References (2)'!C:D,2,0))</f>
        <v/>
      </c>
      <c r="S40" s="17" t="str">
        <f>IF(Q40="","",VLOOKUP(Q40,'References (2)'!C:F,4,0))</f>
        <v/>
      </c>
      <c r="T40" s="16"/>
      <c r="U40" s="20"/>
      <c r="V40" s="15"/>
      <c r="W40" s="22"/>
      <c r="X40" s="16"/>
      <c r="Y40" s="22"/>
      <c r="Z40" s="25" t="str">
        <f t="shared" si="0"/>
        <v/>
      </c>
      <c r="AA40" s="17" t="str">
        <f t="shared" ca="1" si="1"/>
        <v/>
      </c>
      <c r="AB40" s="17" t="str">
        <f t="shared" ca="1" si="2"/>
        <v/>
      </c>
      <c r="AC40" s="17" t="str">
        <f t="shared" ca="1" si="3"/>
        <v/>
      </c>
      <c r="AD40" s="17" t="str">
        <f t="shared" ca="1" si="4"/>
        <v/>
      </c>
      <c r="AE40" s="17" t="str">
        <f t="shared" si="5"/>
        <v/>
      </c>
      <c r="AF40" s="17" t="str">
        <f t="shared" si="6"/>
        <v/>
      </c>
      <c r="AG40" s="17" t="str">
        <f t="shared" si="7"/>
        <v/>
      </c>
      <c r="AH40" s="17">
        <f t="shared" si="8"/>
        <v>0</v>
      </c>
      <c r="AI40" s="17" t="str">
        <f t="shared" ca="1" si="9"/>
        <v/>
      </c>
      <c r="AJ40" s="17" t="str">
        <f t="shared" ca="1" si="10"/>
        <v/>
      </c>
      <c r="AK40" s="17" t="str">
        <f t="shared" si="11"/>
        <v/>
      </c>
      <c r="AL40" s="17" t="str">
        <f t="shared" ca="1" si="12"/>
        <v/>
      </c>
      <c r="AN40" s="24">
        <f t="shared" si="13"/>
        <v>0</v>
      </c>
      <c r="AO40" s="24">
        <f t="shared" si="14"/>
        <v>0</v>
      </c>
      <c r="AP40" s="24">
        <f t="shared" si="15"/>
        <v>0</v>
      </c>
      <c r="AQ40" s="24">
        <f t="shared" si="16"/>
        <v>0</v>
      </c>
      <c r="AR40" s="24">
        <f t="shared" si="17"/>
        <v>0</v>
      </c>
      <c r="AS40" s="24">
        <f t="shared" si="18"/>
        <v>0</v>
      </c>
    </row>
    <row r="41" spans="1:45" x14ac:dyDescent="0.25">
      <c r="A41" s="83"/>
      <c r="B41" s="16"/>
      <c r="C41" s="16"/>
      <c r="D41" s="15"/>
      <c r="E41" s="15"/>
      <c r="F41" s="16"/>
      <c r="G41" s="16"/>
      <c r="H41" s="16"/>
      <c r="I41" s="22"/>
      <c r="J41" s="16"/>
      <c r="K41" s="16"/>
      <c r="L41" s="15"/>
      <c r="M41" s="20"/>
      <c r="N41" s="15"/>
      <c r="O41" s="20"/>
      <c r="P41" s="15"/>
      <c r="Q41" s="67"/>
      <c r="R41" s="17" t="str">
        <f>IF(Q41="","",VLOOKUP(Q41,'References (2)'!C:D,2,0))</f>
        <v/>
      </c>
      <c r="S41" s="17" t="str">
        <f>IF(Q41="","",VLOOKUP(Q41,'References (2)'!C:F,4,0))</f>
        <v/>
      </c>
      <c r="T41" s="16"/>
      <c r="U41" s="20"/>
      <c r="V41" s="15"/>
      <c r="W41" s="22"/>
      <c r="X41" s="16"/>
      <c r="Y41" s="22"/>
      <c r="Z41" s="25" t="str">
        <f t="shared" si="0"/>
        <v/>
      </c>
      <c r="AA41" s="17" t="str">
        <f t="shared" ca="1" si="1"/>
        <v/>
      </c>
      <c r="AB41" s="17" t="str">
        <f t="shared" ca="1" si="2"/>
        <v/>
      </c>
      <c r="AC41" s="17" t="str">
        <f t="shared" ca="1" si="3"/>
        <v/>
      </c>
      <c r="AD41" s="17" t="str">
        <f t="shared" ca="1" si="4"/>
        <v/>
      </c>
      <c r="AE41" s="17" t="str">
        <f t="shared" si="5"/>
        <v/>
      </c>
      <c r="AF41" s="17" t="str">
        <f t="shared" si="6"/>
        <v/>
      </c>
      <c r="AG41" s="17" t="str">
        <f t="shared" si="7"/>
        <v/>
      </c>
      <c r="AH41" s="17">
        <f t="shared" si="8"/>
        <v>0</v>
      </c>
      <c r="AI41" s="17" t="str">
        <f t="shared" ca="1" si="9"/>
        <v/>
      </c>
      <c r="AJ41" s="17" t="str">
        <f t="shared" ca="1" si="10"/>
        <v/>
      </c>
      <c r="AK41" s="17" t="str">
        <f t="shared" si="11"/>
        <v/>
      </c>
      <c r="AL41" s="17" t="str">
        <f t="shared" ca="1" si="12"/>
        <v/>
      </c>
      <c r="AN41" s="24">
        <f t="shared" si="13"/>
        <v>0</v>
      </c>
      <c r="AO41" s="24">
        <f t="shared" si="14"/>
        <v>0</v>
      </c>
      <c r="AP41" s="24">
        <f t="shared" si="15"/>
        <v>0</v>
      </c>
      <c r="AQ41" s="24">
        <f t="shared" si="16"/>
        <v>0</v>
      </c>
      <c r="AR41" s="24">
        <f t="shared" si="17"/>
        <v>0</v>
      </c>
      <c r="AS41" s="24">
        <f t="shared" si="18"/>
        <v>0</v>
      </c>
    </row>
    <row r="42" spans="1:45" x14ac:dyDescent="0.25">
      <c r="A42" s="83"/>
      <c r="B42" s="16"/>
      <c r="C42" s="16"/>
      <c r="D42" s="15"/>
      <c r="E42" s="15"/>
      <c r="F42" s="16"/>
      <c r="G42" s="16"/>
      <c r="H42" s="16"/>
      <c r="I42" s="22"/>
      <c r="J42" s="16"/>
      <c r="K42" s="16"/>
      <c r="L42" s="15"/>
      <c r="M42" s="20"/>
      <c r="N42" s="15"/>
      <c r="O42" s="20"/>
      <c r="P42" s="15"/>
      <c r="Q42" s="67"/>
      <c r="R42" s="17" t="str">
        <f>IF(Q42="","",VLOOKUP(Q42,'References (2)'!C:D,2,0))</f>
        <v/>
      </c>
      <c r="S42" s="17" t="str">
        <f>IF(Q42="","",VLOOKUP(Q42,'References (2)'!C:F,4,0))</f>
        <v/>
      </c>
      <c r="T42" s="16"/>
      <c r="U42" s="20"/>
      <c r="V42" s="15"/>
      <c r="W42" s="22"/>
      <c r="X42" s="16"/>
      <c r="Y42" s="22"/>
      <c r="Z42" s="25" t="str">
        <f t="shared" si="0"/>
        <v/>
      </c>
      <c r="AA42" s="17" t="str">
        <f t="shared" ca="1" si="1"/>
        <v/>
      </c>
      <c r="AB42" s="17" t="str">
        <f t="shared" ca="1" si="2"/>
        <v/>
      </c>
      <c r="AC42" s="17" t="str">
        <f t="shared" ca="1" si="3"/>
        <v/>
      </c>
      <c r="AD42" s="17" t="str">
        <f t="shared" ca="1" si="4"/>
        <v/>
      </c>
      <c r="AE42" s="17" t="str">
        <f t="shared" si="5"/>
        <v/>
      </c>
      <c r="AF42" s="17" t="str">
        <f t="shared" si="6"/>
        <v/>
      </c>
      <c r="AG42" s="17" t="str">
        <f t="shared" si="7"/>
        <v/>
      </c>
      <c r="AH42" s="17">
        <f t="shared" si="8"/>
        <v>0</v>
      </c>
      <c r="AI42" s="17" t="str">
        <f t="shared" ca="1" si="9"/>
        <v/>
      </c>
      <c r="AJ42" s="17" t="str">
        <f t="shared" ca="1" si="10"/>
        <v/>
      </c>
      <c r="AK42" s="17" t="str">
        <f t="shared" si="11"/>
        <v/>
      </c>
      <c r="AL42" s="17" t="str">
        <f t="shared" ca="1" si="12"/>
        <v/>
      </c>
      <c r="AN42" s="24">
        <f t="shared" si="13"/>
        <v>0</v>
      </c>
      <c r="AO42" s="24">
        <f t="shared" si="14"/>
        <v>0</v>
      </c>
      <c r="AP42" s="24">
        <f t="shared" si="15"/>
        <v>0</v>
      </c>
      <c r="AQ42" s="24">
        <f t="shared" si="16"/>
        <v>0</v>
      </c>
      <c r="AR42" s="24">
        <f t="shared" si="17"/>
        <v>0</v>
      </c>
      <c r="AS42" s="24">
        <f t="shared" si="18"/>
        <v>0</v>
      </c>
    </row>
    <row r="43" spans="1:45" x14ac:dyDescent="0.25">
      <c r="A43" s="83"/>
      <c r="B43" s="16"/>
      <c r="C43" s="16"/>
      <c r="D43" s="15"/>
      <c r="E43" s="15"/>
      <c r="F43" s="16"/>
      <c r="G43" s="16"/>
      <c r="H43" s="16"/>
      <c r="I43" s="22"/>
      <c r="J43" s="16"/>
      <c r="K43" s="16"/>
      <c r="L43" s="15"/>
      <c r="M43" s="20"/>
      <c r="N43" s="15"/>
      <c r="O43" s="20"/>
      <c r="P43" s="15"/>
      <c r="Q43" s="67"/>
      <c r="R43" s="17" t="str">
        <f>IF(Q43="","",VLOOKUP(Q43,'References (2)'!C:D,2,0))</f>
        <v/>
      </c>
      <c r="S43" s="17" t="str">
        <f>IF(Q43="","",VLOOKUP(Q43,'References (2)'!C:F,4,0))</f>
        <v/>
      </c>
      <c r="T43" s="16"/>
      <c r="U43" s="20"/>
      <c r="V43" s="15"/>
      <c r="W43" s="22"/>
      <c r="X43" s="16"/>
      <c r="Y43" s="22"/>
      <c r="Z43" s="25" t="str">
        <f t="shared" si="0"/>
        <v/>
      </c>
      <c r="AA43" s="17" t="str">
        <f t="shared" ca="1" si="1"/>
        <v/>
      </c>
      <c r="AB43" s="17" t="str">
        <f t="shared" ca="1" si="2"/>
        <v/>
      </c>
      <c r="AC43" s="17" t="str">
        <f t="shared" ca="1" si="3"/>
        <v/>
      </c>
      <c r="AD43" s="17" t="str">
        <f t="shared" ca="1" si="4"/>
        <v/>
      </c>
      <c r="AE43" s="17" t="str">
        <f t="shared" si="5"/>
        <v/>
      </c>
      <c r="AF43" s="17" t="str">
        <f t="shared" si="6"/>
        <v/>
      </c>
      <c r="AG43" s="17" t="str">
        <f t="shared" si="7"/>
        <v/>
      </c>
      <c r="AH43" s="17">
        <f t="shared" si="8"/>
        <v>0</v>
      </c>
      <c r="AI43" s="17" t="str">
        <f t="shared" ca="1" si="9"/>
        <v/>
      </c>
      <c r="AJ43" s="17" t="str">
        <f t="shared" ca="1" si="10"/>
        <v/>
      </c>
      <c r="AK43" s="17" t="str">
        <f t="shared" si="11"/>
        <v/>
      </c>
      <c r="AL43" s="17" t="str">
        <f t="shared" ca="1" si="12"/>
        <v/>
      </c>
      <c r="AN43" s="24">
        <f t="shared" si="13"/>
        <v>0</v>
      </c>
      <c r="AO43" s="24">
        <f t="shared" si="14"/>
        <v>0</v>
      </c>
      <c r="AP43" s="24">
        <f t="shared" si="15"/>
        <v>0</v>
      </c>
      <c r="AQ43" s="24">
        <f t="shared" si="16"/>
        <v>0</v>
      </c>
      <c r="AR43" s="24">
        <f t="shared" si="17"/>
        <v>0</v>
      </c>
      <c r="AS43" s="24">
        <f t="shared" si="18"/>
        <v>0</v>
      </c>
    </row>
    <row r="44" spans="1:45" x14ac:dyDescent="0.25">
      <c r="A44" s="83"/>
      <c r="B44" s="16"/>
      <c r="C44" s="16"/>
      <c r="D44" s="15"/>
      <c r="E44" s="15"/>
      <c r="F44" s="16"/>
      <c r="G44" s="16"/>
      <c r="H44" s="16"/>
      <c r="I44" s="22"/>
      <c r="J44" s="16"/>
      <c r="K44" s="16"/>
      <c r="L44" s="15"/>
      <c r="M44" s="20"/>
      <c r="N44" s="15"/>
      <c r="O44" s="20"/>
      <c r="P44" s="15"/>
      <c r="Q44" s="75"/>
      <c r="R44" s="17" t="str">
        <f>IF(Q44="","",VLOOKUP(Q44,'References (2)'!C:D,2,0))</f>
        <v/>
      </c>
      <c r="S44" s="17" t="str">
        <f>IF(Q44="","",VLOOKUP(Q44,'References (2)'!C:F,4,0))</f>
        <v/>
      </c>
      <c r="T44" s="16"/>
      <c r="U44" s="20"/>
      <c r="V44" s="15"/>
      <c r="W44" s="22"/>
      <c r="X44" s="16"/>
      <c r="Y44" s="22"/>
      <c r="Z44" s="25" t="str">
        <f t="shared" si="0"/>
        <v/>
      </c>
      <c r="AA44" s="17" t="str">
        <f t="shared" ca="1" si="1"/>
        <v/>
      </c>
      <c r="AB44" s="17" t="str">
        <f t="shared" ca="1" si="2"/>
        <v/>
      </c>
      <c r="AC44" s="17" t="str">
        <f t="shared" ca="1" si="3"/>
        <v/>
      </c>
      <c r="AD44" s="17" t="str">
        <f t="shared" ca="1" si="4"/>
        <v/>
      </c>
      <c r="AE44" s="17" t="str">
        <f t="shared" si="5"/>
        <v/>
      </c>
      <c r="AF44" s="17" t="str">
        <f t="shared" si="6"/>
        <v/>
      </c>
      <c r="AG44" s="17" t="str">
        <f t="shared" si="7"/>
        <v/>
      </c>
      <c r="AH44" s="17">
        <f t="shared" si="8"/>
        <v>0</v>
      </c>
      <c r="AI44" s="17" t="str">
        <f t="shared" ca="1" si="9"/>
        <v/>
      </c>
      <c r="AJ44" s="17" t="str">
        <f t="shared" ca="1" si="10"/>
        <v/>
      </c>
      <c r="AK44" s="17" t="str">
        <f t="shared" si="11"/>
        <v/>
      </c>
      <c r="AL44" s="17" t="str">
        <f t="shared" ca="1" si="12"/>
        <v/>
      </c>
      <c r="AN44" s="24">
        <f t="shared" si="13"/>
        <v>0</v>
      </c>
      <c r="AO44" s="24">
        <f t="shared" si="14"/>
        <v>0</v>
      </c>
      <c r="AP44" s="24">
        <f t="shared" si="15"/>
        <v>0</v>
      </c>
      <c r="AQ44" s="24">
        <f t="shared" si="16"/>
        <v>0</v>
      </c>
      <c r="AR44" s="24">
        <f t="shared" si="17"/>
        <v>0</v>
      </c>
      <c r="AS44" s="24">
        <f t="shared" si="18"/>
        <v>0</v>
      </c>
    </row>
    <row r="45" spans="1:45" x14ac:dyDescent="0.25">
      <c r="A45" s="83"/>
      <c r="B45" s="16"/>
      <c r="C45" s="16"/>
      <c r="D45" s="15"/>
      <c r="E45" s="15"/>
      <c r="F45" s="16"/>
      <c r="G45" s="16"/>
      <c r="H45" s="16"/>
      <c r="I45" s="22"/>
      <c r="J45" s="16"/>
      <c r="K45" s="16"/>
      <c r="L45" s="15"/>
      <c r="M45" s="20"/>
      <c r="N45" s="15"/>
      <c r="O45" s="20"/>
      <c r="P45" s="15"/>
      <c r="Q45" s="75"/>
      <c r="R45" s="17" t="str">
        <f>IF(Q45="","",VLOOKUP(Q45,'References (2)'!C:D,2,0))</f>
        <v/>
      </c>
      <c r="S45" s="17" t="str">
        <f>IF(Q45="","",VLOOKUP(Q45,'References (2)'!C:F,4,0))</f>
        <v/>
      </c>
      <c r="T45" s="16"/>
      <c r="U45" s="20"/>
      <c r="V45" s="15"/>
      <c r="W45" s="22"/>
      <c r="X45" s="16"/>
      <c r="Y45" s="22"/>
      <c r="Z45" s="25" t="str">
        <f t="shared" si="0"/>
        <v/>
      </c>
      <c r="AA45" s="17" t="str">
        <f t="shared" ca="1" si="1"/>
        <v/>
      </c>
      <c r="AB45" s="17" t="str">
        <f t="shared" ca="1" si="2"/>
        <v/>
      </c>
      <c r="AC45" s="17" t="str">
        <f t="shared" ca="1" si="3"/>
        <v/>
      </c>
      <c r="AD45" s="17" t="str">
        <f t="shared" ca="1" si="4"/>
        <v/>
      </c>
      <c r="AE45" s="17" t="str">
        <f t="shared" si="5"/>
        <v/>
      </c>
      <c r="AF45" s="17" t="str">
        <f t="shared" si="6"/>
        <v/>
      </c>
      <c r="AG45" s="17" t="str">
        <f t="shared" si="7"/>
        <v/>
      </c>
      <c r="AH45" s="17">
        <f t="shared" si="8"/>
        <v>0</v>
      </c>
      <c r="AI45" s="17" t="str">
        <f t="shared" ca="1" si="9"/>
        <v/>
      </c>
      <c r="AJ45" s="17" t="str">
        <f t="shared" ca="1" si="10"/>
        <v/>
      </c>
      <c r="AK45" s="17" t="str">
        <f t="shared" si="11"/>
        <v/>
      </c>
      <c r="AL45" s="17" t="str">
        <f t="shared" ca="1" si="12"/>
        <v/>
      </c>
      <c r="AN45" s="24">
        <f t="shared" si="13"/>
        <v>0</v>
      </c>
      <c r="AO45" s="24">
        <f t="shared" si="14"/>
        <v>0</v>
      </c>
      <c r="AP45" s="24">
        <f t="shared" si="15"/>
        <v>0</v>
      </c>
      <c r="AQ45" s="24">
        <f t="shared" si="16"/>
        <v>0</v>
      </c>
      <c r="AR45" s="24">
        <f t="shared" si="17"/>
        <v>0</v>
      </c>
      <c r="AS45" s="24">
        <f t="shared" si="18"/>
        <v>0</v>
      </c>
    </row>
    <row r="46" spans="1:45" x14ac:dyDescent="0.25">
      <c r="A46" s="83"/>
      <c r="B46" s="16"/>
      <c r="C46" s="16"/>
      <c r="D46" s="15"/>
      <c r="E46" s="15"/>
      <c r="F46" s="16"/>
      <c r="G46" s="16"/>
      <c r="H46" s="16"/>
      <c r="I46" s="22"/>
      <c r="J46" s="16"/>
      <c r="K46" s="16"/>
      <c r="L46" s="15"/>
      <c r="M46" s="20"/>
      <c r="N46" s="15"/>
      <c r="O46" s="20"/>
      <c r="P46" s="15"/>
      <c r="Q46" s="67"/>
      <c r="R46" s="17" t="str">
        <f>IF(Q46="","",VLOOKUP(Q46,'References (2)'!C:D,2,0))</f>
        <v/>
      </c>
      <c r="S46" s="17" t="str">
        <f>IF(Q46="","",VLOOKUP(Q46,'References (2)'!C:F,4,0))</f>
        <v/>
      </c>
      <c r="T46" s="16"/>
      <c r="U46" s="20"/>
      <c r="V46" s="15"/>
      <c r="W46" s="22"/>
      <c r="X46" s="16"/>
      <c r="Y46" s="22"/>
      <c r="Z46" s="25" t="str">
        <f t="shared" si="0"/>
        <v/>
      </c>
      <c r="AA46" s="17" t="str">
        <f t="shared" ca="1" si="1"/>
        <v/>
      </c>
      <c r="AB46" s="17" t="str">
        <f t="shared" ca="1" si="2"/>
        <v/>
      </c>
      <c r="AC46" s="17" t="str">
        <f t="shared" ca="1" si="3"/>
        <v/>
      </c>
      <c r="AD46" s="17" t="str">
        <f t="shared" ca="1" si="4"/>
        <v/>
      </c>
      <c r="AE46" s="17" t="str">
        <f t="shared" si="5"/>
        <v/>
      </c>
      <c r="AF46" s="17" t="str">
        <f t="shared" si="6"/>
        <v/>
      </c>
      <c r="AG46" s="17" t="str">
        <f t="shared" si="7"/>
        <v/>
      </c>
      <c r="AH46" s="17">
        <f t="shared" si="8"/>
        <v>0</v>
      </c>
      <c r="AI46" s="17" t="str">
        <f t="shared" ca="1" si="9"/>
        <v/>
      </c>
      <c r="AJ46" s="17" t="str">
        <f t="shared" ca="1" si="10"/>
        <v/>
      </c>
      <c r="AK46" s="17" t="str">
        <f t="shared" si="11"/>
        <v/>
      </c>
      <c r="AL46" s="17" t="str">
        <f t="shared" ca="1" si="12"/>
        <v/>
      </c>
      <c r="AN46" s="24">
        <f t="shared" si="13"/>
        <v>0</v>
      </c>
      <c r="AO46" s="24">
        <f t="shared" si="14"/>
        <v>0</v>
      </c>
      <c r="AP46" s="24">
        <f t="shared" si="15"/>
        <v>0</v>
      </c>
      <c r="AQ46" s="24">
        <f t="shared" si="16"/>
        <v>0</v>
      </c>
      <c r="AR46" s="24">
        <f t="shared" si="17"/>
        <v>0</v>
      </c>
      <c r="AS46" s="24">
        <f t="shared" si="18"/>
        <v>0</v>
      </c>
    </row>
    <row r="47" spans="1:45" x14ac:dyDescent="0.25">
      <c r="A47" s="83"/>
      <c r="B47" s="16"/>
      <c r="C47" s="16"/>
      <c r="D47" s="15"/>
      <c r="E47" s="15"/>
      <c r="F47" s="16"/>
      <c r="G47" s="16"/>
      <c r="H47" s="16"/>
      <c r="I47" s="22"/>
      <c r="J47" s="16"/>
      <c r="K47" s="16"/>
      <c r="L47" s="15"/>
      <c r="M47" s="20"/>
      <c r="N47" s="15"/>
      <c r="O47" s="20"/>
      <c r="P47" s="15"/>
      <c r="Q47" s="67"/>
      <c r="R47" s="17" t="str">
        <f>IF(Q47="","",VLOOKUP(Q47,'References (2)'!C:D,2,0))</f>
        <v/>
      </c>
      <c r="S47" s="17" t="str">
        <f>IF(Q47="","",VLOOKUP(Q47,'References (2)'!C:F,4,0))</f>
        <v/>
      </c>
      <c r="T47" s="16"/>
      <c r="U47" s="20"/>
      <c r="V47" s="15"/>
      <c r="W47" s="22"/>
      <c r="X47" s="16"/>
      <c r="Y47" s="22"/>
      <c r="Z47" s="25" t="str">
        <f t="shared" si="0"/>
        <v/>
      </c>
      <c r="AA47" s="17" t="str">
        <f t="shared" ca="1" si="1"/>
        <v/>
      </c>
      <c r="AB47" s="17" t="str">
        <f t="shared" ca="1" si="2"/>
        <v/>
      </c>
      <c r="AC47" s="17" t="str">
        <f t="shared" ca="1" si="3"/>
        <v/>
      </c>
      <c r="AD47" s="17" t="str">
        <f t="shared" ca="1" si="4"/>
        <v/>
      </c>
      <c r="AE47" s="17" t="str">
        <f t="shared" si="5"/>
        <v/>
      </c>
      <c r="AF47" s="17" t="str">
        <f t="shared" si="6"/>
        <v/>
      </c>
      <c r="AG47" s="17" t="str">
        <f t="shared" si="7"/>
        <v/>
      </c>
      <c r="AH47" s="17">
        <f t="shared" si="8"/>
        <v>0</v>
      </c>
      <c r="AI47" s="17" t="str">
        <f t="shared" ca="1" si="9"/>
        <v/>
      </c>
      <c r="AJ47" s="17" t="str">
        <f t="shared" ca="1" si="10"/>
        <v/>
      </c>
      <c r="AK47" s="17" t="str">
        <f t="shared" si="11"/>
        <v/>
      </c>
      <c r="AL47" s="17" t="str">
        <f t="shared" ca="1" si="12"/>
        <v/>
      </c>
      <c r="AN47" s="24">
        <f t="shared" si="13"/>
        <v>0</v>
      </c>
      <c r="AO47" s="24">
        <f t="shared" si="14"/>
        <v>0</v>
      </c>
      <c r="AP47" s="24">
        <f t="shared" si="15"/>
        <v>0</v>
      </c>
      <c r="AQ47" s="24">
        <f t="shared" si="16"/>
        <v>0</v>
      </c>
      <c r="AR47" s="24">
        <f t="shared" si="17"/>
        <v>0</v>
      </c>
      <c r="AS47" s="24">
        <f t="shared" si="18"/>
        <v>0</v>
      </c>
    </row>
    <row r="48" spans="1:45" x14ac:dyDescent="0.25">
      <c r="A48" s="83"/>
      <c r="B48" s="16"/>
      <c r="C48" s="16"/>
      <c r="D48" s="15"/>
      <c r="E48" s="15"/>
      <c r="F48" s="16"/>
      <c r="G48" s="16"/>
      <c r="H48" s="16"/>
      <c r="I48" s="22"/>
      <c r="J48" s="16"/>
      <c r="K48" s="16"/>
      <c r="L48" s="15"/>
      <c r="M48" s="20"/>
      <c r="N48" s="15"/>
      <c r="O48" s="20"/>
      <c r="P48" s="15"/>
      <c r="Q48" s="67"/>
      <c r="R48" s="17" t="str">
        <f>IF(Q48="","",VLOOKUP(Q48,'References (2)'!C:D,2,0))</f>
        <v/>
      </c>
      <c r="S48" s="17" t="str">
        <f>IF(Q48="","",VLOOKUP(Q48,'References (2)'!C:F,4,0))</f>
        <v/>
      </c>
      <c r="T48" s="16"/>
      <c r="U48" s="20"/>
      <c r="V48" s="15"/>
      <c r="W48" s="22"/>
      <c r="X48" s="16"/>
      <c r="Y48" s="22"/>
      <c r="Z48" s="25" t="str">
        <f t="shared" si="0"/>
        <v/>
      </c>
      <c r="AA48" s="17" t="str">
        <f t="shared" ca="1" si="1"/>
        <v/>
      </c>
      <c r="AB48" s="17" t="str">
        <f t="shared" ca="1" si="2"/>
        <v/>
      </c>
      <c r="AC48" s="17" t="str">
        <f t="shared" ca="1" si="3"/>
        <v/>
      </c>
      <c r="AD48" s="17" t="str">
        <f t="shared" ca="1" si="4"/>
        <v/>
      </c>
      <c r="AE48" s="17" t="str">
        <f t="shared" si="5"/>
        <v/>
      </c>
      <c r="AF48" s="17" t="str">
        <f t="shared" si="6"/>
        <v/>
      </c>
      <c r="AG48" s="17" t="str">
        <f t="shared" si="7"/>
        <v/>
      </c>
      <c r="AH48" s="17">
        <f t="shared" si="8"/>
        <v>0</v>
      </c>
      <c r="AI48" s="17" t="str">
        <f t="shared" ca="1" si="9"/>
        <v/>
      </c>
      <c r="AJ48" s="17" t="str">
        <f t="shared" ca="1" si="10"/>
        <v/>
      </c>
      <c r="AK48" s="17" t="str">
        <f t="shared" si="11"/>
        <v/>
      </c>
      <c r="AL48" s="17" t="str">
        <f t="shared" ca="1" si="12"/>
        <v/>
      </c>
      <c r="AN48" s="24">
        <f t="shared" si="13"/>
        <v>0</v>
      </c>
      <c r="AO48" s="24">
        <f t="shared" si="14"/>
        <v>0</v>
      </c>
      <c r="AP48" s="24">
        <f t="shared" si="15"/>
        <v>0</v>
      </c>
      <c r="AQ48" s="24">
        <f t="shared" si="16"/>
        <v>0</v>
      </c>
      <c r="AR48" s="24">
        <f t="shared" si="17"/>
        <v>0</v>
      </c>
      <c r="AS48" s="24">
        <f t="shared" si="18"/>
        <v>0</v>
      </c>
    </row>
    <row r="49" spans="1:45" x14ac:dyDescent="0.25">
      <c r="A49" s="83"/>
      <c r="B49" s="16"/>
      <c r="C49" s="16"/>
      <c r="D49" s="15"/>
      <c r="E49" s="15"/>
      <c r="F49" s="16"/>
      <c r="G49" s="16"/>
      <c r="H49" s="16"/>
      <c r="I49" s="22"/>
      <c r="J49" s="16"/>
      <c r="K49" s="16"/>
      <c r="L49" s="15"/>
      <c r="M49" s="20"/>
      <c r="N49" s="15"/>
      <c r="O49" s="20"/>
      <c r="P49" s="15"/>
      <c r="Q49" s="75"/>
      <c r="R49" s="17" t="str">
        <f>IF(Q49="","",VLOOKUP(Q49,'References (2)'!C:D,2,0))</f>
        <v/>
      </c>
      <c r="S49" s="17" t="str">
        <f>IF(Q49="","",VLOOKUP(Q49,'References (2)'!C:F,4,0))</f>
        <v/>
      </c>
      <c r="T49" s="16"/>
      <c r="U49" s="20"/>
      <c r="V49" s="15"/>
      <c r="W49" s="22"/>
      <c r="X49" s="16"/>
      <c r="Y49" s="22"/>
      <c r="Z49" s="25" t="str">
        <f t="shared" si="0"/>
        <v/>
      </c>
      <c r="AA49" s="17" t="str">
        <f t="shared" ca="1" si="1"/>
        <v/>
      </c>
      <c r="AB49" s="17" t="str">
        <f t="shared" ca="1" si="2"/>
        <v/>
      </c>
      <c r="AC49" s="17" t="str">
        <f t="shared" ca="1" si="3"/>
        <v/>
      </c>
      <c r="AD49" s="17" t="str">
        <f t="shared" ca="1" si="4"/>
        <v/>
      </c>
      <c r="AE49" s="17" t="str">
        <f t="shared" si="5"/>
        <v/>
      </c>
      <c r="AF49" s="17" t="str">
        <f t="shared" si="6"/>
        <v/>
      </c>
      <c r="AG49" s="17" t="str">
        <f t="shared" si="7"/>
        <v/>
      </c>
      <c r="AH49" s="17">
        <f t="shared" si="8"/>
        <v>0</v>
      </c>
      <c r="AI49" s="17" t="str">
        <f t="shared" ca="1" si="9"/>
        <v/>
      </c>
      <c r="AJ49" s="17" t="str">
        <f t="shared" ca="1" si="10"/>
        <v/>
      </c>
      <c r="AK49" s="17" t="str">
        <f t="shared" si="11"/>
        <v/>
      </c>
      <c r="AL49" s="17" t="str">
        <f t="shared" ca="1" si="12"/>
        <v/>
      </c>
      <c r="AN49" s="24">
        <f t="shared" si="13"/>
        <v>0</v>
      </c>
      <c r="AO49" s="24">
        <f t="shared" si="14"/>
        <v>0</v>
      </c>
      <c r="AP49" s="24">
        <f t="shared" si="15"/>
        <v>0</v>
      </c>
      <c r="AQ49" s="24">
        <f t="shared" si="16"/>
        <v>0</v>
      </c>
      <c r="AR49" s="24">
        <f t="shared" si="17"/>
        <v>0</v>
      </c>
      <c r="AS49" s="24">
        <f t="shared" si="18"/>
        <v>0</v>
      </c>
    </row>
    <row r="50" spans="1:45" x14ac:dyDescent="0.25">
      <c r="A50" s="83"/>
      <c r="B50" s="16"/>
      <c r="C50" s="16"/>
      <c r="D50" s="15"/>
      <c r="E50" s="15"/>
      <c r="F50" s="16"/>
      <c r="G50" s="16"/>
      <c r="H50" s="16"/>
      <c r="I50" s="22"/>
      <c r="J50" s="16"/>
      <c r="K50" s="16"/>
      <c r="L50" s="15"/>
      <c r="M50" s="20"/>
      <c r="N50" s="15"/>
      <c r="O50" s="20"/>
      <c r="P50" s="15"/>
      <c r="Q50" s="67"/>
      <c r="R50" s="17" t="str">
        <f>IF(Q50="","",VLOOKUP(Q50,'References (2)'!C:D,2,0))</f>
        <v/>
      </c>
      <c r="S50" s="17" t="str">
        <f>IF(Q50="","",VLOOKUP(Q50,'References (2)'!C:F,4,0))</f>
        <v/>
      </c>
      <c r="T50" s="16"/>
      <c r="U50" s="20"/>
      <c r="V50" s="15"/>
      <c r="W50" s="22"/>
      <c r="X50" s="16"/>
      <c r="Y50" s="22"/>
      <c r="Z50" s="25" t="str">
        <f t="shared" si="0"/>
        <v/>
      </c>
      <c r="AA50" s="17" t="str">
        <f t="shared" ca="1" si="1"/>
        <v/>
      </c>
      <c r="AB50" s="17" t="str">
        <f t="shared" ca="1" si="2"/>
        <v/>
      </c>
      <c r="AC50" s="17" t="str">
        <f t="shared" ca="1" si="3"/>
        <v/>
      </c>
      <c r="AD50" s="17" t="str">
        <f t="shared" ca="1" si="4"/>
        <v/>
      </c>
      <c r="AE50" s="17" t="str">
        <f t="shared" si="5"/>
        <v/>
      </c>
      <c r="AF50" s="17" t="str">
        <f t="shared" si="6"/>
        <v/>
      </c>
      <c r="AG50" s="17" t="str">
        <f t="shared" si="7"/>
        <v/>
      </c>
      <c r="AH50" s="17">
        <f t="shared" si="8"/>
        <v>0</v>
      </c>
      <c r="AI50" s="17" t="str">
        <f t="shared" ca="1" si="9"/>
        <v/>
      </c>
      <c r="AJ50" s="17" t="str">
        <f t="shared" ca="1" si="10"/>
        <v/>
      </c>
      <c r="AK50" s="17" t="str">
        <f t="shared" si="11"/>
        <v/>
      </c>
      <c r="AL50" s="17" t="str">
        <f t="shared" ca="1" si="12"/>
        <v/>
      </c>
      <c r="AN50" s="24">
        <f t="shared" si="13"/>
        <v>0</v>
      </c>
      <c r="AO50" s="24">
        <f t="shared" si="14"/>
        <v>0</v>
      </c>
      <c r="AP50" s="24">
        <f t="shared" si="15"/>
        <v>0</v>
      </c>
      <c r="AQ50" s="24">
        <f t="shared" si="16"/>
        <v>0</v>
      </c>
      <c r="AR50" s="24">
        <f t="shared" si="17"/>
        <v>0</v>
      </c>
      <c r="AS50" s="24">
        <f t="shared" si="18"/>
        <v>0</v>
      </c>
    </row>
    <row r="51" spans="1:45" x14ac:dyDescent="0.25">
      <c r="A51" s="83"/>
      <c r="B51" s="16"/>
      <c r="C51" s="16"/>
      <c r="D51" s="15"/>
      <c r="E51" s="15"/>
      <c r="F51" s="16"/>
      <c r="G51" s="16"/>
      <c r="H51" s="16"/>
      <c r="I51" s="22"/>
      <c r="J51" s="16"/>
      <c r="K51" s="16"/>
      <c r="L51" s="15"/>
      <c r="M51" s="20"/>
      <c r="N51" s="15"/>
      <c r="O51" s="20"/>
      <c r="P51" s="15"/>
      <c r="Q51" s="75"/>
      <c r="R51" s="17" t="str">
        <f>IF(Q51="","",VLOOKUP(Q51,'References (2)'!C:D,2,0))</f>
        <v/>
      </c>
      <c r="S51" s="17" t="str">
        <f>IF(Q51="","",VLOOKUP(Q51,'References (2)'!C:F,4,0))</f>
        <v/>
      </c>
      <c r="T51" s="16"/>
      <c r="U51" s="20"/>
      <c r="V51" s="15"/>
      <c r="W51" s="22"/>
      <c r="X51" s="16"/>
      <c r="Y51" s="22"/>
      <c r="Z51" s="25" t="str">
        <f t="shared" si="0"/>
        <v/>
      </c>
      <c r="AA51" s="17" t="str">
        <f t="shared" ca="1" si="1"/>
        <v/>
      </c>
      <c r="AB51" s="17" t="str">
        <f t="shared" ca="1" si="2"/>
        <v/>
      </c>
      <c r="AC51" s="17" t="str">
        <f t="shared" ca="1" si="3"/>
        <v/>
      </c>
      <c r="AD51" s="17" t="str">
        <f t="shared" ca="1" si="4"/>
        <v/>
      </c>
      <c r="AE51" s="17" t="str">
        <f t="shared" si="5"/>
        <v/>
      </c>
      <c r="AF51" s="17" t="str">
        <f t="shared" si="6"/>
        <v/>
      </c>
      <c r="AG51" s="17" t="str">
        <f t="shared" si="7"/>
        <v/>
      </c>
      <c r="AH51" s="17">
        <f t="shared" si="8"/>
        <v>0</v>
      </c>
      <c r="AI51" s="17" t="str">
        <f t="shared" ca="1" si="9"/>
        <v/>
      </c>
      <c r="AJ51" s="17" t="str">
        <f t="shared" ca="1" si="10"/>
        <v/>
      </c>
      <c r="AK51" s="17" t="str">
        <f t="shared" si="11"/>
        <v/>
      </c>
      <c r="AL51" s="17" t="str">
        <f t="shared" ca="1" si="12"/>
        <v/>
      </c>
      <c r="AN51" s="24">
        <f t="shared" si="13"/>
        <v>0</v>
      </c>
      <c r="AO51" s="24">
        <f t="shared" si="14"/>
        <v>0</v>
      </c>
      <c r="AP51" s="24">
        <f t="shared" si="15"/>
        <v>0</v>
      </c>
      <c r="AQ51" s="24">
        <f t="shared" si="16"/>
        <v>0</v>
      </c>
      <c r="AR51" s="24">
        <f t="shared" si="17"/>
        <v>0</v>
      </c>
      <c r="AS51" s="24">
        <f t="shared" si="18"/>
        <v>0</v>
      </c>
    </row>
    <row r="52" spans="1:45" x14ac:dyDescent="0.25">
      <c r="A52" s="83"/>
      <c r="B52" s="16"/>
      <c r="C52" s="16"/>
      <c r="D52" s="15"/>
      <c r="E52" s="15"/>
      <c r="F52" s="16"/>
      <c r="G52" s="16"/>
      <c r="H52" s="16"/>
      <c r="I52" s="22"/>
      <c r="J52" s="16"/>
      <c r="K52" s="16"/>
      <c r="L52" s="15"/>
      <c r="M52" s="20"/>
      <c r="N52" s="15"/>
      <c r="O52" s="20"/>
      <c r="P52" s="15"/>
      <c r="Q52" s="67"/>
      <c r="R52" s="17" t="str">
        <f>IF(Q52="","",VLOOKUP(Q52,'References (2)'!C:D,2,0))</f>
        <v/>
      </c>
      <c r="S52" s="17" t="str">
        <f>IF(Q52="","",VLOOKUP(Q52,'References (2)'!C:F,4,0))</f>
        <v/>
      </c>
      <c r="T52" s="16"/>
      <c r="U52" s="20"/>
      <c r="V52" s="15"/>
      <c r="W52" s="22"/>
      <c r="X52" s="16"/>
      <c r="Y52" s="22"/>
      <c r="Z52" s="25" t="str">
        <f t="shared" si="0"/>
        <v/>
      </c>
      <c r="AA52" s="17" t="str">
        <f t="shared" ca="1" si="1"/>
        <v/>
      </c>
      <c r="AB52" s="17" t="str">
        <f t="shared" ca="1" si="2"/>
        <v/>
      </c>
      <c r="AC52" s="17" t="str">
        <f t="shared" ca="1" si="3"/>
        <v/>
      </c>
      <c r="AD52" s="17" t="str">
        <f t="shared" ca="1" si="4"/>
        <v/>
      </c>
      <c r="AE52" s="17" t="str">
        <f t="shared" si="5"/>
        <v/>
      </c>
      <c r="AF52" s="17" t="str">
        <f t="shared" si="6"/>
        <v/>
      </c>
      <c r="AG52" s="17" t="str">
        <f t="shared" si="7"/>
        <v/>
      </c>
      <c r="AH52" s="17">
        <f t="shared" si="8"/>
        <v>0</v>
      </c>
      <c r="AI52" s="17" t="str">
        <f t="shared" ca="1" si="9"/>
        <v/>
      </c>
      <c r="AJ52" s="17" t="str">
        <f t="shared" ca="1" si="10"/>
        <v/>
      </c>
      <c r="AK52" s="17" t="str">
        <f t="shared" si="11"/>
        <v/>
      </c>
      <c r="AL52" s="17" t="str">
        <f t="shared" ca="1" si="12"/>
        <v/>
      </c>
      <c r="AN52" s="24">
        <f t="shared" si="13"/>
        <v>0</v>
      </c>
      <c r="AO52" s="24">
        <f t="shared" si="14"/>
        <v>0</v>
      </c>
      <c r="AP52" s="24">
        <f t="shared" si="15"/>
        <v>0</v>
      </c>
      <c r="AQ52" s="24">
        <f t="shared" si="16"/>
        <v>0</v>
      </c>
      <c r="AR52" s="24">
        <f t="shared" si="17"/>
        <v>0</v>
      </c>
      <c r="AS52" s="24">
        <f t="shared" si="18"/>
        <v>0</v>
      </c>
    </row>
    <row r="53" spans="1:45" x14ac:dyDescent="0.25">
      <c r="A53" s="83"/>
      <c r="B53" s="16"/>
      <c r="C53" s="16"/>
      <c r="D53" s="15"/>
      <c r="E53" s="15"/>
      <c r="F53" s="16"/>
      <c r="G53" s="16"/>
      <c r="H53" s="16"/>
      <c r="I53" s="22"/>
      <c r="J53" s="16"/>
      <c r="K53" s="16"/>
      <c r="L53" s="15"/>
      <c r="M53" s="20"/>
      <c r="N53" s="15"/>
      <c r="O53" s="20"/>
      <c r="P53" s="15"/>
      <c r="Q53" s="75"/>
      <c r="R53" s="17" t="str">
        <f>IF(Q53="","",VLOOKUP(Q53,'References (2)'!C:D,2,0))</f>
        <v/>
      </c>
      <c r="S53" s="17" t="str">
        <f>IF(Q53="","",VLOOKUP(Q53,'References (2)'!C:F,4,0))</f>
        <v/>
      </c>
      <c r="T53" s="16"/>
      <c r="U53" s="20"/>
      <c r="V53" s="15"/>
      <c r="W53" s="22"/>
      <c r="X53" s="16"/>
      <c r="Y53" s="22"/>
      <c r="Z53" s="25" t="str">
        <f t="shared" si="0"/>
        <v/>
      </c>
      <c r="AA53" s="17" t="str">
        <f t="shared" ca="1" si="1"/>
        <v/>
      </c>
      <c r="AB53" s="17" t="str">
        <f t="shared" ca="1" si="2"/>
        <v/>
      </c>
      <c r="AC53" s="17" t="str">
        <f t="shared" ca="1" si="3"/>
        <v/>
      </c>
      <c r="AD53" s="17" t="str">
        <f t="shared" ca="1" si="4"/>
        <v/>
      </c>
      <c r="AE53" s="17" t="str">
        <f t="shared" si="5"/>
        <v/>
      </c>
      <c r="AF53" s="17" t="str">
        <f t="shared" si="6"/>
        <v/>
      </c>
      <c r="AG53" s="17" t="str">
        <f t="shared" si="7"/>
        <v/>
      </c>
      <c r="AH53" s="17">
        <f t="shared" si="8"/>
        <v>0</v>
      </c>
      <c r="AI53" s="17" t="str">
        <f t="shared" ca="1" si="9"/>
        <v/>
      </c>
      <c r="AJ53" s="17" t="str">
        <f t="shared" ca="1" si="10"/>
        <v/>
      </c>
      <c r="AK53" s="17" t="str">
        <f t="shared" si="11"/>
        <v/>
      </c>
      <c r="AL53" s="17" t="str">
        <f t="shared" ca="1" si="12"/>
        <v/>
      </c>
      <c r="AN53" s="24">
        <f t="shared" si="13"/>
        <v>0</v>
      </c>
      <c r="AO53" s="24">
        <f t="shared" si="14"/>
        <v>0</v>
      </c>
      <c r="AP53" s="24">
        <f t="shared" si="15"/>
        <v>0</v>
      </c>
      <c r="AQ53" s="24">
        <f t="shared" si="16"/>
        <v>0</v>
      </c>
      <c r="AR53" s="24">
        <f t="shared" si="17"/>
        <v>0</v>
      </c>
      <c r="AS53" s="24">
        <f t="shared" si="18"/>
        <v>0</v>
      </c>
    </row>
    <row r="54" spans="1:45" x14ac:dyDescent="0.25">
      <c r="A54" s="83"/>
      <c r="B54" s="16"/>
      <c r="C54" s="16"/>
      <c r="D54" s="15"/>
      <c r="E54" s="15"/>
      <c r="F54" s="16"/>
      <c r="G54" s="16"/>
      <c r="H54" s="16"/>
      <c r="I54" s="22"/>
      <c r="J54" s="16"/>
      <c r="K54" s="16"/>
      <c r="L54" s="15"/>
      <c r="M54" s="20"/>
      <c r="N54" s="15"/>
      <c r="O54" s="20"/>
      <c r="P54" s="15"/>
      <c r="Q54" s="67"/>
      <c r="R54" s="17" t="str">
        <f>IF(Q54="","",VLOOKUP(Q54,'References (2)'!C:D,2,0))</f>
        <v/>
      </c>
      <c r="S54" s="17" t="str">
        <f>IF(Q54="","",VLOOKUP(Q54,'References (2)'!C:F,4,0))</f>
        <v/>
      </c>
      <c r="T54" s="16"/>
      <c r="U54" s="20"/>
      <c r="V54" s="15"/>
      <c r="W54" s="22"/>
      <c r="X54" s="16"/>
      <c r="Y54" s="22"/>
      <c r="Z54" s="25" t="str">
        <f t="shared" si="0"/>
        <v/>
      </c>
      <c r="AA54" s="17" t="str">
        <f t="shared" ca="1" si="1"/>
        <v/>
      </c>
      <c r="AB54" s="17" t="str">
        <f t="shared" ca="1" si="2"/>
        <v/>
      </c>
      <c r="AC54" s="17" t="str">
        <f t="shared" ca="1" si="3"/>
        <v/>
      </c>
      <c r="AD54" s="17" t="str">
        <f t="shared" ca="1" si="4"/>
        <v/>
      </c>
      <c r="AE54" s="17" t="str">
        <f t="shared" si="5"/>
        <v/>
      </c>
      <c r="AF54" s="17" t="str">
        <f t="shared" si="6"/>
        <v/>
      </c>
      <c r="AG54" s="17" t="str">
        <f t="shared" si="7"/>
        <v/>
      </c>
      <c r="AH54" s="17">
        <f t="shared" si="8"/>
        <v>0</v>
      </c>
      <c r="AI54" s="17" t="str">
        <f t="shared" ca="1" si="9"/>
        <v/>
      </c>
      <c r="AJ54" s="17" t="str">
        <f t="shared" ca="1" si="10"/>
        <v/>
      </c>
      <c r="AK54" s="17" t="str">
        <f t="shared" si="11"/>
        <v/>
      </c>
      <c r="AL54" s="17" t="str">
        <f t="shared" ca="1" si="12"/>
        <v/>
      </c>
      <c r="AN54" s="24">
        <f t="shared" si="13"/>
        <v>0</v>
      </c>
      <c r="AO54" s="24">
        <f t="shared" si="14"/>
        <v>0</v>
      </c>
      <c r="AP54" s="24">
        <f t="shared" si="15"/>
        <v>0</v>
      </c>
      <c r="AQ54" s="24">
        <f t="shared" si="16"/>
        <v>0</v>
      </c>
      <c r="AR54" s="24">
        <f t="shared" si="17"/>
        <v>0</v>
      </c>
      <c r="AS54" s="24">
        <f t="shared" si="18"/>
        <v>0</v>
      </c>
    </row>
    <row r="55" spans="1:45" x14ac:dyDescent="0.25">
      <c r="A55" s="83"/>
      <c r="B55" s="16"/>
      <c r="C55" s="16"/>
      <c r="D55" s="15"/>
      <c r="E55" s="15"/>
      <c r="F55" s="16"/>
      <c r="G55" s="16"/>
      <c r="H55" s="16"/>
      <c r="I55" s="22"/>
      <c r="J55" s="16"/>
      <c r="K55" s="16"/>
      <c r="L55" s="15"/>
      <c r="M55" s="20"/>
      <c r="N55" s="15"/>
      <c r="O55" s="20"/>
      <c r="P55" s="15"/>
      <c r="Q55" s="67"/>
      <c r="R55" s="17" t="str">
        <f>IF(Q55="","",VLOOKUP(Q55,'References (2)'!C:D,2,0))</f>
        <v/>
      </c>
      <c r="S55" s="17" t="str">
        <f>IF(Q55="","",VLOOKUP(Q55,'References (2)'!C:F,4,0))</f>
        <v/>
      </c>
      <c r="T55" s="16"/>
      <c r="U55" s="20"/>
      <c r="V55" s="15"/>
      <c r="W55" s="22"/>
      <c r="X55" s="16"/>
      <c r="Y55" s="22"/>
      <c r="Z55" s="25" t="str">
        <f t="shared" si="0"/>
        <v/>
      </c>
      <c r="AA55" s="17" t="str">
        <f t="shared" ca="1" si="1"/>
        <v/>
      </c>
      <c r="AB55" s="17" t="str">
        <f t="shared" ca="1" si="2"/>
        <v/>
      </c>
      <c r="AC55" s="17" t="str">
        <f t="shared" ca="1" si="3"/>
        <v/>
      </c>
      <c r="AD55" s="17" t="str">
        <f t="shared" ca="1" si="4"/>
        <v/>
      </c>
      <c r="AE55" s="17" t="str">
        <f t="shared" si="5"/>
        <v/>
      </c>
      <c r="AF55" s="17" t="str">
        <f t="shared" si="6"/>
        <v/>
      </c>
      <c r="AG55" s="17" t="str">
        <f t="shared" si="7"/>
        <v/>
      </c>
      <c r="AH55" s="17">
        <f t="shared" si="8"/>
        <v>0</v>
      </c>
      <c r="AI55" s="17" t="str">
        <f t="shared" ca="1" si="9"/>
        <v/>
      </c>
      <c r="AJ55" s="17" t="str">
        <f t="shared" ca="1" si="10"/>
        <v/>
      </c>
      <c r="AK55" s="17" t="str">
        <f t="shared" si="11"/>
        <v/>
      </c>
      <c r="AL55" s="17" t="str">
        <f t="shared" ca="1" si="12"/>
        <v/>
      </c>
      <c r="AN55" s="24">
        <f t="shared" si="13"/>
        <v>0</v>
      </c>
      <c r="AO55" s="24">
        <f t="shared" si="14"/>
        <v>0</v>
      </c>
      <c r="AP55" s="24">
        <f t="shared" si="15"/>
        <v>0</v>
      </c>
      <c r="AQ55" s="24">
        <f t="shared" si="16"/>
        <v>0</v>
      </c>
      <c r="AR55" s="24">
        <f t="shared" si="17"/>
        <v>0</v>
      </c>
      <c r="AS55" s="24">
        <f t="shared" si="18"/>
        <v>0</v>
      </c>
    </row>
    <row r="56" spans="1:45" x14ac:dyDescent="0.25">
      <c r="A56" s="83"/>
      <c r="B56" s="16"/>
      <c r="C56" s="16"/>
      <c r="D56" s="15"/>
      <c r="E56" s="15"/>
      <c r="F56" s="16"/>
      <c r="G56" s="16"/>
      <c r="H56" s="16"/>
      <c r="I56" s="22"/>
      <c r="J56" s="16"/>
      <c r="K56" s="16"/>
      <c r="L56" s="15"/>
      <c r="M56" s="20"/>
      <c r="N56" s="15"/>
      <c r="O56" s="20"/>
      <c r="P56" s="15"/>
      <c r="Q56" s="75"/>
      <c r="R56" s="17" t="str">
        <f>IF(Q56="","",VLOOKUP(Q56,'References (2)'!C:D,2,0))</f>
        <v/>
      </c>
      <c r="S56" s="17" t="str">
        <f>IF(Q56="","",VLOOKUP(Q56,'References (2)'!C:F,4,0))</f>
        <v/>
      </c>
      <c r="T56" s="16"/>
      <c r="U56" s="20"/>
      <c r="V56" s="15"/>
      <c r="W56" s="22"/>
      <c r="X56" s="16"/>
      <c r="Y56" s="22"/>
      <c r="Z56" s="25" t="str">
        <f t="shared" si="0"/>
        <v/>
      </c>
      <c r="AA56" s="17" t="str">
        <f t="shared" ca="1" si="1"/>
        <v/>
      </c>
      <c r="AB56" s="17" t="str">
        <f t="shared" ca="1" si="2"/>
        <v/>
      </c>
      <c r="AC56" s="17" t="str">
        <f t="shared" ca="1" si="3"/>
        <v/>
      </c>
      <c r="AD56" s="17" t="str">
        <f t="shared" ca="1" si="4"/>
        <v/>
      </c>
      <c r="AE56" s="17" t="str">
        <f t="shared" si="5"/>
        <v/>
      </c>
      <c r="AF56" s="17" t="str">
        <f t="shared" si="6"/>
        <v/>
      </c>
      <c r="AG56" s="17" t="str">
        <f t="shared" si="7"/>
        <v/>
      </c>
      <c r="AH56" s="17">
        <f t="shared" si="8"/>
        <v>0</v>
      </c>
      <c r="AI56" s="17" t="str">
        <f t="shared" ca="1" si="9"/>
        <v/>
      </c>
      <c r="AJ56" s="17" t="str">
        <f t="shared" ca="1" si="10"/>
        <v/>
      </c>
      <c r="AK56" s="17" t="str">
        <f t="shared" si="11"/>
        <v/>
      </c>
      <c r="AL56" s="17" t="str">
        <f t="shared" ca="1" si="12"/>
        <v/>
      </c>
      <c r="AN56" s="24">
        <f t="shared" si="13"/>
        <v>0</v>
      </c>
      <c r="AO56" s="24">
        <f t="shared" si="14"/>
        <v>0</v>
      </c>
      <c r="AP56" s="24">
        <f t="shared" si="15"/>
        <v>0</v>
      </c>
      <c r="AQ56" s="24">
        <f t="shared" si="16"/>
        <v>0</v>
      </c>
      <c r="AR56" s="24">
        <f t="shared" si="17"/>
        <v>0</v>
      </c>
      <c r="AS56" s="24">
        <f t="shared" si="18"/>
        <v>0</v>
      </c>
    </row>
    <row r="57" spans="1:45" x14ac:dyDescent="0.25">
      <c r="A57" s="83"/>
      <c r="B57" s="16"/>
      <c r="C57" s="16"/>
      <c r="D57" s="15"/>
      <c r="E57" s="15"/>
      <c r="F57" s="16"/>
      <c r="G57" s="16"/>
      <c r="H57" s="16"/>
      <c r="I57" s="22"/>
      <c r="J57" s="16"/>
      <c r="K57" s="16"/>
      <c r="L57" s="15"/>
      <c r="M57" s="20"/>
      <c r="N57" s="15"/>
      <c r="O57" s="20"/>
      <c r="P57" s="15"/>
      <c r="Q57" s="67"/>
      <c r="R57" s="17" t="str">
        <f>IF(Q57="","",VLOOKUP(Q57,'References (2)'!C:D,2,0))</f>
        <v/>
      </c>
      <c r="S57" s="17" t="str">
        <f>IF(Q57="","",VLOOKUP(Q57,'References (2)'!C:F,4,0))</f>
        <v/>
      </c>
      <c r="T57" s="65"/>
      <c r="U57" s="21"/>
      <c r="V57" s="68"/>
      <c r="W57" s="22"/>
      <c r="X57" s="16"/>
      <c r="Y57" s="74"/>
      <c r="Z57" s="25" t="str">
        <f t="shared" si="0"/>
        <v/>
      </c>
      <c r="AA57" s="17" t="str">
        <f t="shared" ca="1" si="1"/>
        <v/>
      </c>
      <c r="AB57" s="17" t="str">
        <f t="shared" ca="1" si="2"/>
        <v/>
      </c>
      <c r="AC57" s="17" t="str">
        <f t="shared" ca="1" si="3"/>
        <v/>
      </c>
      <c r="AD57" s="17" t="str">
        <f t="shared" ca="1" si="4"/>
        <v/>
      </c>
      <c r="AE57" s="17" t="str">
        <f t="shared" si="5"/>
        <v/>
      </c>
      <c r="AF57" s="17" t="str">
        <f t="shared" si="6"/>
        <v/>
      </c>
      <c r="AG57" s="17" t="str">
        <f t="shared" si="7"/>
        <v/>
      </c>
      <c r="AH57" s="17">
        <f t="shared" si="8"/>
        <v>0</v>
      </c>
      <c r="AI57" s="17" t="str">
        <f t="shared" ca="1" si="9"/>
        <v/>
      </c>
      <c r="AJ57" s="17" t="str">
        <f t="shared" ca="1" si="10"/>
        <v/>
      </c>
      <c r="AK57" s="17" t="str">
        <f t="shared" si="11"/>
        <v/>
      </c>
      <c r="AL57" s="17" t="str">
        <f t="shared" ca="1" si="12"/>
        <v/>
      </c>
      <c r="AN57" s="24">
        <f t="shared" si="13"/>
        <v>0</v>
      </c>
      <c r="AO57" s="24">
        <f t="shared" si="14"/>
        <v>0</v>
      </c>
      <c r="AP57" s="24">
        <f t="shared" si="15"/>
        <v>0</v>
      </c>
      <c r="AQ57" s="24">
        <f t="shared" si="16"/>
        <v>0</v>
      </c>
      <c r="AR57" s="24">
        <f t="shared" si="17"/>
        <v>0</v>
      </c>
      <c r="AS57" s="24">
        <f t="shared" si="18"/>
        <v>0</v>
      </c>
    </row>
    <row r="58" spans="1:45" x14ac:dyDescent="0.25">
      <c r="A58" s="83"/>
      <c r="B58" s="16"/>
      <c r="C58" s="16"/>
      <c r="D58" s="15"/>
      <c r="E58" s="15"/>
      <c r="F58" s="16"/>
      <c r="G58" s="16"/>
      <c r="H58" s="16"/>
      <c r="I58" s="22"/>
      <c r="J58" s="16"/>
      <c r="K58" s="16"/>
      <c r="L58" s="15"/>
      <c r="M58" s="20"/>
      <c r="N58" s="15"/>
      <c r="O58" s="20"/>
      <c r="P58" s="15"/>
      <c r="Q58" s="67"/>
      <c r="R58" s="17" t="str">
        <f>IF(Q58="","",VLOOKUP(Q58,'References (2)'!C:D,2,0))</f>
        <v/>
      </c>
      <c r="S58" s="17" t="str">
        <f>IF(Q58="","",VLOOKUP(Q58,'References (2)'!C:F,4,0))</f>
        <v/>
      </c>
      <c r="T58" s="68"/>
      <c r="U58" s="21"/>
      <c r="V58" s="68"/>
      <c r="W58" s="22"/>
      <c r="X58" s="16"/>
      <c r="Y58" s="74"/>
      <c r="Z58" s="25" t="str">
        <f t="shared" si="0"/>
        <v/>
      </c>
      <c r="AA58" s="17" t="str">
        <f t="shared" ca="1" si="1"/>
        <v/>
      </c>
      <c r="AB58" s="17" t="str">
        <f t="shared" ca="1" si="2"/>
        <v/>
      </c>
      <c r="AC58" s="17" t="str">
        <f t="shared" ca="1" si="3"/>
        <v/>
      </c>
      <c r="AD58" s="17" t="str">
        <f t="shared" ca="1" si="4"/>
        <v/>
      </c>
      <c r="AE58" s="17" t="str">
        <f t="shared" si="5"/>
        <v/>
      </c>
      <c r="AF58" s="17" t="str">
        <f t="shared" si="6"/>
        <v/>
      </c>
      <c r="AG58" s="17" t="str">
        <f t="shared" si="7"/>
        <v/>
      </c>
      <c r="AH58" s="17">
        <f t="shared" si="8"/>
        <v>0</v>
      </c>
      <c r="AI58" s="17" t="str">
        <f t="shared" ca="1" si="9"/>
        <v/>
      </c>
      <c r="AJ58" s="17" t="str">
        <f t="shared" ca="1" si="10"/>
        <v/>
      </c>
      <c r="AK58" s="17" t="str">
        <f t="shared" si="11"/>
        <v/>
      </c>
      <c r="AL58" s="17" t="str">
        <f t="shared" ca="1" si="12"/>
        <v/>
      </c>
      <c r="AN58" s="24">
        <f t="shared" si="13"/>
        <v>0</v>
      </c>
      <c r="AO58" s="24">
        <f t="shared" si="14"/>
        <v>0</v>
      </c>
      <c r="AP58" s="24">
        <f t="shared" si="15"/>
        <v>0</v>
      </c>
      <c r="AQ58" s="24">
        <f t="shared" si="16"/>
        <v>0</v>
      </c>
      <c r="AR58" s="24">
        <f t="shared" si="17"/>
        <v>0</v>
      </c>
      <c r="AS58" s="24">
        <f t="shared" si="18"/>
        <v>0</v>
      </c>
    </row>
    <row r="59" spans="1:45" x14ac:dyDescent="0.25">
      <c r="A59" s="83"/>
      <c r="B59" s="16"/>
      <c r="C59" s="16"/>
      <c r="D59" s="15"/>
      <c r="E59" s="15"/>
      <c r="F59" s="16"/>
      <c r="G59" s="16"/>
      <c r="H59" s="16"/>
      <c r="I59" s="22"/>
      <c r="J59" s="16"/>
      <c r="K59" s="16"/>
      <c r="L59" s="15"/>
      <c r="M59" s="20"/>
      <c r="N59" s="15"/>
      <c r="O59" s="20"/>
      <c r="P59" s="15"/>
      <c r="Q59" s="67"/>
      <c r="R59" s="17" t="str">
        <f>IF(Q59="","",VLOOKUP(Q59,'References (2)'!C:D,2,0))</f>
        <v/>
      </c>
      <c r="S59" s="17" t="str">
        <f>IF(Q59="","",VLOOKUP(Q59,'References (2)'!C:F,4,0))</f>
        <v/>
      </c>
      <c r="T59" s="68"/>
      <c r="U59" s="21"/>
      <c r="V59" s="68"/>
      <c r="W59" s="22"/>
      <c r="X59" s="16"/>
      <c r="Y59" s="74"/>
      <c r="Z59" s="25" t="str">
        <f t="shared" si="0"/>
        <v/>
      </c>
      <c r="AA59" s="17" t="str">
        <f t="shared" ca="1" si="1"/>
        <v/>
      </c>
      <c r="AB59" s="17" t="str">
        <f t="shared" ca="1" si="2"/>
        <v/>
      </c>
      <c r="AC59" s="17" t="str">
        <f t="shared" ca="1" si="3"/>
        <v/>
      </c>
      <c r="AD59" s="17" t="str">
        <f t="shared" ca="1" si="4"/>
        <v/>
      </c>
      <c r="AE59" s="17" t="str">
        <f t="shared" si="5"/>
        <v/>
      </c>
      <c r="AF59" s="17" t="str">
        <f t="shared" si="6"/>
        <v/>
      </c>
      <c r="AG59" s="17" t="str">
        <f t="shared" si="7"/>
        <v/>
      </c>
      <c r="AH59" s="17">
        <f t="shared" si="8"/>
        <v>0</v>
      </c>
      <c r="AI59" s="17" t="str">
        <f t="shared" ca="1" si="9"/>
        <v/>
      </c>
      <c r="AJ59" s="17" t="str">
        <f t="shared" ca="1" si="10"/>
        <v/>
      </c>
      <c r="AK59" s="17" t="str">
        <f t="shared" si="11"/>
        <v/>
      </c>
      <c r="AL59" s="17" t="str">
        <f t="shared" ca="1" si="12"/>
        <v/>
      </c>
      <c r="AN59" s="24">
        <f t="shared" si="13"/>
        <v>0</v>
      </c>
      <c r="AO59" s="24">
        <f t="shared" si="14"/>
        <v>0</v>
      </c>
      <c r="AP59" s="24">
        <f t="shared" si="15"/>
        <v>0</v>
      </c>
      <c r="AQ59" s="24">
        <f t="shared" si="16"/>
        <v>0</v>
      </c>
      <c r="AR59" s="24">
        <f t="shared" si="17"/>
        <v>0</v>
      </c>
      <c r="AS59" s="24">
        <f t="shared" si="18"/>
        <v>0</v>
      </c>
    </row>
    <row r="60" spans="1:45" x14ac:dyDescent="0.25">
      <c r="A60" s="83"/>
      <c r="B60" s="16"/>
      <c r="C60" s="16"/>
      <c r="D60" s="15"/>
      <c r="E60" s="15"/>
      <c r="F60" s="16"/>
      <c r="G60" s="16"/>
      <c r="H60" s="16"/>
      <c r="I60" s="22"/>
      <c r="J60" s="16"/>
      <c r="K60" s="16"/>
      <c r="L60" s="15"/>
      <c r="M60" s="20"/>
      <c r="N60" s="15"/>
      <c r="O60" s="20"/>
      <c r="P60" s="15"/>
      <c r="Q60" s="67"/>
      <c r="R60" s="17" t="str">
        <f>IF(Q60="","",VLOOKUP(Q60,'References (2)'!C:D,2,0))</f>
        <v/>
      </c>
      <c r="S60" s="17" t="str">
        <f>IF(Q60="","",VLOOKUP(Q60,'References (2)'!C:F,4,0))</f>
        <v/>
      </c>
      <c r="T60" s="68"/>
      <c r="U60" s="21"/>
      <c r="V60" s="68"/>
      <c r="W60" s="22"/>
      <c r="X60" s="16"/>
      <c r="Y60" s="74"/>
      <c r="Z60" s="25" t="str">
        <f t="shared" si="0"/>
        <v/>
      </c>
      <c r="AA60" s="17" t="str">
        <f t="shared" ca="1" si="1"/>
        <v/>
      </c>
      <c r="AB60" s="17" t="str">
        <f t="shared" ca="1" si="2"/>
        <v/>
      </c>
      <c r="AC60" s="17" t="str">
        <f t="shared" ca="1" si="3"/>
        <v/>
      </c>
      <c r="AD60" s="17" t="str">
        <f t="shared" ca="1" si="4"/>
        <v/>
      </c>
      <c r="AE60" s="17" t="str">
        <f t="shared" si="5"/>
        <v/>
      </c>
      <c r="AF60" s="17" t="str">
        <f t="shared" si="6"/>
        <v/>
      </c>
      <c r="AG60" s="17" t="str">
        <f t="shared" si="7"/>
        <v/>
      </c>
      <c r="AH60" s="17">
        <f t="shared" si="8"/>
        <v>0</v>
      </c>
      <c r="AI60" s="17" t="str">
        <f t="shared" ca="1" si="9"/>
        <v/>
      </c>
      <c r="AJ60" s="17" t="str">
        <f t="shared" ca="1" si="10"/>
        <v/>
      </c>
      <c r="AK60" s="17" t="str">
        <f t="shared" si="11"/>
        <v/>
      </c>
      <c r="AL60" s="17" t="str">
        <f t="shared" ca="1" si="12"/>
        <v/>
      </c>
      <c r="AN60" s="24">
        <f t="shared" si="13"/>
        <v>0</v>
      </c>
      <c r="AO60" s="24">
        <f t="shared" si="14"/>
        <v>0</v>
      </c>
      <c r="AP60" s="24">
        <f t="shared" si="15"/>
        <v>0</v>
      </c>
      <c r="AQ60" s="24">
        <f t="shared" si="16"/>
        <v>0</v>
      </c>
      <c r="AR60" s="24">
        <f t="shared" si="17"/>
        <v>0</v>
      </c>
      <c r="AS60" s="24">
        <f t="shared" si="18"/>
        <v>0</v>
      </c>
    </row>
    <row r="61" spans="1:45" x14ac:dyDescent="0.25">
      <c r="A61" s="83"/>
      <c r="B61" s="16"/>
      <c r="C61" s="16"/>
      <c r="D61" s="15"/>
      <c r="E61" s="15"/>
      <c r="F61" s="16"/>
      <c r="G61" s="16"/>
      <c r="H61" s="16"/>
      <c r="I61" s="22"/>
      <c r="J61" s="16"/>
      <c r="K61" s="16"/>
      <c r="L61" s="15"/>
      <c r="M61" s="20"/>
      <c r="N61" s="15"/>
      <c r="O61" s="20"/>
      <c r="P61" s="15"/>
      <c r="Q61" s="67"/>
      <c r="R61" s="17" t="str">
        <f>IF(Q61="","",VLOOKUP(Q61,'References (2)'!C:D,2,0))</f>
        <v/>
      </c>
      <c r="S61" s="17" t="str">
        <f>IF(Q61="","",VLOOKUP(Q61,'References (2)'!C:F,4,0))</f>
        <v/>
      </c>
      <c r="T61" s="68"/>
      <c r="U61" s="21"/>
      <c r="V61" s="68"/>
      <c r="W61" s="22"/>
      <c r="X61" s="16"/>
      <c r="Y61" s="74"/>
      <c r="Z61" s="25" t="str">
        <f t="shared" si="0"/>
        <v/>
      </c>
      <c r="AA61" s="17" t="str">
        <f t="shared" ca="1" si="1"/>
        <v/>
      </c>
      <c r="AB61" s="17" t="str">
        <f t="shared" ca="1" si="2"/>
        <v/>
      </c>
      <c r="AC61" s="17" t="str">
        <f t="shared" ca="1" si="3"/>
        <v/>
      </c>
      <c r="AD61" s="17" t="str">
        <f t="shared" ca="1" si="4"/>
        <v/>
      </c>
      <c r="AE61" s="17" t="str">
        <f t="shared" si="5"/>
        <v/>
      </c>
      <c r="AF61" s="17" t="str">
        <f t="shared" si="6"/>
        <v/>
      </c>
      <c r="AG61" s="17" t="str">
        <f t="shared" si="7"/>
        <v/>
      </c>
      <c r="AH61" s="17">
        <f t="shared" si="8"/>
        <v>0</v>
      </c>
      <c r="AI61" s="17" t="str">
        <f t="shared" ca="1" si="9"/>
        <v/>
      </c>
      <c r="AJ61" s="17" t="str">
        <f t="shared" ca="1" si="10"/>
        <v/>
      </c>
      <c r="AK61" s="17" t="str">
        <f t="shared" si="11"/>
        <v/>
      </c>
      <c r="AL61" s="17" t="str">
        <f t="shared" ca="1" si="12"/>
        <v/>
      </c>
      <c r="AN61" s="24">
        <f t="shared" si="13"/>
        <v>0</v>
      </c>
      <c r="AO61" s="24">
        <f t="shared" si="14"/>
        <v>0</v>
      </c>
      <c r="AP61" s="24">
        <f t="shared" si="15"/>
        <v>0</v>
      </c>
      <c r="AQ61" s="24">
        <f t="shared" si="16"/>
        <v>0</v>
      </c>
      <c r="AR61" s="24">
        <f t="shared" si="17"/>
        <v>0</v>
      </c>
      <c r="AS61" s="24">
        <f t="shared" si="18"/>
        <v>0</v>
      </c>
    </row>
    <row r="62" spans="1:45" x14ac:dyDescent="0.25">
      <c r="A62" s="83"/>
      <c r="B62" s="16"/>
      <c r="C62" s="16"/>
      <c r="D62" s="15"/>
      <c r="E62" s="15"/>
      <c r="F62" s="16"/>
      <c r="G62" s="16"/>
      <c r="H62" s="16"/>
      <c r="I62" s="22"/>
      <c r="J62" s="16"/>
      <c r="K62" s="16"/>
      <c r="L62" s="15"/>
      <c r="M62" s="20"/>
      <c r="N62" s="15"/>
      <c r="O62" s="20"/>
      <c r="P62" s="15"/>
      <c r="Q62" s="67"/>
      <c r="R62" s="17" t="str">
        <f>IF(Q62="","",VLOOKUP(Q62,'References (2)'!C:D,2,0))</f>
        <v/>
      </c>
      <c r="S62" s="17" t="str">
        <f>IF(Q62="","",VLOOKUP(Q62,'References (2)'!C:F,4,0))</f>
        <v/>
      </c>
      <c r="T62" s="68"/>
      <c r="U62" s="21"/>
      <c r="V62" s="68"/>
      <c r="W62" s="22"/>
      <c r="X62" s="16"/>
      <c r="Y62" s="74"/>
      <c r="Z62" s="25" t="str">
        <f t="shared" si="0"/>
        <v/>
      </c>
      <c r="AA62" s="17" t="str">
        <f t="shared" ca="1" si="1"/>
        <v/>
      </c>
      <c r="AB62" s="17" t="str">
        <f t="shared" ca="1" si="2"/>
        <v/>
      </c>
      <c r="AC62" s="17" t="str">
        <f t="shared" ca="1" si="3"/>
        <v/>
      </c>
      <c r="AD62" s="17" t="str">
        <f t="shared" ca="1" si="4"/>
        <v/>
      </c>
      <c r="AE62" s="17" t="str">
        <f t="shared" si="5"/>
        <v/>
      </c>
      <c r="AF62" s="17" t="str">
        <f t="shared" si="6"/>
        <v/>
      </c>
      <c r="AG62" s="17" t="str">
        <f t="shared" si="7"/>
        <v/>
      </c>
      <c r="AH62" s="17">
        <f t="shared" si="8"/>
        <v>0</v>
      </c>
      <c r="AI62" s="17" t="str">
        <f t="shared" ca="1" si="9"/>
        <v/>
      </c>
      <c r="AJ62" s="17" t="str">
        <f t="shared" ca="1" si="10"/>
        <v/>
      </c>
      <c r="AK62" s="17" t="str">
        <f t="shared" si="11"/>
        <v/>
      </c>
      <c r="AL62" s="17" t="str">
        <f t="shared" ca="1" si="12"/>
        <v/>
      </c>
      <c r="AN62" s="24">
        <f t="shared" si="13"/>
        <v>0</v>
      </c>
      <c r="AO62" s="24">
        <f t="shared" si="14"/>
        <v>0</v>
      </c>
      <c r="AP62" s="24">
        <f t="shared" si="15"/>
        <v>0</v>
      </c>
      <c r="AQ62" s="24">
        <f t="shared" si="16"/>
        <v>0</v>
      </c>
      <c r="AR62" s="24">
        <f t="shared" si="17"/>
        <v>0</v>
      </c>
      <c r="AS62" s="24">
        <f t="shared" si="18"/>
        <v>0</v>
      </c>
    </row>
    <row r="63" spans="1:45" x14ac:dyDescent="0.25">
      <c r="A63" s="83"/>
      <c r="B63" s="16"/>
      <c r="C63" s="16"/>
      <c r="D63" s="15"/>
      <c r="E63" s="15"/>
      <c r="F63" s="16"/>
      <c r="G63" s="16"/>
      <c r="H63" s="16"/>
      <c r="I63" s="22"/>
      <c r="J63" s="16"/>
      <c r="K63" s="16"/>
      <c r="L63" s="15"/>
      <c r="M63" s="20"/>
      <c r="N63" s="15"/>
      <c r="O63" s="20"/>
      <c r="P63" s="15"/>
      <c r="Q63" s="67"/>
      <c r="R63" s="17" t="str">
        <f>IF(Q63="","",VLOOKUP(Q63,'References (2)'!C:D,2,0))</f>
        <v/>
      </c>
      <c r="S63" s="17" t="str">
        <f>IF(Q63="","",VLOOKUP(Q63,'References (2)'!C:F,4,0))</f>
        <v/>
      </c>
      <c r="T63" s="70"/>
      <c r="U63" s="21"/>
      <c r="V63" s="68"/>
      <c r="W63" s="22"/>
      <c r="X63" s="16"/>
      <c r="Y63" s="74"/>
      <c r="Z63" s="25" t="str">
        <f t="shared" si="0"/>
        <v/>
      </c>
      <c r="AA63" s="17" t="str">
        <f t="shared" ca="1" si="1"/>
        <v/>
      </c>
      <c r="AB63" s="17" t="str">
        <f t="shared" ca="1" si="2"/>
        <v/>
      </c>
      <c r="AC63" s="17" t="str">
        <f t="shared" ca="1" si="3"/>
        <v/>
      </c>
      <c r="AD63" s="17" t="str">
        <f t="shared" ca="1" si="4"/>
        <v/>
      </c>
      <c r="AE63" s="17" t="str">
        <f t="shared" si="5"/>
        <v/>
      </c>
      <c r="AF63" s="17" t="str">
        <f t="shared" si="6"/>
        <v/>
      </c>
      <c r="AG63" s="17" t="str">
        <f t="shared" si="7"/>
        <v/>
      </c>
      <c r="AH63" s="17">
        <f t="shared" si="8"/>
        <v>0</v>
      </c>
      <c r="AI63" s="17" t="str">
        <f t="shared" ca="1" si="9"/>
        <v/>
      </c>
      <c r="AJ63" s="17" t="str">
        <f t="shared" ca="1" si="10"/>
        <v/>
      </c>
      <c r="AK63" s="17" t="str">
        <f t="shared" si="11"/>
        <v/>
      </c>
      <c r="AL63" s="17" t="str">
        <f t="shared" ca="1" si="12"/>
        <v/>
      </c>
      <c r="AN63" s="24">
        <f t="shared" si="13"/>
        <v>0</v>
      </c>
      <c r="AO63" s="24">
        <f t="shared" si="14"/>
        <v>0</v>
      </c>
      <c r="AP63" s="24">
        <f t="shared" si="15"/>
        <v>0</v>
      </c>
      <c r="AQ63" s="24">
        <f t="shared" si="16"/>
        <v>0</v>
      </c>
      <c r="AR63" s="24">
        <f t="shared" si="17"/>
        <v>0</v>
      </c>
      <c r="AS63" s="24">
        <f t="shared" si="18"/>
        <v>0</v>
      </c>
    </row>
    <row r="64" spans="1:45" x14ac:dyDescent="0.25">
      <c r="A64" s="83"/>
      <c r="B64" s="16"/>
      <c r="C64" s="16"/>
      <c r="D64" s="15"/>
      <c r="E64" s="15"/>
      <c r="F64" s="16"/>
      <c r="G64" s="16"/>
      <c r="H64" s="16"/>
      <c r="I64" s="22"/>
      <c r="J64" s="16"/>
      <c r="K64" s="16"/>
      <c r="L64" s="15"/>
      <c r="M64" s="20"/>
      <c r="N64" s="15"/>
      <c r="O64" s="20"/>
      <c r="P64" s="15"/>
      <c r="Q64" s="67"/>
      <c r="R64" s="17" t="str">
        <f>IF(Q64="","",VLOOKUP(Q64,'References (2)'!C:D,2,0))</f>
        <v/>
      </c>
      <c r="S64" s="17" t="str">
        <f>IF(Q64="","",VLOOKUP(Q64,'References (2)'!C:F,4,0))</f>
        <v/>
      </c>
      <c r="T64" s="68"/>
      <c r="U64" s="21"/>
      <c r="V64" s="68"/>
      <c r="W64" s="22"/>
      <c r="X64" s="16"/>
      <c r="Y64" s="74"/>
      <c r="Z64" s="25" t="str">
        <f t="shared" si="0"/>
        <v/>
      </c>
      <c r="AA64" s="17" t="str">
        <f t="shared" ca="1" si="1"/>
        <v/>
      </c>
      <c r="AB64" s="17" t="str">
        <f t="shared" ca="1" si="2"/>
        <v/>
      </c>
      <c r="AC64" s="17" t="str">
        <f t="shared" ca="1" si="3"/>
        <v/>
      </c>
      <c r="AD64" s="17" t="str">
        <f t="shared" ca="1" si="4"/>
        <v/>
      </c>
      <c r="AE64" s="17" t="str">
        <f t="shared" si="5"/>
        <v/>
      </c>
      <c r="AF64" s="17" t="str">
        <f t="shared" si="6"/>
        <v/>
      </c>
      <c r="AG64" s="17" t="str">
        <f t="shared" si="7"/>
        <v/>
      </c>
      <c r="AH64" s="17">
        <f t="shared" si="8"/>
        <v>0</v>
      </c>
      <c r="AI64" s="17" t="str">
        <f t="shared" ca="1" si="9"/>
        <v/>
      </c>
      <c r="AJ64" s="17" t="str">
        <f t="shared" ca="1" si="10"/>
        <v/>
      </c>
      <c r="AK64" s="17" t="str">
        <f t="shared" si="11"/>
        <v/>
      </c>
      <c r="AL64" s="17" t="str">
        <f t="shared" ca="1" si="12"/>
        <v/>
      </c>
      <c r="AN64" s="24">
        <f t="shared" si="13"/>
        <v>0</v>
      </c>
      <c r="AO64" s="24">
        <f t="shared" si="14"/>
        <v>0</v>
      </c>
      <c r="AP64" s="24">
        <f t="shared" si="15"/>
        <v>0</v>
      </c>
      <c r="AQ64" s="24">
        <f t="shared" si="16"/>
        <v>0</v>
      </c>
      <c r="AR64" s="24">
        <f t="shared" si="17"/>
        <v>0</v>
      </c>
      <c r="AS64" s="24">
        <f t="shared" si="18"/>
        <v>0</v>
      </c>
    </row>
    <row r="65" spans="1:45" x14ac:dyDescent="0.25">
      <c r="A65" s="83"/>
      <c r="B65" s="16"/>
      <c r="C65" s="16"/>
      <c r="D65" s="15"/>
      <c r="E65" s="15"/>
      <c r="F65" s="16"/>
      <c r="G65" s="16"/>
      <c r="H65" s="16"/>
      <c r="I65" s="22"/>
      <c r="J65" s="16"/>
      <c r="K65" s="16"/>
      <c r="L65" s="15"/>
      <c r="M65" s="20"/>
      <c r="N65" s="15"/>
      <c r="O65" s="20"/>
      <c r="P65" s="15"/>
      <c r="Q65" s="67"/>
      <c r="R65" s="17" t="str">
        <f>IF(Q65="","",VLOOKUP(Q65,'References (2)'!C:D,2,0))</f>
        <v/>
      </c>
      <c r="S65" s="17" t="str">
        <f>IF(Q65="","",VLOOKUP(Q65,'References (2)'!C:F,4,0))</f>
        <v/>
      </c>
      <c r="T65" s="70"/>
      <c r="U65" s="21"/>
      <c r="V65" s="68"/>
      <c r="W65" s="22"/>
      <c r="X65" s="16"/>
      <c r="Y65" s="74"/>
      <c r="Z65" s="25" t="str">
        <f t="shared" si="0"/>
        <v/>
      </c>
      <c r="AA65" s="17" t="str">
        <f t="shared" ca="1" si="1"/>
        <v/>
      </c>
      <c r="AB65" s="17" t="str">
        <f t="shared" ca="1" si="2"/>
        <v/>
      </c>
      <c r="AC65" s="17" t="str">
        <f t="shared" ca="1" si="3"/>
        <v/>
      </c>
      <c r="AD65" s="17" t="str">
        <f t="shared" ca="1" si="4"/>
        <v/>
      </c>
      <c r="AE65" s="17" t="str">
        <f t="shared" si="5"/>
        <v/>
      </c>
      <c r="AF65" s="17" t="str">
        <f t="shared" si="6"/>
        <v/>
      </c>
      <c r="AG65" s="17" t="str">
        <f t="shared" si="7"/>
        <v/>
      </c>
      <c r="AH65" s="17">
        <f t="shared" si="8"/>
        <v>0</v>
      </c>
      <c r="AI65" s="17" t="str">
        <f t="shared" ca="1" si="9"/>
        <v/>
      </c>
      <c r="AJ65" s="17" t="str">
        <f t="shared" ca="1" si="10"/>
        <v/>
      </c>
      <c r="AK65" s="17" t="str">
        <f t="shared" si="11"/>
        <v/>
      </c>
      <c r="AL65" s="17" t="str">
        <f t="shared" ca="1" si="12"/>
        <v/>
      </c>
      <c r="AN65" s="24">
        <f t="shared" si="13"/>
        <v>0</v>
      </c>
      <c r="AO65" s="24">
        <f t="shared" si="14"/>
        <v>0</v>
      </c>
      <c r="AP65" s="24">
        <f t="shared" si="15"/>
        <v>0</v>
      </c>
      <c r="AQ65" s="24">
        <f t="shared" si="16"/>
        <v>0</v>
      </c>
      <c r="AR65" s="24">
        <f t="shared" si="17"/>
        <v>0</v>
      </c>
      <c r="AS65" s="24">
        <f t="shared" si="18"/>
        <v>0</v>
      </c>
    </row>
    <row r="66" spans="1:45" x14ac:dyDescent="0.25">
      <c r="A66" s="83"/>
      <c r="B66" s="16"/>
      <c r="C66" s="16"/>
      <c r="D66" s="15"/>
      <c r="E66" s="15"/>
      <c r="F66" s="16"/>
      <c r="G66" s="16"/>
      <c r="H66" s="16"/>
      <c r="I66" s="22"/>
      <c r="J66" s="16"/>
      <c r="K66" s="16"/>
      <c r="L66" s="15"/>
      <c r="M66" s="20"/>
      <c r="N66" s="15"/>
      <c r="O66" s="20"/>
      <c r="P66" s="15"/>
      <c r="Q66" s="67"/>
      <c r="R66" s="17" t="str">
        <f>IF(Q66="","",VLOOKUP(Q66,'References (2)'!C:D,2,0))</f>
        <v/>
      </c>
      <c r="S66" s="17" t="str">
        <f>IF(Q66="","",VLOOKUP(Q66,'References (2)'!C:F,4,0))</f>
        <v/>
      </c>
      <c r="T66" s="68"/>
      <c r="U66" s="21"/>
      <c r="V66" s="68"/>
      <c r="W66" s="22"/>
      <c r="X66" s="16"/>
      <c r="Y66" s="74"/>
      <c r="Z66" s="25" t="str">
        <f t="shared" si="0"/>
        <v/>
      </c>
      <c r="AA66" s="17" t="str">
        <f t="shared" ca="1" si="1"/>
        <v/>
      </c>
      <c r="AB66" s="17" t="str">
        <f t="shared" ca="1" si="2"/>
        <v/>
      </c>
      <c r="AC66" s="17" t="str">
        <f t="shared" ca="1" si="3"/>
        <v/>
      </c>
      <c r="AD66" s="17" t="str">
        <f t="shared" ca="1" si="4"/>
        <v/>
      </c>
      <c r="AE66" s="17" t="str">
        <f t="shared" si="5"/>
        <v/>
      </c>
      <c r="AF66" s="17" t="str">
        <f t="shared" si="6"/>
        <v/>
      </c>
      <c r="AG66" s="17" t="str">
        <f t="shared" si="7"/>
        <v/>
      </c>
      <c r="AH66" s="17">
        <f t="shared" si="8"/>
        <v>0</v>
      </c>
      <c r="AI66" s="17" t="str">
        <f t="shared" ca="1" si="9"/>
        <v/>
      </c>
      <c r="AJ66" s="17" t="str">
        <f t="shared" ca="1" si="10"/>
        <v/>
      </c>
      <c r="AK66" s="17" t="str">
        <f t="shared" si="11"/>
        <v/>
      </c>
      <c r="AL66" s="17" t="str">
        <f t="shared" ca="1" si="12"/>
        <v/>
      </c>
      <c r="AN66" s="24">
        <f t="shared" si="13"/>
        <v>0</v>
      </c>
      <c r="AO66" s="24">
        <f t="shared" si="14"/>
        <v>0</v>
      </c>
      <c r="AP66" s="24">
        <f t="shared" si="15"/>
        <v>0</v>
      </c>
      <c r="AQ66" s="24">
        <f t="shared" si="16"/>
        <v>0</v>
      </c>
      <c r="AR66" s="24">
        <f t="shared" si="17"/>
        <v>0</v>
      </c>
      <c r="AS66" s="24">
        <f t="shared" si="18"/>
        <v>0</v>
      </c>
    </row>
    <row r="67" spans="1:45" x14ac:dyDescent="0.25">
      <c r="A67" s="83"/>
      <c r="B67" s="16"/>
      <c r="C67" s="16"/>
      <c r="D67" s="15"/>
      <c r="E67" s="15"/>
      <c r="F67" s="16"/>
      <c r="G67" s="16"/>
      <c r="H67" s="16"/>
      <c r="I67" s="22"/>
      <c r="J67" s="16"/>
      <c r="K67" s="16"/>
      <c r="L67" s="15"/>
      <c r="M67" s="20"/>
      <c r="N67" s="15"/>
      <c r="O67" s="20"/>
      <c r="P67" s="15"/>
      <c r="Q67" s="67"/>
      <c r="R67" s="17" t="str">
        <f>IF(Q67="","",VLOOKUP(Q67,'References (2)'!C:D,2,0))</f>
        <v/>
      </c>
      <c r="S67" s="17" t="str">
        <f>IF(Q67="","",VLOOKUP(Q67,'References (2)'!C:F,4,0))</f>
        <v/>
      </c>
      <c r="T67" s="68"/>
      <c r="U67" s="21"/>
      <c r="V67" s="68"/>
      <c r="W67" s="22"/>
      <c r="X67" s="16"/>
      <c r="Y67" s="74"/>
      <c r="Z67" s="25" t="str">
        <f t="shared" ref="Z67:Z130" si="19">IF(B67="","",IF(AN67=1,$AN$2,IF(AO67=1,$AO$2,IF(AP67=1,$AP$2,IF(AQ67=1,$AQ$2,IF(AR67=1,$AR$2,IF(AS67=1,$AS$2,"INCORRECT DATA INPUT")))))))</f>
        <v/>
      </c>
      <c r="AA67" s="17" t="str">
        <f t="shared" ref="AA67:AA130" ca="1" si="20">IF(I67="","",IF(M67="",TODAY()-I67,M67-I67))</f>
        <v/>
      </c>
      <c r="AB67" s="17" t="str">
        <f t="shared" ref="AB67:AB130" ca="1" si="21">IF(AA67="","",IF(AA67&lt;=0,0,AA67-1))</f>
        <v/>
      </c>
      <c r="AC67" s="17" t="str">
        <f t="shared" ref="AC67:AC130" ca="1" si="22">IF(AA67="","",IF(AA67&gt;1,"EXCEEDED SLA","WITHIN SLA"))</f>
        <v/>
      </c>
      <c r="AD67" s="17" t="str">
        <f t="shared" ref="AD67:AD130" ca="1" si="23">IF(M67="","",IF(W67="",TODAY()-M67,W67-M67))</f>
        <v/>
      </c>
      <c r="AE67" s="17" t="str">
        <f t="shared" ref="AE67:AE130" si="24">IF(M67="","",IF(S67="WFM",AD67,AD67-1))</f>
        <v/>
      </c>
      <c r="AF67" s="17" t="str">
        <f t="shared" ref="AF67:AF130" si="25">IF(AE67&lt;0,0,AE67)</f>
        <v/>
      </c>
      <c r="AG67" s="17" t="str">
        <f t="shared" ref="AG67:AG130" si="26">IF(M67="","",IF(S67="WFM","WFM SLA",IF(AE67&gt;0,"EXCEEDED SLA","WITHIN SLA")))</f>
        <v/>
      </c>
      <c r="AH67" s="17">
        <f t="shared" ref="AH67:AH130" si="27">Y67-W67</f>
        <v>0</v>
      </c>
      <c r="AI67" s="17" t="str">
        <f t="shared" ref="AI67:AI130" ca="1" si="28">IF(W67="","",IF(Y67="",TODAY()-W67-R67,Y67-W67-R67))</f>
        <v/>
      </c>
      <c r="AJ67" s="17" t="str">
        <f t="shared" ref="AJ67:AJ130" ca="1" si="29">IF(AI67&lt;=0,0,AI67)</f>
        <v/>
      </c>
      <c r="AK67" s="17" t="str">
        <f t="shared" ref="AK67:AK130" si="30">IF(W67="","",IF(AJ67&lt;1,"WITHIN SLA","EXCEEDED SLA"))</f>
        <v/>
      </c>
      <c r="AL67" s="17" t="str">
        <f t="shared" ref="AL67:AL130" ca="1" si="31">IF(B67="","",IF(K67="DONE",Y67-I67,TODAY()-I67))</f>
        <v/>
      </c>
      <c r="AN67" s="24">
        <f t="shared" ref="AN67:AN130" si="32">IF(AND(K67="DONE",Y67&gt;0,AK67="WITHIN SLA"),1,0)</f>
        <v>0</v>
      </c>
      <c r="AO67" s="24">
        <f t="shared" ref="AO67:AO130" si="33">IF(AND(K67="DONE",Y67&gt;0,AK67="EXCEEDED SLA"),1,0)</f>
        <v>0</v>
      </c>
      <c r="AP67" s="24">
        <f t="shared" ref="AP67:AP130" si="34">IF(AND(K67="PENDING",L67="AWAITING FROM CSMP"),1,0)</f>
        <v>0</v>
      </c>
      <c r="AQ67" s="24">
        <f t="shared" ref="AQ67:AQ130" si="35">IF(AND(K67="PENDING",L67="WATO ON-HAND",M67&gt;0,S67="WATO",W67=0),1,0)</f>
        <v>0</v>
      </c>
      <c r="AR67" s="24">
        <f t="shared" ref="AR67:AR130" si="36">IF(AND(K67="PENDING",L67="SUBMITTED TO WFM",M67&gt;0,S67="WFM",W67=0),1,0)</f>
        <v>0</v>
      </c>
      <c r="AS67" s="24">
        <f t="shared" ref="AS67:AS130" si="37">IF(AND(K67="PENDING",W67&gt;0),1,0)</f>
        <v>0</v>
      </c>
    </row>
    <row r="68" spans="1:45" x14ac:dyDescent="0.25">
      <c r="A68" s="83"/>
      <c r="B68" s="16"/>
      <c r="C68" s="16"/>
      <c r="D68" s="15"/>
      <c r="E68" s="15"/>
      <c r="F68" s="16"/>
      <c r="G68" s="16"/>
      <c r="H68" s="16"/>
      <c r="I68" s="22"/>
      <c r="J68" s="16"/>
      <c r="K68" s="16"/>
      <c r="L68" s="15"/>
      <c r="M68" s="20"/>
      <c r="N68" s="15"/>
      <c r="O68" s="20"/>
      <c r="P68" s="15"/>
      <c r="Q68" s="67"/>
      <c r="R68" s="17" t="str">
        <f>IF(Q68="","",VLOOKUP(Q68,'References (2)'!C:D,2,0))</f>
        <v/>
      </c>
      <c r="S68" s="17" t="str">
        <f>IF(Q68="","",VLOOKUP(Q68,'References (2)'!C:F,4,0))</f>
        <v/>
      </c>
      <c r="T68" s="68"/>
      <c r="U68" s="21"/>
      <c r="V68" s="68"/>
      <c r="W68" s="22"/>
      <c r="X68" s="16"/>
      <c r="Y68" s="74"/>
      <c r="Z68" s="25" t="str">
        <f t="shared" si="19"/>
        <v/>
      </c>
      <c r="AA68" s="17" t="str">
        <f t="shared" ca="1" si="20"/>
        <v/>
      </c>
      <c r="AB68" s="17" t="str">
        <f t="shared" ca="1" si="21"/>
        <v/>
      </c>
      <c r="AC68" s="17" t="str">
        <f t="shared" ca="1" si="22"/>
        <v/>
      </c>
      <c r="AD68" s="17" t="str">
        <f t="shared" ca="1" si="23"/>
        <v/>
      </c>
      <c r="AE68" s="17" t="str">
        <f t="shared" si="24"/>
        <v/>
      </c>
      <c r="AF68" s="17" t="str">
        <f t="shared" si="25"/>
        <v/>
      </c>
      <c r="AG68" s="17" t="str">
        <f t="shared" si="26"/>
        <v/>
      </c>
      <c r="AH68" s="17">
        <f t="shared" si="27"/>
        <v>0</v>
      </c>
      <c r="AI68" s="17" t="str">
        <f t="shared" ca="1" si="28"/>
        <v/>
      </c>
      <c r="AJ68" s="17" t="str">
        <f t="shared" ca="1" si="29"/>
        <v/>
      </c>
      <c r="AK68" s="17" t="str">
        <f t="shared" si="30"/>
        <v/>
      </c>
      <c r="AL68" s="17" t="str">
        <f t="shared" ca="1" si="31"/>
        <v/>
      </c>
      <c r="AN68" s="24">
        <f t="shared" si="32"/>
        <v>0</v>
      </c>
      <c r="AO68" s="24">
        <f t="shared" si="33"/>
        <v>0</v>
      </c>
      <c r="AP68" s="24">
        <f t="shared" si="34"/>
        <v>0</v>
      </c>
      <c r="AQ68" s="24">
        <f t="shared" si="35"/>
        <v>0</v>
      </c>
      <c r="AR68" s="24">
        <f t="shared" si="36"/>
        <v>0</v>
      </c>
      <c r="AS68" s="24">
        <f t="shared" si="37"/>
        <v>0</v>
      </c>
    </row>
    <row r="69" spans="1:45" x14ac:dyDescent="0.25">
      <c r="A69" s="83"/>
      <c r="B69" s="16"/>
      <c r="C69" s="16"/>
      <c r="D69" s="15"/>
      <c r="E69" s="15"/>
      <c r="F69" s="16"/>
      <c r="G69" s="16"/>
      <c r="H69" s="16"/>
      <c r="I69" s="22"/>
      <c r="J69" s="16"/>
      <c r="K69" s="16"/>
      <c r="L69" s="15"/>
      <c r="M69" s="20"/>
      <c r="N69" s="15"/>
      <c r="O69" s="20"/>
      <c r="P69" s="15"/>
      <c r="Q69" s="67"/>
      <c r="R69" s="17" t="str">
        <f>IF(Q69="","",VLOOKUP(Q69,'References (2)'!C:D,2,0))</f>
        <v/>
      </c>
      <c r="S69" s="17" t="str">
        <f>IF(Q69="","",VLOOKUP(Q69,'References (2)'!C:F,4,0))</f>
        <v/>
      </c>
      <c r="T69" s="68"/>
      <c r="U69" s="21"/>
      <c r="V69" s="68"/>
      <c r="W69" s="22"/>
      <c r="X69" s="16"/>
      <c r="Y69" s="74"/>
      <c r="Z69" s="25" t="str">
        <f t="shared" si="19"/>
        <v/>
      </c>
      <c r="AA69" s="17" t="str">
        <f t="shared" ca="1" si="20"/>
        <v/>
      </c>
      <c r="AB69" s="17" t="str">
        <f t="shared" ca="1" si="21"/>
        <v/>
      </c>
      <c r="AC69" s="17" t="str">
        <f t="shared" ca="1" si="22"/>
        <v/>
      </c>
      <c r="AD69" s="17" t="str">
        <f t="shared" ca="1" si="23"/>
        <v/>
      </c>
      <c r="AE69" s="17" t="str">
        <f t="shared" si="24"/>
        <v/>
      </c>
      <c r="AF69" s="17" t="str">
        <f t="shared" si="25"/>
        <v/>
      </c>
      <c r="AG69" s="17" t="str">
        <f t="shared" si="26"/>
        <v/>
      </c>
      <c r="AH69" s="17">
        <f t="shared" si="27"/>
        <v>0</v>
      </c>
      <c r="AI69" s="17" t="str">
        <f t="shared" ca="1" si="28"/>
        <v/>
      </c>
      <c r="AJ69" s="17" t="str">
        <f t="shared" ca="1" si="29"/>
        <v/>
      </c>
      <c r="AK69" s="17" t="str">
        <f t="shared" si="30"/>
        <v/>
      </c>
      <c r="AL69" s="17" t="str">
        <f t="shared" ca="1" si="31"/>
        <v/>
      </c>
      <c r="AN69" s="24">
        <f t="shared" si="32"/>
        <v>0</v>
      </c>
      <c r="AO69" s="24">
        <f t="shared" si="33"/>
        <v>0</v>
      </c>
      <c r="AP69" s="24">
        <f t="shared" si="34"/>
        <v>0</v>
      </c>
      <c r="AQ69" s="24">
        <f t="shared" si="35"/>
        <v>0</v>
      </c>
      <c r="AR69" s="24">
        <f t="shared" si="36"/>
        <v>0</v>
      </c>
      <c r="AS69" s="24">
        <f t="shared" si="37"/>
        <v>0</v>
      </c>
    </row>
    <row r="70" spans="1:45" x14ac:dyDescent="0.25">
      <c r="A70" s="83"/>
      <c r="B70" s="16"/>
      <c r="C70" s="16"/>
      <c r="D70" s="15"/>
      <c r="E70" s="15"/>
      <c r="F70" s="16"/>
      <c r="G70" s="16"/>
      <c r="H70" s="16"/>
      <c r="I70" s="22"/>
      <c r="J70" s="16"/>
      <c r="K70" s="16"/>
      <c r="L70" s="15"/>
      <c r="M70" s="20"/>
      <c r="N70" s="15"/>
      <c r="O70" s="20"/>
      <c r="P70" s="15"/>
      <c r="Q70" s="67"/>
      <c r="R70" s="17" t="str">
        <f>IF(Q70="","",VLOOKUP(Q70,'References (2)'!C:D,2,0))</f>
        <v/>
      </c>
      <c r="S70" s="17" t="str">
        <f>IF(Q70="","",VLOOKUP(Q70,'References (2)'!C:F,4,0))</f>
        <v/>
      </c>
      <c r="T70" s="68"/>
      <c r="U70" s="21"/>
      <c r="V70" s="68"/>
      <c r="W70" s="22"/>
      <c r="X70" s="16"/>
      <c r="Y70" s="74"/>
      <c r="Z70" s="25" t="str">
        <f t="shared" si="19"/>
        <v/>
      </c>
      <c r="AA70" s="17" t="str">
        <f t="shared" ca="1" si="20"/>
        <v/>
      </c>
      <c r="AB70" s="17" t="str">
        <f t="shared" ca="1" si="21"/>
        <v/>
      </c>
      <c r="AC70" s="17" t="str">
        <f t="shared" ca="1" si="22"/>
        <v/>
      </c>
      <c r="AD70" s="17" t="str">
        <f t="shared" ca="1" si="23"/>
        <v/>
      </c>
      <c r="AE70" s="17" t="str">
        <f t="shared" si="24"/>
        <v/>
      </c>
      <c r="AF70" s="17" t="str">
        <f t="shared" si="25"/>
        <v/>
      </c>
      <c r="AG70" s="17" t="str">
        <f t="shared" si="26"/>
        <v/>
      </c>
      <c r="AH70" s="17">
        <f t="shared" si="27"/>
        <v>0</v>
      </c>
      <c r="AI70" s="17" t="str">
        <f t="shared" ca="1" si="28"/>
        <v/>
      </c>
      <c r="AJ70" s="17" t="str">
        <f t="shared" ca="1" si="29"/>
        <v/>
      </c>
      <c r="AK70" s="17" t="str">
        <f t="shared" si="30"/>
        <v/>
      </c>
      <c r="AL70" s="17" t="str">
        <f t="shared" ca="1" si="31"/>
        <v/>
      </c>
      <c r="AN70" s="24">
        <f t="shared" si="32"/>
        <v>0</v>
      </c>
      <c r="AO70" s="24">
        <f t="shared" si="33"/>
        <v>0</v>
      </c>
      <c r="AP70" s="24">
        <f t="shared" si="34"/>
        <v>0</v>
      </c>
      <c r="AQ70" s="24">
        <f t="shared" si="35"/>
        <v>0</v>
      </c>
      <c r="AR70" s="24">
        <f t="shared" si="36"/>
        <v>0</v>
      </c>
      <c r="AS70" s="24">
        <f t="shared" si="37"/>
        <v>0</v>
      </c>
    </row>
    <row r="71" spans="1:45" x14ac:dyDescent="0.25">
      <c r="A71" s="83"/>
      <c r="B71" s="16"/>
      <c r="C71" s="16"/>
      <c r="D71" s="15"/>
      <c r="E71" s="15"/>
      <c r="F71" s="16"/>
      <c r="G71" s="16"/>
      <c r="H71" s="16"/>
      <c r="I71" s="22"/>
      <c r="J71" s="16"/>
      <c r="K71" s="16"/>
      <c r="L71" s="15"/>
      <c r="M71" s="20"/>
      <c r="N71" s="15"/>
      <c r="O71" s="20"/>
      <c r="P71" s="15"/>
      <c r="Q71" s="67"/>
      <c r="R71" s="17" t="str">
        <f>IF(Q71="","",VLOOKUP(Q71,'References (2)'!C:D,2,0))</f>
        <v/>
      </c>
      <c r="S71" s="17" t="str">
        <f>IF(Q71="","",VLOOKUP(Q71,'References (2)'!C:F,4,0))</f>
        <v/>
      </c>
      <c r="T71" s="68"/>
      <c r="U71" s="21"/>
      <c r="V71" s="68"/>
      <c r="W71" s="22"/>
      <c r="X71" s="16"/>
      <c r="Y71" s="74"/>
      <c r="Z71" s="25" t="str">
        <f t="shared" si="19"/>
        <v/>
      </c>
      <c r="AA71" s="17" t="str">
        <f t="shared" ca="1" si="20"/>
        <v/>
      </c>
      <c r="AB71" s="17" t="str">
        <f t="shared" ca="1" si="21"/>
        <v/>
      </c>
      <c r="AC71" s="17" t="str">
        <f t="shared" ca="1" si="22"/>
        <v/>
      </c>
      <c r="AD71" s="17" t="str">
        <f t="shared" ca="1" si="23"/>
        <v/>
      </c>
      <c r="AE71" s="17" t="str">
        <f t="shared" si="24"/>
        <v/>
      </c>
      <c r="AF71" s="17" t="str">
        <f t="shared" si="25"/>
        <v/>
      </c>
      <c r="AG71" s="17" t="str">
        <f t="shared" si="26"/>
        <v/>
      </c>
      <c r="AH71" s="17">
        <f t="shared" si="27"/>
        <v>0</v>
      </c>
      <c r="AI71" s="17" t="str">
        <f t="shared" ca="1" si="28"/>
        <v/>
      </c>
      <c r="AJ71" s="17" t="str">
        <f t="shared" ca="1" si="29"/>
        <v/>
      </c>
      <c r="AK71" s="17" t="str">
        <f t="shared" si="30"/>
        <v/>
      </c>
      <c r="AL71" s="17" t="str">
        <f t="shared" ca="1" si="31"/>
        <v/>
      </c>
      <c r="AN71" s="24">
        <f t="shared" si="32"/>
        <v>0</v>
      </c>
      <c r="AO71" s="24">
        <f t="shared" si="33"/>
        <v>0</v>
      </c>
      <c r="AP71" s="24">
        <f t="shared" si="34"/>
        <v>0</v>
      </c>
      <c r="AQ71" s="24">
        <f t="shared" si="35"/>
        <v>0</v>
      </c>
      <c r="AR71" s="24">
        <f t="shared" si="36"/>
        <v>0</v>
      </c>
      <c r="AS71" s="24">
        <f t="shared" si="37"/>
        <v>0</v>
      </c>
    </row>
    <row r="72" spans="1:45" x14ac:dyDescent="0.25">
      <c r="A72" s="83"/>
      <c r="B72" s="16"/>
      <c r="C72" s="16"/>
      <c r="D72" s="15"/>
      <c r="E72" s="15"/>
      <c r="F72" s="16"/>
      <c r="G72" s="16"/>
      <c r="H72" s="16"/>
      <c r="I72" s="22"/>
      <c r="J72" s="16"/>
      <c r="K72" s="16"/>
      <c r="L72" s="15"/>
      <c r="M72" s="20"/>
      <c r="N72" s="15"/>
      <c r="O72" s="20"/>
      <c r="P72" s="15"/>
      <c r="Q72" s="67"/>
      <c r="R72" s="17" t="str">
        <f>IF(Q72="","",VLOOKUP(Q72,'References (2)'!C:D,2,0))</f>
        <v/>
      </c>
      <c r="S72" s="17" t="str">
        <f>IF(Q72="","",VLOOKUP(Q72,'References (2)'!C:F,4,0))</f>
        <v/>
      </c>
      <c r="T72" s="68"/>
      <c r="U72" s="21"/>
      <c r="V72" s="68"/>
      <c r="W72" s="22"/>
      <c r="X72" s="16"/>
      <c r="Y72" s="74"/>
      <c r="Z72" s="25" t="str">
        <f t="shared" si="19"/>
        <v/>
      </c>
      <c r="AA72" s="17" t="str">
        <f t="shared" ca="1" si="20"/>
        <v/>
      </c>
      <c r="AB72" s="17" t="str">
        <f t="shared" ca="1" si="21"/>
        <v/>
      </c>
      <c r="AC72" s="17" t="str">
        <f t="shared" ca="1" si="22"/>
        <v/>
      </c>
      <c r="AD72" s="17" t="str">
        <f t="shared" ca="1" si="23"/>
        <v/>
      </c>
      <c r="AE72" s="17" t="str">
        <f t="shared" si="24"/>
        <v/>
      </c>
      <c r="AF72" s="17" t="str">
        <f t="shared" si="25"/>
        <v/>
      </c>
      <c r="AG72" s="17" t="str">
        <f t="shared" si="26"/>
        <v/>
      </c>
      <c r="AH72" s="17">
        <f t="shared" si="27"/>
        <v>0</v>
      </c>
      <c r="AI72" s="17" t="str">
        <f t="shared" ca="1" si="28"/>
        <v/>
      </c>
      <c r="AJ72" s="17" t="str">
        <f t="shared" ca="1" si="29"/>
        <v/>
      </c>
      <c r="AK72" s="17" t="str">
        <f t="shared" si="30"/>
        <v/>
      </c>
      <c r="AL72" s="17" t="str">
        <f t="shared" ca="1" si="31"/>
        <v/>
      </c>
      <c r="AN72" s="24">
        <f t="shared" si="32"/>
        <v>0</v>
      </c>
      <c r="AO72" s="24">
        <f t="shared" si="33"/>
        <v>0</v>
      </c>
      <c r="AP72" s="24">
        <f t="shared" si="34"/>
        <v>0</v>
      </c>
      <c r="AQ72" s="24">
        <f t="shared" si="35"/>
        <v>0</v>
      </c>
      <c r="AR72" s="24">
        <f t="shared" si="36"/>
        <v>0</v>
      </c>
      <c r="AS72" s="24">
        <f t="shared" si="37"/>
        <v>0</v>
      </c>
    </row>
    <row r="73" spans="1:45" x14ac:dyDescent="0.25">
      <c r="A73" s="83"/>
      <c r="B73" s="16"/>
      <c r="C73" s="16"/>
      <c r="D73" s="15"/>
      <c r="E73" s="15"/>
      <c r="F73" s="16"/>
      <c r="G73" s="16"/>
      <c r="H73" s="16"/>
      <c r="I73" s="22"/>
      <c r="J73" s="16"/>
      <c r="K73" s="16"/>
      <c r="L73" s="15"/>
      <c r="M73" s="20"/>
      <c r="N73" s="15"/>
      <c r="O73" s="20"/>
      <c r="P73" s="15"/>
      <c r="Q73" s="67"/>
      <c r="R73" s="17" t="str">
        <f>IF(Q73="","",VLOOKUP(Q73,'References (2)'!C:D,2,0))</f>
        <v/>
      </c>
      <c r="S73" s="17" t="str">
        <f>IF(Q73="","",VLOOKUP(Q73,'References (2)'!C:F,4,0))</f>
        <v/>
      </c>
      <c r="T73" s="68"/>
      <c r="U73" s="21"/>
      <c r="V73" s="68"/>
      <c r="W73" s="22"/>
      <c r="X73" s="16"/>
      <c r="Y73" s="74"/>
      <c r="Z73" s="25" t="str">
        <f t="shared" si="19"/>
        <v/>
      </c>
      <c r="AA73" s="17" t="str">
        <f t="shared" ca="1" si="20"/>
        <v/>
      </c>
      <c r="AB73" s="17" t="str">
        <f t="shared" ca="1" si="21"/>
        <v/>
      </c>
      <c r="AC73" s="17" t="str">
        <f t="shared" ca="1" si="22"/>
        <v/>
      </c>
      <c r="AD73" s="17" t="str">
        <f t="shared" ca="1" si="23"/>
        <v/>
      </c>
      <c r="AE73" s="17" t="str">
        <f t="shared" si="24"/>
        <v/>
      </c>
      <c r="AF73" s="17" t="str">
        <f t="shared" si="25"/>
        <v/>
      </c>
      <c r="AG73" s="17" t="str">
        <f t="shared" si="26"/>
        <v/>
      </c>
      <c r="AH73" s="17">
        <f t="shared" si="27"/>
        <v>0</v>
      </c>
      <c r="AI73" s="17" t="str">
        <f t="shared" ca="1" si="28"/>
        <v/>
      </c>
      <c r="AJ73" s="17" t="str">
        <f t="shared" ca="1" si="29"/>
        <v/>
      </c>
      <c r="AK73" s="17" t="str">
        <f t="shared" si="30"/>
        <v/>
      </c>
      <c r="AL73" s="17" t="str">
        <f t="shared" ca="1" si="31"/>
        <v/>
      </c>
      <c r="AN73" s="24">
        <f t="shared" si="32"/>
        <v>0</v>
      </c>
      <c r="AO73" s="24">
        <f t="shared" si="33"/>
        <v>0</v>
      </c>
      <c r="AP73" s="24">
        <f t="shared" si="34"/>
        <v>0</v>
      </c>
      <c r="AQ73" s="24">
        <f t="shared" si="35"/>
        <v>0</v>
      </c>
      <c r="AR73" s="24">
        <f t="shared" si="36"/>
        <v>0</v>
      </c>
      <c r="AS73" s="24">
        <f t="shared" si="37"/>
        <v>0</v>
      </c>
    </row>
    <row r="74" spans="1:45" x14ac:dyDescent="0.25">
      <c r="A74" s="83"/>
      <c r="B74" s="16"/>
      <c r="C74" s="16"/>
      <c r="D74" s="15"/>
      <c r="E74" s="15"/>
      <c r="F74" s="16"/>
      <c r="G74" s="16"/>
      <c r="H74" s="16"/>
      <c r="I74" s="22"/>
      <c r="J74" s="16"/>
      <c r="K74" s="16"/>
      <c r="L74" s="15"/>
      <c r="M74" s="20"/>
      <c r="N74" s="15"/>
      <c r="O74" s="20"/>
      <c r="P74" s="15"/>
      <c r="Q74" s="67"/>
      <c r="R74" s="17" t="str">
        <f>IF(Q74="","",VLOOKUP(Q74,'References (2)'!C:D,2,0))</f>
        <v/>
      </c>
      <c r="S74" s="17" t="str">
        <f>IF(Q74="","",VLOOKUP(Q74,'References (2)'!C:F,4,0))</f>
        <v/>
      </c>
      <c r="T74" s="71"/>
      <c r="U74" s="66"/>
      <c r="V74" s="71"/>
      <c r="W74" s="64"/>
      <c r="X74" s="16"/>
      <c r="Y74" s="74"/>
      <c r="Z74" s="25" t="str">
        <f t="shared" si="19"/>
        <v/>
      </c>
      <c r="AA74" s="17" t="str">
        <f t="shared" ca="1" si="20"/>
        <v/>
      </c>
      <c r="AB74" s="17" t="str">
        <f t="shared" ca="1" si="21"/>
        <v/>
      </c>
      <c r="AC74" s="17" t="str">
        <f t="shared" ca="1" si="22"/>
        <v/>
      </c>
      <c r="AD74" s="17" t="str">
        <f t="shared" ca="1" si="23"/>
        <v/>
      </c>
      <c r="AE74" s="17" t="str">
        <f t="shared" si="24"/>
        <v/>
      </c>
      <c r="AF74" s="17" t="str">
        <f t="shared" si="25"/>
        <v/>
      </c>
      <c r="AG74" s="17" t="str">
        <f t="shared" si="26"/>
        <v/>
      </c>
      <c r="AH74" s="17">
        <f t="shared" si="27"/>
        <v>0</v>
      </c>
      <c r="AI74" s="17" t="str">
        <f t="shared" ca="1" si="28"/>
        <v/>
      </c>
      <c r="AJ74" s="17" t="str">
        <f t="shared" ca="1" si="29"/>
        <v/>
      </c>
      <c r="AK74" s="17" t="str">
        <f t="shared" si="30"/>
        <v/>
      </c>
      <c r="AL74" s="17" t="str">
        <f t="shared" ca="1" si="31"/>
        <v/>
      </c>
      <c r="AN74" s="24">
        <f t="shared" si="32"/>
        <v>0</v>
      </c>
      <c r="AO74" s="24">
        <f t="shared" si="33"/>
        <v>0</v>
      </c>
      <c r="AP74" s="24">
        <f t="shared" si="34"/>
        <v>0</v>
      </c>
      <c r="AQ74" s="24">
        <f t="shared" si="35"/>
        <v>0</v>
      </c>
      <c r="AR74" s="24">
        <f t="shared" si="36"/>
        <v>0</v>
      </c>
      <c r="AS74" s="24">
        <f t="shared" si="37"/>
        <v>0</v>
      </c>
    </row>
    <row r="75" spans="1:45" x14ac:dyDescent="0.25">
      <c r="A75" s="83"/>
      <c r="B75" s="16"/>
      <c r="C75" s="16"/>
      <c r="D75" s="15"/>
      <c r="E75" s="15"/>
      <c r="F75" s="16"/>
      <c r="G75" s="16"/>
      <c r="H75" s="16"/>
      <c r="I75" s="22"/>
      <c r="J75" s="16"/>
      <c r="K75" s="16"/>
      <c r="L75" s="15"/>
      <c r="M75" s="20"/>
      <c r="N75" s="15"/>
      <c r="O75" s="20"/>
      <c r="P75" s="15"/>
      <c r="Q75" s="67"/>
      <c r="R75" s="17" t="str">
        <f>IF(Q75="","",VLOOKUP(Q75,'References (2)'!C:D,2,0))</f>
        <v/>
      </c>
      <c r="S75" s="17" t="str">
        <f>IF(Q75="","",VLOOKUP(Q75,'References (2)'!C:F,4,0))</f>
        <v/>
      </c>
      <c r="T75" s="71"/>
      <c r="U75" s="66"/>
      <c r="V75" s="71"/>
      <c r="W75" s="64"/>
      <c r="X75" s="16"/>
      <c r="Y75" s="74"/>
      <c r="Z75" s="25" t="str">
        <f t="shared" si="19"/>
        <v/>
      </c>
      <c r="AA75" s="17" t="str">
        <f t="shared" ca="1" si="20"/>
        <v/>
      </c>
      <c r="AB75" s="17" t="str">
        <f t="shared" ca="1" si="21"/>
        <v/>
      </c>
      <c r="AC75" s="17" t="str">
        <f t="shared" ca="1" si="22"/>
        <v/>
      </c>
      <c r="AD75" s="17" t="str">
        <f t="shared" ca="1" si="23"/>
        <v/>
      </c>
      <c r="AE75" s="17" t="str">
        <f t="shared" si="24"/>
        <v/>
      </c>
      <c r="AF75" s="17" t="str">
        <f t="shared" si="25"/>
        <v/>
      </c>
      <c r="AG75" s="17" t="str">
        <f t="shared" si="26"/>
        <v/>
      </c>
      <c r="AH75" s="17">
        <f t="shared" si="27"/>
        <v>0</v>
      </c>
      <c r="AI75" s="17" t="str">
        <f t="shared" ca="1" si="28"/>
        <v/>
      </c>
      <c r="AJ75" s="17" t="str">
        <f t="shared" ca="1" si="29"/>
        <v/>
      </c>
      <c r="AK75" s="17" t="str">
        <f t="shared" si="30"/>
        <v/>
      </c>
      <c r="AL75" s="17" t="str">
        <f t="shared" ca="1" si="31"/>
        <v/>
      </c>
      <c r="AN75" s="24">
        <f t="shared" si="32"/>
        <v>0</v>
      </c>
      <c r="AO75" s="24">
        <f t="shared" si="33"/>
        <v>0</v>
      </c>
      <c r="AP75" s="24">
        <f t="shared" si="34"/>
        <v>0</v>
      </c>
      <c r="AQ75" s="24">
        <f t="shared" si="35"/>
        <v>0</v>
      </c>
      <c r="AR75" s="24">
        <f t="shared" si="36"/>
        <v>0</v>
      </c>
      <c r="AS75" s="24">
        <f t="shared" si="37"/>
        <v>0</v>
      </c>
    </row>
    <row r="76" spans="1:45" x14ac:dyDescent="0.25">
      <c r="A76" s="83"/>
      <c r="B76" s="16"/>
      <c r="C76" s="16"/>
      <c r="D76" s="15"/>
      <c r="E76" s="15"/>
      <c r="F76" s="16"/>
      <c r="G76" s="16"/>
      <c r="H76" s="16"/>
      <c r="I76" s="22"/>
      <c r="J76" s="16"/>
      <c r="K76" s="16"/>
      <c r="L76" s="15"/>
      <c r="M76" s="20"/>
      <c r="N76" s="15"/>
      <c r="O76" s="20"/>
      <c r="P76" s="15"/>
      <c r="Q76" s="67"/>
      <c r="R76" s="17" t="str">
        <f>IF(Q76="","",VLOOKUP(Q76,'References (2)'!C:D,2,0))</f>
        <v/>
      </c>
      <c r="S76" s="17" t="str">
        <f>IF(Q76="","",VLOOKUP(Q76,'References (2)'!C:F,4,0))</f>
        <v/>
      </c>
      <c r="T76" s="71"/>
      <c r="U76" s="66"/>
      <c r="V76" s="71"/>
      <c r="W76" s="64"/>
      <c r="X76" s="16"/>
      <c r="Y76" s="74"/>
      <c r="Z76" s="25" t="str">
        <f t="shared" si="19"/>
        <v/>
      </c>
      <c r="AA76" s="17" t="str">
        <f t="shared" ca="1" si="20"/>
        <v/>
      </c>
      <c r="AB76" s="17" t="str">
        <f t="shared" ca="1" si="21"/>
        <v/>
      </c>
      <c r="AC76" s="17" t="str">
        <f t="shared" ca="1" si="22"/>
        <v/>
      </c>
      <c r="AD76" s="17" t="str">
        <f t="shared" ca="1" si="23"/>
        <v/>
      </c>
      <c r="AE76" s="17" t="str">
        <f t="shared" si="24"/>
        <v/>
      </c>
      <c r="AF76" s="17" t="str">
        <f t="shared" si="25"/>
        <v/>
      </c>
      <c r="AG76" s="17" t="str">
        <f t="shared" si="26"/>
        <v/>
      </c>
      <c r="AH76" s="17">
        <f t="shared" si="27"/>
        <v>0</v>
      </c>
      <c r="AI76" s="17" t="str">
        <f t="shared" ca="1" si="28"/>
        <v/>
      </c>
      <c r="AJ76" s="17" t="str">
        <f t="shared" ca="1" si="29"/>
        <v/>
      </c>
      <c r="AK76" s="17" t="str">
        <f t="shared" si="30"/>
        <v/>
      </c>
      <c r="AL76" s="17" t="str">
        <f t="shared" ca="1" si="31"/>
        <v/>
      </c>
      <c r="AN76" s="24">
        <f t="shared" si="32"/>
        <v>0</v>
      </c>
      <c r="AO76" s="24">
        <f t="shared" si="33"/>
        <v>0</v>
      </c>
      <c r="AP76" s="24">
        <f t="shared" si="34"/>
        <v>0</v>
      </c>
      <c r="AQ76" s="24">
        <f t="shared" si="35"/>
        <v>0</v>
      </c>
      <c r="AR76" s="24">
        <f t="shared" si="36"/>
        <v>0</v>
      </c>
      <c r="AS76" s="24">
        <f t="shared" si="37"/>
        <v>0</v>
      </c>
    </row>
    <row r="77" spans="1:45" x14ac:dyDescent="0.25">
      <c r="A77" s="83"/>
      <c r="B77" s="16"/>
      <c r="C77" s="16"/>
      <c r="D77" s="15"/>
      <c r="E77" s="15"/>
      <c r="F77" s="16"/>
      <c r="G77" s="16"/>
      <c r="H77" s="16"/>
      <c r="I77" s="22"/>
      <c r="J77" s="16"/>
      <c r="K77" s="16"/>
      <c r="L77" s="15"/>
      <c r="M77" s="20"/>
      <c r="N77" s="15"/>
      <c r="O77" s="20"/>
      <c r="P77" s="15"/>
      <c r="Q77" s="67"/>
      <c r="R77" s="17" t="str">
        <f>IF(Q77="","",VLOOKUP(Q77,'References (2)'!C:D,2,0))</f>
        <v/>
      </c>
      <c r="S77" s="17" t="str">
        <f>IF(Q77="","",VLOOKUP(Q77,'References (2)'!C:F,4,0))</f>
        <v/>
      </c>
      <c r="T77" s="71"/>
      <c r="U77" s="66"/>
      <c r="V77" s="71"/>
      <c r="W77" s="64"/>
      <c r="X77" s="16"/>
      <c r="Y77" s="74"/>
      <c r="Z77" s="25" t="str">
        <f t="shared" si="19"/>
        <v/>
      </c>
      <c r="AA77" s="17" t="str">
        <f t="shared" ca="1" si="20"/>
        <v/>
      </c>
      <c r="AB77" s="17" t="str">
        <f t="shared" ca="1" si="21"/>
        <v/>
      </c>
      <c r="AC77" s="17" t="str">
        <f t="shared" ca="1" si="22"/>
        <v/>
      </c>
      <c r="AD77" s="17" t="str">
        <f t="shared" ca="1" si="23"/>
        <v/>
      </c>
      <c r="AE77" s="17" t="str">
        <f t="shared" si="24"/>
        <v/>
      </c>
      <c r="AF77" s="17" t="str">
        <f t="shared" si="25"/>
        <v/>
      </c>
      <c r="AG77" s="17" t="str">
        <f t="shared" si="26"/>
        <v/>
      </c>
      <c r="AH77" s="17">
        <f t="shared" si="27"/>
        <v>0</v>
      </c>
      <c r="AI77" s="17" t="str">
        <f t="shared" ca="1" si="28"/>
        <v/>
      </c>
      <c r="AJ77" s="17" t="str">
        <f t="shared" ca="1" si="29"/>
        <v/>
      </c>
      <c r="AK77" s="17" t="str">
        <f t="shared" si="30"/>
        <v/>
      </c>
      <c r="AL77" s="17" t="str">
        <f t="shared" ca="1" si="31"/>
        <v/>
      </c>
      <c r="AN77" s="24">
        <f t="shared" si="32"/>
        <v>0</v>
      </c>
      <c r="AO77" s="24">
        <f t="shared" si="33"/>
        <v>0</v>
      </c>
      <c r="AP77" s="24">
        <f t="shared" si="34"/>
        <v>0</v>
      </c>
      <c r="AQ77" s="24">
        <f t="shared" si="35"/>
        <v>0</v>
      </c>
      <c r="AR77" s="24">
        <f t="shared" si="36"/>
        <v>0</v>
      </c>
      <c r="AS77" s="24">
        <f t="shared" si="37"/>
        <v>0</v>
      </c>
    </row>
    <row r="78" spans="1:45" x14ac:dyDescent="0.25">
      <c r="A78" s="83"/>
      <c r="B78" s="16"/>
      <c r="C78" s="16"/>
      <c r="D78" s="15"/>
      <c r="E78" s="15"/>
      <c r="F78" s="16"/>
      <c r="G78" s="16"/>
      <c r="H78" s="16"/>
      <c r="I78" s="22"/>
      <c r="J78" s="16"/>
      <c r="K78" s="16"/>
      <c r="L78" s="15"/>
      <c r="M78" s="20"/>
      <c r="N78" s="15"/>
      <c r="O78" s="20"/>
      <c r="P78" s="15"/>
      <c r="Q78" s="67"/>
      <c r="R78" s="17" t="str">
        <f>IF(Q78="","",VLOOKUP(Q78,'References (2)'!C:D,2,0))</f>
        <v/>
      </c>
      <c r="S78" s="17" t="str">
        <f>IF(Q78="","",VLOOKUP(Q78,'References (2)'!C:F,4,0))</f>
        <v/>
      </c>
      <c r="T78" s="71"/>
      <c r="U78" s="66"/>
      <c r="V78" s="71"/>
      <c r="W78" s="64"/>
      <c r="X78" s="16"/>
      <c r="Y78" s="74"/>
      <c r="Z78" s="25" t="str">
        <f t="shared" si="19"/>
        <v/>
      </c>
      <c r="AA78" s="17" t="str">
        <f t="shared" ca="1" si="20"/>
        <v/>
      </c>
      <c r="AB78" s="17" t="str">
        <f t="shared" ca="1" si="21"/>
        <v/>
      </c>
      <c r="AC78" s="17" t="str">
        <f t="shared" ca="1" si="22"/>
        <v/>
      </c>
      <c r="AD78" s="17" t="str">
        <f t="shared" ca="1" si="23"/>
        <v/>
      </c>
      <c r="AE78" s="17" t="str">
        <f t="shared" si="24"/>
        <v/>
      </c>
      <c r="AF78" s="17" t="str">
        <f t="shared" si="25"/>
        <v/>
      </c>
      <c r="AG78" s="17" t="str">
        <f t="shared" si="26"/>
        <v/>
      </c>
      <c r="AH78" s="17">
        <f t="shared" si="27"/>
        <v>0</v>
      </c>
      <c r="AI78" s="17" t="str">
        <f t="shared" ca="1" si="28"/>
        <v/>
      </c>
      <c r="AJ78" s="17" t="str">
        <f t="shared" ca="1" si="29"/>
        <v/>
      </c>
      <c r="AK78" s="17" t="str">
        <f t="shared" si="30"/>
        <v/>
      </c>
      <c r="AL78" s="17" t="str">
        <f t="shared" ca="1" si="31"/>
        <v/>
      </c>
      <c r="AN78" s="24">
        <f t="shared" si="32"/>
        <v>0</v>
      </c>
      <c r="AO78" s="24">
        <f t="shared" si="33"/>
        <v>0</v>
      </c>
      <c r="AP78" s="24">
        <f t="shared" si="34"/>
        <v>0</v>
      </c>
      <c r="AQ78" s="24">
        <f t="shared" si="35"/>
        <v>0</v>
      </c>
      <c r="AR78" s="24">
        <f t="shared" si="36"/>
        <v>0</v>
      </c>
      <c r="AS78" s="24">
        <f t="shared" si="37"/>
        <v>0</v>
      </c>
    </row>
    <row r="79" spans="1:45" x14ac:dyDescent="0.25">
      <c r="A79" s="83"/>
      <c r="B79" s="16"/>
      <c r="C79" s="16"/>
      <c r="D79" s="15"/>
      <c r="E79" s="15"/>
      <c r="F79" s="16"/>
      <c r="G79" s="16"/>
      <c r="H79" s="16"/>
      <c r="I79" s="22"/>
      <c r="J79" s="16"/>
      <c r="K79" s="16"/>
      <c r="L79" s="15"/>
      <c r="M79" s="20"/>
      <c r="N79" s="15"/>
      <c r="O79" s="20"/>
      <c r="P79" s="15"/>
      <c r="Q79" s="67"/>
      <c r="R79" s="17" t="str">
        <f>IF(Q79="","",VLOOKUP(Q79,'References (2)'!C:D,2,0))</f>
        <v/>
      </c>
      <c r="S79" s="17" t="str">
        <f>IF(Q79="","",VLOOKUP(Q79,'References (2)'!C:F,4,0))</f>
        <v/>
      </c>
      <c r="T79" s="71"/>
      <c r="U79" s="66"/>
      <c r="V79" s="71"/>
      <c r="W79" s="64"/>
      <c r="X79" s="16"/>
      <c r="Y79" s="74"/>
      <c r="Z79" s="25" t="str">
        <f t="shared" si="19"/>
        <v/>
      </c>
      <c r="AA79" s="17" t="str">
        <f t="shared" ca="1" si="20"/>
        <v/>
      </c>
      <c r="AB79" s="17" t="str">
        <f t="shared" ca="1" si="21"/>
        <v/>
      </c>
      <c r="AC79" s="17" t="str">
        <f t="shared" ca="1" si="22"/>
        <v/>
      </c>
      <c r="AD79" s="17" t="str">
        <f t="shared" ca="1" si="23"/>
        <v/>
      </c>
      <c r="AE79" s="17" t="str">
        <f t="shared" si="24"/>
        <v/>
      </c>
      <c r="AF79" s="17" t="str">
        <f t="shared" si="25"/>
        <v/>
      </c>
      <c r="AG79" s="17" t="str">
        <f t="shared" si="26"/>
        <v/>
      </c>
      <c r="AH79" s="17">
        <f t="shared" si="27"/>
        <v>0</v>
      </c>
      <c r="AI79" s="17" t="str">
        <f t="shared" ca="1" si="28"/>
        <v/>
      </c>
      <c r="AJ79" s="17" t="str">
        <f t="shared" ca="1" si="29"/>
        <v/>
      </c>
      <c r="AK79" s="17" t="str">
        <f t="shared" si="30"/>
        <v/>
      </c>
      <c r="AL79" s="17" t="str">
        <f t="shared" ca="1" si="31"/>
        <v/>
      </c>
      <c r="AN79" s="24">
        <f t="shared" si="32"/>
        <v>0</v>
      </c>
      <c r="AO79" s="24">
        <f t="shared" si="33"/>
        <v>0</v>
      </c>
      <c r="AP79" s="24">
        <f t="shared" si="34"/>
        <v>0</v>
      </c>
      <c r="AQ79" s="24">
        <f t="shared" si="35"/>
        <v>0</v>
      </c>
      <c r="AR79" s="24">
        <f t="shared" si="36"/>
        <v>0</v>
      </c>
      <c r="AS79" s="24">
        <f t="shared" si="37"/>
        <v>0</v>
      </c>
    </row>
    <row r="80" spans="1:45" x14ac:dyDescent="0.25">
      <c r="A80" s="83"/>
      <c r="B80" s="16"/>
      <c r="C80" s="16"/>
      <c r="D80" s="15"/>
      <c r="E80" s="15"/>
      <c r="F80" s="16"/>
      <c r="G80" s="16"/>
      <c r="H80" s="16"/>
      <c r="I80" s="22"/>
      <c r="J80" s="16"/>
      <c r="K80" s="16"/>
      <c r="L80" s="15"/>
      <c r="M80" s="20"/>
      <c r="N80" s="15"/>
      <c r="O80" s="20"/>
      <c r="P80" s="15"/>
      <c r="Q80" s="67"/>
      <c r="R80" s="17" t="str">
        <f>IF(Q80="","",VLOOKUP(Q80,'References (2)'!C:D,2,0))</f>
        <v/>
      </c>
      <c r="S80" s="17" t="str">
        <f>IF(Q80="","",VLOOKUP(Q80,'References (2)'!C:F,4,0))</f>
        <v/>
      </c>
      <c r="T80" s="71"/>
      <c r="U80" s="74"/>
      <c r="V80" s="71"/>
      <c r="W80" s="74"/>
      <c r="X80" s="16"/>
      <c r="Y80" s="74"/>
      <c r="Z80" s="25" t="str">
        <f t="shared" si="19"/>
        <v/>
      </c>
      <c r="AA80" s="17" t="str">
        <f t="shared" ca="1" si="20"/>
        <v/>
      </c>
      <c r="AB80" s="17" t="str">
        <f t="shared" ca="1" si="21"/>
        <v/>
      </c>
      <c r="AC80" s="17" t="str">
        <f t="shared" ca="1" si="22"/>
        <v/>
      </c>
      <c r="AD80" s="17" t="str">
        <f t="shared" ca="1" si="23"/>
        <v/>
      </c>
      <c r="AE80" s="17" t="str">
        <f t="shared" si="24"/>
        <v/>
      </c>
      <c r="AF80" s="17" t="str">
        <f t="shared" si="25"/>
        <v/>
      </c>
      <c r="AG80" s="17" t="str">
        <f t="shared" si="26"/>
        <v/>
      </c>
      <c r="AH80" s="17">
        <f t="shared" si="27"/>
        <v>0</v>
      </c>
      <c r="AI80" s="17" t="str">
        <f t="shared" ca="1" si="28"/>
        <v/>
      </c>
      <c r="AJ80" s="17" t="str">
        <f t="shared" ca="1" si="29"/>
        <v/>
      </c>
      <c r="AK80" s="17" t="str">
        <f t="shared" si="30"/>
        <v/>
      </c>
      <c r="AL80" s="17" t="str">
        <f t="shared" ca="1" si="31"/>
        <v/>
      </c>
      <c r="AN80" s="24">
        <f t="shared" si="32"/>
        <v>0</v>
      </c>
      <c r="AO80" s="24">
        <f t="shared" si="33"/>
        <v>0</v>
      </c>
      <c r="AP80" s="24">
        <f t="shared" si="34"/>
        <v>0</v>
      </c>
      <c r="AQ80" s="24">
        <f t="shared" si="35"/>
        <v>0</v>
      </c>
      <c r="AR80" s="24">
        <f t="shared" si="36"/>
        <v>0</v>
      </c>
      <c r="AS80" s="24">
        <f t="shared" si="37"/>
        <v>0</v>
      </c>
    </row>
    <row r="81" spans="1:45" x14ac:dyDescent="0.25">
      <c r="A81" s="83"/>
      <c r="B81" s="16"/>
      <c r="C81" s="16"/>
      <c r="D81" s="15"/>
      <c r="E81" s="15"/>
      <c r="F81" s="16"/>
      <c r="G81" s="16"/>
      <c r="H81" s="16"/>
      <c r="I81" s="22"/>
      <c r="J81" s="16"/>
      <c r="K81" s="16"/>
      <c r="L81" s="15"/>
      <c r="M81" s="20"/>
      <c r="N81" s="15"/>
      <c r="O81" s="20"/>
      <c r="P81" s="15"/>
      <c r="Q81" s="67"/>
      <c r="R81" s="17" t="str">
        <f>IF(Q81="","",VLOOKUP(Q81,'References (2)'!C:D,2,0))</f>
        <v/>
      </c>
      <c r="S81" s="17" t="str">
        <f>IF(Q81="","",VLOOKUP(Q81,'References (2)'!C:F,4,0))</f>
        <v/>
      </c>
      <c r="T81" s="16"/>
      <c r="U81" s="20"/>
      <c r="V81" s="15"/>
      <c r="W81" s="22"/>
      <c r="X81" s="16"/>
      <c r="Y81" s="22"/>
      <c r="Z81" s="25" t="str">
        <f t="shared" si="19"/>
        <v/>
      </c>
      <c r="AA81" s="17" t="str">
        <f t="shared" ca="1" si="20"/>
        <v/>
      </c>
      <c r="AB81" s="17" t="str">
        <f t="shared" ca="1" si="21"/>
        <v/>
      </c>
      <c r="AC81" s="17" t="str">
        <f t="shared" ca="1" si="22"/>
        <v/>
      </c>
      <c r="AD81" s="17" t="str">
        <f t="shared" ca="1" si="23"/>
        <v/>
      </c>
      <c r="AE81" s="17" t="str">
        <f t="shared" si="24"/>
        <v/>
      </c>
      <c r="AF81" s="17" t="str">
        <f t="shared" si="25"/>
        <v/>
      </c>
      <c r="AG81" s="17" t="str">
        <f t="shared" si="26"/>
        <v/>
      </c>
      <c r="AH81" s="17">
        <f t="shared" si="27"/>
        <v>0</v>
      </c>
      <c r="AI81" s="17" t="str">
        <f t="shared" ca="1" si="28"/>
        <v/>
      </c>
      <c r="AJ81" s="17" t="str">
        <f t="shared" ca="1" si="29"/>
        <v/>
      </c>
      <c r="AK81" s="17" t="str">
        <f t="shared" si="30"/>
        <v/>
      </c>
      <c r="AL81" s="17" t="str">
        <f t="shared" ca="1" si="31"/>
        <v/>
      </c>
      <c r="AN81" s="24">
        <f t="shared" si="32"/>
        <v>0</v>
      </c>
      <c r="AO81" s="24">
        <f t="shared" si="33"/>
        <v>0</v>
      </c>
      <c r="AP81" s="24">
        <f t="shared" si="34"/>
        <v>0</v>
      </c>
      <c r="AQ81" s="24">
        <f t="shared" si="35"/>
        <v>0</v>
      </c>
      <c r="AR81" s="24">
        <f t="shared" si="36"/>
        <v>0</v>
      </c>
      <c r="AS81" s="24">
        <f t="shared" si="37"/>
        <v>0</v>
      </c>
    </row>
    <row r="82" spans="1:45" x14ac:dyDescent="0.25">
      <c r="A82" s="83"/>
      <c r="B82" s="16"/>
      <c r="C82" s="16"/>
      <c r="D82" s="15"/>
      <c r="E82" s="15"/>
      <c r="F82" s="16"/>
      <c r="G82" s="16"/>
      <c r="H82" s="16"/>
      <c r="I82" s="22"/>
      <c r="J82" s="16"/>
      <c r="K82" s="16"/>
      <c r="L82" s="15"/>
      <c r="M82" s="20"/>
      <c r="N82" s="15"/>
      <c r="O82" s="20"/>
      <c r="P82" s="15"/>
      <c r="Q82" s="67"/>
      <c r="R82" s="17" t="str">
        <f>IF(Q82="","",VLOOKUP(Q82,'References (2)'!C:D,2,0))</f>
        <v/>
      </c>
      <c r="S82" s="17" t="str">
        <f>IF(Q82="","",VLOOKUP(Q82,'References (2)'!C:F,4,0))</f>
        <v/>
      </c>
      <c r="T82" s="16"/>
      <c r="U82" s="20"/>
      <c r="V82" s="15"/>
      <c r="W82" s="22"/>
      <c r="X82" s="16"/>
      <c r="Y82" s="22"/>
      <c r="Z82" s="25" t="str">
        <f t="shared" si="19"/>
        <v/>
      </c>
      <c r="AA82" s="17" t="str">
        <f t="shared" ca="1" si="20"/>
        <v/>
      </c>
      <c r="AB82" s="17" t="str">
        <f t="shared" ca="1" si="21"/>
        <v/>
      </c>
      <c r="AC82" s="17" t="str">
        <f t="shared" ca="1" si="22"/>
        <v/>
      </c>
      <c r="AD82" s="17" t="str">
        <f t="shared" ca="1" si="23"/>
        <v/>
      </c>
      <c r="AE82" s="17" t="str">
        <f t="shared" si="24"/>
        <v/>
      </c>
      <c r="AF82" s="17" t="str">
        <f t="shared" si="25"/>
        <v/>
      </c>
      <c r="AG82" s="17" t="str">
        <f t="shared" si="26"/>
        <v/>
      </c>
      <c r="AH82" s="17">
        <f t="shared" si="27"/>
        <v>0</v>
      </c>
      <c r="AI82" s="17" t="str">
        <f t="shared" ca="1" si="28"/>
        <v/>
      </c>
      <c r="AJ82" s="17" t="str">
        <f t="shared" ca="1" si="29"/>
        <v/>
      </c>
      <c r="AK82" s="17" t="str">
        <f t="shared" si="30"/>
        <v/>
      </c>
      <c r="AL82" s="17" t="str">
        <f t="shared" ca="1" si="31"/>
        <v/>
      </c>
      <c r="AN82" s="24">
        <f t="shared" si="32"/>
        <v>0</v>
      </c>
      <c r="AO82" s="24">
        <f t="shared" si="33"/>
        <v>0</v>
      </c>
      <c r="AP82" s="24">
        <f t="shared" si="34"/>
        <v>0</v>
      </c>
      <c r="AQ82" s="24">
        <f t="shared" si="35"/>
        <v>0</v>
      </c>
      <c r="AR82" s="24">
        <f t="shared" si="36"/>
        <v>0</v>
      </c>
      <c r="AS82" s="24">
        <f t="shared" si="37"/>
        <v>0</v>
      </c>
    </row>
    <row r="83" spans="1:45" x14ac:dyDescent="0.25">
      <c r="A83" s="83"/>
      <c r="B83" s="16"/>
      <c r="C83" s="16"/>
      <c r="D83" s="15"/>
      <c r="E83" s="15"/>
      <c r="F83" s="16"/>
      <c r="G83" s="16"/>
      <c r="H83" s="16"/>
      <c r="I83" s="22"/>
      <c r="J83" s="16"/>
      <c r="K83" s="16"/>
      <c r="L83" s="15"/>
      <c r="M83" s="20"/>
      <c r="N83" s="15"/>
      <c r="O83" s="20"/>
      <c r="P83" s="15"/>
      <c r="Q83" s="67"/>
      <c r="R83" s="17" t="str">
        <f>IF(Q83="","",VLOOKUP(Q83,'References (2)'!C:D,2,0))</f>
        <v/>
      </c>
      <c r="S83" s="17" t="str">
        <f>IF(Q83="","",VLOOKUP(Q83,'References (2)'!C:F,4,0))</f>
        <v/>
      </c>
      <c r="T83" s="16"/>
      <c r="U83" s="20"/>
      <c r="V83" s="15"/>
      <c r="W83" s="22"/>
      <c r="X83" s="16"/>
      <c r="Y83" s="22"/>
      <c r="Z83" s="25" t="str">
        <f t="shared" si="19"/>
        <v/>
      </c>
      <c r="AA83" s="17" t="str">
        <f t="shared" ca="1" si="20"/>
        <v/>
      </c>
      <c r="AB83" s="17" t="str">
        <f t="shared" ca="1" si="21"/>
        <v/>
      </c>
      <c r="AC83" s="17" t="str">
        <f t="shared" ca="1" si="22"/>
        <v/>
      </c>
      <c r="AD83" s="17" t="str">
        <f t="shared" ca="1" si="23"/>
        <v/>
      </c>
      <c r="AE83" s="17" t="str">
        <f t="shared" si="24"/>
        <v/>
      </c>
      <c r="AF83" s="17" t="str">
        <f t="shared" si="25"/>
        <v/>
      </c>
      <c r="AG83" s="17" t="str">
        <f t="shared" si="26"/>
        <v/>
      </c>
      <c r="AH83" s="17">
        <f t="shared" si="27"/>
        <v>0</v>
      </c>
      <c r="AI83" s="17" t="str">
        <f t="shared" ca="1" si="28"/>
        <v/>
      </c>
      <c r="AJ83" s="17" t="str">
        <f t="shared" ca="1" si="29"/>
        <v/>
      </c>
      <c r="AK83" s="17" t="str">
        <f t="shared" si="30"/>
        <v/>
      </c>
      <c r="AL83" s="17" t="str">
        <f t="shared" ca="1" si="31"/>
        <v/>
      </c>
      <c r="AN83" s="24">
        <f t="shared" si="32"/>
        <v>0</v>
      </c>
      <c r="AO83" s="24">
        <f t="shared" si="33"/>
        <v>0</v>
      </c>
      <c r="AP83" s="24">
        <f t="shared" si="34"/>
        <v>0</v>
      </c>
      <c r="AQ83" s="24">
        <f t="shared" si="35"/>
        <v>0</v>
      </c>
      <c r="AR83" s="24">
        <f t="shared" si="36"/>
        <v>0</v>
      </c>
      <c r="AS83" s="24">
        <f t="shared" si="37"/>
        <v>0</v>
      </c>
    </row>
    <row r="84" spans="1:45" x14ac:dyDescent="0.25">
      <c r="A84" s="83"/>
      <c r="B84" s="16"/>
      <c r="C84" s="16"/>
      <c r="D84" s="15"/>
      <c r="E84" s="15"/>
      <c r="F84" s="16"/>
      <c r="G84" s="16"/>
      <c r="H84" s="16"/>
      <c r="I84" s="22"/>
      <c r="J84" s="16"/>
      <c r="K84" s="16"/>
      <c r="L84" s="15"/>
      <c r="M84" s="20"/>
      <c r="N84" s="15"/>
      <c r="O84" s="20"/>
      <c r="P84" s="15"/>
      <c r="Q84" s="67"/>
      <c r="R84" s="17" t="str">
        <f>IF(Q84="","",VLOOKUP(Q84,'References (2)'!C:D,2,0))</f>
        <v/>
      </c>
      <c r="S84" s="17" t="str">
        <f>IF(Q84="","",VLOOKUP(Q84,'References (2)'!C:F,4,0))</f>
        <v/>
      </c>
      <c r="T84" s="16"/>
      <c r="U84" s="20"/>
      <c r="V84" s="15"/>
      <c r="W84" s="22"/>
      <c r="X84" s="16"/>
      <c r="Y84" s="22"/>
      <c r="Z84" s="25" t="str">
        <f t="shared" si="19"/>
        <v/>
      </c>
      <c r="AA84" s="17" t="str">
        <f t="shared" ca="1" si="20"/>
        <v/>
      </c>
      <c r="AB84" s="17" t="str">
        <f t="shared" ca="1" si="21"/>
        <v/>
      </c>
      <c r="AC84" s="17" t="str">
        <f t="shared" ca="1" si="22"/>
        <v/>
      </c>
      <c r="AD84" s="17" t="str">
        <f t="shared" ca="1" si="23"/>
        <v/>
      </c>
      <c r="AE84" s="17" t="str">
        <f t="shared" si="24"/>
        <v/>
      </c>
      <c r="AF84" s="17" t="str">
        <f t="shared" si="25"/>
        <v/>
      </c>
      <c r="AG84" s="17" t="str">
        <f t="shared" si="26"/>
        <v/>
      </c>
      <c r="AH84" s="17">
        <f t="shared" si="27"/>
        <v>0</v>
      </c>
      <c r="AI84" s="17" t="str">
        <f t="shared" ca="1" si="28"/>
        <v/>
      </c>
      <c r="AJ84" s="17" t="str">
        <f t="shared" ca="1" si="29"/>
        <v/>
      </c>
      <c r="AK84" s="17" t="str">
        <f t="shared" si="30"/>
        <v/>
      </c>
      <c r="AL84" s="17" t="str">
        <f t="shared" ca="1" si="31"/>
        <v/>
      </c>
      <c r="AN84" s="24">
        <f t="shared" si="32"/>
        <v>0</v>
      </c>
      <c r="AO84" s="24">
        <f t="shared" si="33"/>
        <v>0</v>
      </c>
      <c r="AP84" s="24">
        <f t="shared" si="34"/>
        <v>0</v>
      </c>
      <c r="AQ84" s="24">
        <f t="shared" si="35"/>
        <v>0</v>
      </c>
      <c r="AR84" s="24">
        <f t="shared" si="36"/>
        <v>0</v>
      </c>
      <c r="AS84" s="24">
        <f t="shared" si="37"/>
        <v>0</v>
      </c>
    </row>
    <row r="85" spans="1:45" x14ac:dyDescent="0.25">
      <c r="A85" s="83"/>
      <c r="B85" s="16"/>
      <c r="C85" s="16"/>
      <c r="D85" s="15"/>
      <c r="E85" s="15"/>
      <c r="F85" s="16"/>
      <c r="G85" s="16"/>
      <c r="H85" s="16"/>
      <c r="I85" s="22"/>
      <c r="J85" s="16"/>
      <c r="K85" s="16"/>
      <c r="L85" s="15"/>
      <c r="M85" s="20"/>
      <c r="N85" s="15"/>
      <c r="O85" s="20"/>
      <c r="P85" s="15"/>
      <c r="Q85" s="67"/>
      <c r="R85" s="17" t="str">
        <f>IF(Q85="","",VLOOKUP(Q85,'References (2)'!C:D,2,0))</f>
        <v/>
      </c>
      <c r="S85" s="17" t="str">
        <f>IF(Q85="","",VLOOKUP(Q85,'References (2)'!C:F,4,0))</f>
        <v/>
      </c>
      <c r="T85" s="16"/>
      <c r="U85" s="20"/>
      <c r="V85" s="15"/>
      <c r="W85" s="22"/>
      <c r="X85" s="16"/>
      <c r="Y85" s="22"/>
      <c r="Z85" s="25" t="str">
        <f t="shared" si="19"/>
        <v/>
      </c>
      <c r="AA85" s="17" t="str">
        <f t="shared" ca="1" si="20"/>
        <v/>
      </c>
      <c r="AB85" s="17" t="str">
        <f t="shared" ca="1" si="21"/>
        <v/>
      </c>
      <c r="AC85" s="17" t="str">
        <f t="shared" ca="1" si="22"/>
        <v/>
      </c>
      <c r="AD85" s="17" t="str">
        <f t="shared" ca="1" si="23"/>
        <v/>
      </c>
      <c r="AE85" s="17" t="str">
        <f t="shared" si="24"/>
        <v/>
      </c>
      <c r="AF85" s="17" t="str">
        <f t="shared" si="25"/>
        <v/>
      </c>
      <c r="AG85" s="17" t="str">
        <f t="shared" si="26"/>
        <v/>
      </c>
      <c r="AH85" s="17">
        <f t="shared" si="27"/>
        <v>0</v>
      </c>
      <c r="AI85" s="17" t="str">
        <f t="shared" ca="1" si="28"/>
        <v/>
      </c>
      <c r="AJ85" s="17" t="str">
        <f t="shared" ca="1" si="29"/>
        <v/>
      </c>
      <c r="AK85" s="17" t="str">
        <f t="shared" si="30"/>
        <v/>
      </c>
      <c r="AL85" s="17" t="str">
        <f t="shared" ca="1" si="31"/>
        <v/>
      </c>
      <c r="AN85" s="24">
        <f t="shared" si="32"/>
        <v>0</v>
      </c>
      <c r="AO85" s="24">
        <f t="shared" si="33"/>
        <v>0</v>
      </c>
      <c r="AP85" s="24">
        <f t="shared" si="34"/>
        <v>0</v>
      </c>
      <c r="AQ85" s="24">
        <f t="shared" si="35"/>
        <v>0</v>
      </c>
      <c r="AR85" s="24">
        <f t="shared" si="36"/>
        <v>0</v>
      </c>
      <c r="AS85" s="24">
        <f t="shared" si="37"/>
        <v>0</v>
      </c>
    </row>
    <row r="86" spans="1:45" x14ac:dyDescent="0.25">
      <c r="A86" s="83"/>
      <c r="B86" s="16"/>
      <c r="C86" s="16"/>
      <c r="D86" s="15"/>
      <c r="E86" s="15"/>
      <c r="F86" s="16"/>
      <c r="G86" s="16"/>
      <c r="H86" s="16"/>
      <c r="I86" s="22"/>
      <c r="J86" s="16"/>
      <c r="K86" s="16"/>
      <c r="L86" s="15"/>
      <c r="M86" s="20"/>
      <c r="N86" s="15"/>
      <c r="O86" s="20"/>
      <c r="P86" s="15"/>
      <c r="Q86" s="67"/>
      <c r="R86" s="17" t="str">
        <f>IF(Q86="","",VLOOKUP(Q86,'References (2)'!C:D,2,0))</f>
        <v/>
      </c>
      <c r="S86" s="17" t="str">
        <f>IF(Q86="","",VLOOKUP(Q86,'References (2)'!C:F,4,0))</f>
        <v/>
      </c>
      <c r="T86" s="16"/>
      <c r="U86" s="20"/>
      <c r="V86" s="15"/>
      <c r="W86" s="22"/>
      <c r="X86" s="16"/>
      <c r="Y86" s="22"/>
      <c r="Z86" s="25" t="str">
        <f t="shared" si="19"/>
        <v/>
      </c>
      <c r="AA86" s="17" t="str">
        <f t="shared" ca="1" si="20"/>
        <v/>
      </c>
      <c r="AB86" s="17" t="str">
        <f t="shared" ca="1" si="21"/>
        <v/>
      </c>
      <c r="AC86" s="17" t="str">
        <f t="shared" ca="1" si="22"/>
        <v/>
      </c>
      <c r="AD86" s="17" t="str">
        <f t="shared" ca="1" si="23"/>
        <v/>
      </c>
      <c r="AE86" s="17" t="str">
        <f t="shared" si="24"/>
        <v/>
      </c>
      <c r="AF86" s="17" t="str">
        <f t="shared" si="25"/>
        <v/>
      </c>
      <c r="AG86" s="17" t="str">
        <f t="shared" si="26"/>
        <v/>
      </c>
      <c r="AH86" s="17">
        <f t="shared" si="27"/>
        <v>0</v>
      </c>
      <c r="AI86" s="17" t="str">
        <f t="shared" ca="1" si="28"/>
        <v/>
      </c>
      <c r="AJ86" s="17" t="str">
        <f t="shared" ca="1" si="29"/>
        <v/>
      </c>
      <c r="AK86" s="17" t="str">
        <f t="shared" si="30"/>
        <v/>
      </c>
      <c r="AL86" s="17" t="str">
        <f t="shared" ca="1" si="31"/>
        <v/>
      </c>
      <c r="AN86" s="24">
        <f t="shared" si="32"/>
        <v>0</v>
      </c>
      <c r="AO86" s="24">
        <f t="shared" si="33"/>
        <v>0</v>
      </c>
      <c r="AP86" s="24">
        <f t="shared" si="34"/>
        <v>0</v>
      </c>
      <c r="AQ86" s="24">
        <f t="shared" si="35"/>
        <v>0</v>
      </c>
      <c r="AR86" s="24">
        <f t="shared" si="36"/>
        <v>0</v>
      </c>
      <c r="AS86" s="24">
        <f t="shared" si="37"/>
        <v>0</v>
      </c>
    </row>
    <row r="87" spans="1:45" x14ac:dyDescent="0.25">
      <c r="A87" s="83"/>
      <c r="B87" s="16"/>
      <c r="C87" s="16"/>
      <c r="D87" s="15"/>
      <c r="E87" s="15"/>
      <c r="F87" s="16"/>
      <c r="G87" s="16"/>
      <c r="H87" s="16"/>
      <c r="I87" s="22"/>
      <c r="J87" s="16"/>
      <c r="K87" s="16"/>
      <c r="L87" s="15"/>
      <c r="M87" s="20"/>
      <c r="N87" s="15"/>
      <c r="O87" s="20"/>
      <c r="P87" s="15"/>
      <c r="Q87" s="67"/>
      <c r="R87" s="17" t="str">
        <f>IF(Q87="","",VLOOKUP(Q87,'References (2)'!C:D,2,0))</f>
        <v/>
      </c>
      <c r="S87" s="17" t="str">
        <f>IF(Q87="","",VLOOKUP(Q87,'References (2)'!C:F,4,0))</f>
        <v/>
      </c>
      <c r="T87" s="16"/>
      <c r="U87" s="20"/>
      <c r="V87" s="15"/>
      <c r="W87" s="22"/>
      <c r="X87" s="16"/>
      <c r="Y87" s="22"/>
      <c r="Z87" s="25" t="str">
        <f t="shared" si="19"/>
        <v/>
      </c>
      <c r="AA87" s="17" t="str">
        <f t="shared" ca="1" si="20"/>
        <v/>
      </c>
      <c r="AB87" s="17" t="str">
        <f t="shared" ca="1" si="21"/>
        <v/>
      </c>
      <c r="AC87" s="17" t="str">
        <f t="shared" ca="1" si="22"/>
        <v/>
      </c>
      <c r="AD87" s="17" t="str">
        <f t="shared" ca="1" si="23"/>
        <v/>
      </c>
      <c r="AE87" s="17" t="str">
        <f t="shared" si="24"/>
        <v/>
      </c>
      <c r="AF87" s="17" t="str">
        <f t="shared" si="25"/>
        <v/>
      </c>
      <c r="AG87" s="17" t="str">
        <f t="shared" si="26"/>
        <v/>
      </c>
      <c r="AH87" s="17">
        <f t="shared" si="27"/>
        <v>0</v>
      </c>
      <c r="AI87" s="17" t="str">
        <f t="shared" ca="1" si="28"/>
        <v/>
      </c>
      <c r="AJ87" s="17" t="str">
        <f t="shared" ca="1" si="29"/>
        <v/>
      </c>
      <c r="AK87" s="17" t="str">
        <f t="shared" si="30"/>
        <v/>
      </c>
      <c r="AL87" s="17" t="str">
        <f t="shared" ca="1" si="31"/>
        <v/>
      </c>
      <c r="AN87" s="24">
        <f t="shared" si="32"/>
        <v>0</v>
      </c>
      <c r="AO87" s="24">
        <f t="shared" si="33"/>
        <v>0</v>
      </c>
      <c r="AP87" s="24">
        <f t="shared" si="34"/>
        <v>0</v>
      </c>
      <c r="AQ87" s="24">
        <f t="shared" si="35"/>
        <v>0</v>
      </c>
      <c r="AR87" s="24">
        <f t="shared" si="36"/>
        <v>0</v>
      </c>
      <c r="AS87" s="24">
        <f t="shared" si="37"/>
        <v>0</v>
      </c>
    </row>
    <row r="88" spans="1:45" x14ac:dyDescent="0.25">
      <c r="A88" s="83"/>
      <c r="B88" s="16"/>
      <c r="C88" s="16"/>
      <c r="D88" s="15"/>
      <c r="E88" s="15"/>
      <c r="F88" s="16"/>
      <c r="G88" s="16"/>
      <c r="H88" s="16"/>
      <c r="I88" s="22"/>
      <c r="J88" s="16"/>
      <c r="K88" s="16"/>
      <c r="L88" s="15"/>
      <c r="M88" s="20"/>
      <c r="N88" s="15"/>
      <c r="O88" s="20"/>
      <c r="P88" s="15"/>
      <c r="Q88" s="67"/>
      <c r="R88" s="17" t="str">
        <f>IF(Q88="","",VLOOKUP(Q88,'References (2)'!C:D,2,0))</f>
        <v/>
      </c>
      <c r="S88" s="17" t="str">
        <f>IF(Q88="","",VLOOKUP(Q88,'References (2)'!C:F,4,0))</f>
        <v/>
      </c>
      <c r="T88" s="16"/>
      <c r="U88" s="20"/>
      <c r="V88" s="15"/>
      <c r="W88" s="22"/>
      <c r="X88" s="16"/>
      <c r="Y88" s="22"/>
      <c r="Z88" s="25" t="str">
        <f t="shared" si="19"/>
        <v/>
      </c>
      <c r="AA88" s="17" t="str">
        <f t="shared" ca="1" si="20"/>
        <v/>
      </c>
      <c r="AB88" s="17" t="str">
        <f t="shared" ca="1" si="21"/>
        <v/>
      </c>
      <c r="AC88" s="17" t="str">
        <f t="shared" ca="1" si="22"/>
        <v/>
      </c>
      <c r="AD88" s="17" t="str">
        <f t="shared" ca="1" si="23"/>
        <v/>
      </c>
      <c r="AE88" s="17" t="str">
        <f t="shared" si="24"/>
        <v/>
      </c>
      <c r="AF88" s="17" t="str">
        <f t="shared" si="25"/>
        <v/>
      </c>
      <c r="AG88" s="17" t="str">
        <f t="shared" si="26"/>
        <v/>
      </c>
      <c r="AH88" s="17">
        <f t="shared" si="27"/>
        <v>0</v>
      </c>
      <c r="AI88" s="17" t="str">
        <f t="shared" ca="1" si="28"/>
        <v/>
      </c>
      <c r="AJ88" s="17" t="str">
        <f t="shared" ca="1" si="29"/>
        <v/>
      </c>
      <c r="AK88" s="17" t="str">
        <f t="shared" si="30"/>
        <v/>
      </c>
      <c r="AL88" s="17" t="str">
        <f t="shared" ca="1" si="31"/>
        <v/>
      </c>
      <c r="AN88" s="24">
        <f t="shared" si="32"/>
        <v>0</v>
      </c>
      <c r="AO88" s="24">
        <f t="shared" si="33"/>
        <v>0</v>
      </c>
      <c r="AP88" s="24">
        <f t="shared" si="34"/>
        <v>0</v>
      </c>
      <c r="AQ88" s="24">
        <f t="shared" si="35"/>
        <v>0</v>
      </c>
      <c r="AR88" s="24">
        <f t="shared" si="36"/>
        <v>0</v>
      </c>
      <c r="AS88" s="24">
        <f t="shared" si="37"/>
        <v>0</v>
      </c>
    </row>
    <row r="89" spans="1:45" x14ac:dyDescent="0.25">
      <c r="A89" s="83"/>
      <c r="B89" s="16"/>
      <c r="C89" s="16"/>
      <c r="D89" s="15"/>
      <c r="E89" s="15"/>
      <c r="F89" s="16"/>
      <c r="G89" s="16"/>
      <c r="H89" s="16"/>
      <c r="I89" s="22"/>
      <c r="J89" s="16"/>
      <c r="K89" s="16"/>
      <c r="L89" s="15"/>
      <c r="M89" s="20"/>
      <c r="N89" s="15"/>
      <c r="O89" s="20"/>
      <c r="P89" s="15"/>
      <c r="Q89" s="67"/>
      <c r="R89" s="17" t="str">
        <f>IF(Q89="","",VLOOKUP(Q89,'References (2)'!C:D,2,0))</f>
        <v/>
      </c>
      <c r="S89" s="17" t="str">
        <f>IF(Q89="","",VLOOKUP(Q89,'References (2)'!C:F,4,0))</f>
        <v/>
      </c>
      <c r="T89" s="16"/>
      <c r="U89" s="20"/>
      <c r="V89" s="15"/>
      <c r="W89" s="22"/>
      <c r="X89" s="16"/>
      <c r="Y89" s="22"/>
      <c r="Z89" s="25" t="str">
        <f t="shared" si="19"/>
        <v/>
      </c>
      <c r="AA89" s="17" t="str">
        <f t="shared" ca="1" si="20"/>
        <v/>
      </c>
      <c r="AB89" s="17" t="str">
        <f t="shared" ca="1" si="21"/>
        <v/>
      </c>
      <c r="AC89" s="17" t="str">
        <f t="shared" ca="1" si="22"/>
        <v/>
      </c>
      <c r="AD89" s="17" t="str">
        <f t="shared" ca="1" si="23"/>
        <v/>
      </c>
      <c r="AE89" s="17" t="str">
        <f t="shared" si="24"/>
        <v/>
      </c>
      <c r="AF89" s="17" t="str">
        <f t="shared" si="25"/>
        <v/>
      </c>
      <c r="AG89" s="17" t="str">
        <f t="shared" si="26"/>
        <v/>
      </c>
      <c r="AH89" s="17">
        <f t="shared" si="27"/>
        <v>0</v>
      </c>
      <c r="AI89" s="17" t="str">
        <f t="shared" ca="1" si="28"/>
        <v/>
      </c>
      <c r="AJ89" s="17" t="str">
        <f t="shared" ca="1" si="29"/>
        <v/>
      </c>
      <c r="AK89" s="17" t="str">
        <f t="shared" si="30"/>
        <v/>
      </c>
      <c r="AL89" s="17" t="str">
        <f t="shared" ca="1" si="31"/>
        <v/>
      </c>
      <c r="AN89" s="24">
        <f t="shared" si="32"/>
        <v>0</v>
      </c>
      <c r="AO89" s="24">
        <f t="shared" si="33"/>
        <v>0</v>
      </c>
      <c r="AP89" s="24">
        <f t="shared" si="34"/>
        <v>0</v>
      </c>
      <c r="AQ89" s="24">
        <f t="shared" si="35"/>
        <v>0</v>
      </c>
      <c r="AR89" s="24">
        <f t="shared" si="36"/>
        <v>0</v>
      </c>
      <c r="AS89" s="24">
        <f t="shared" si="37"/>
        <v>0</v>
      </c>
    </row>
    <row r="90" spans="1:45" x14ac:dyDescent="0.25">
      <c r="A90" s="83"/>
      <c r="B90" s="16"/>
      <c r="C90" s="16"/>
      <c r="D90" s="15"/>
      <c r="E90" s="15"/>
      <c r="F90" s="16"/>
      <c r="G90" s="16"/>
      <c r="H90" s="16"/>
      <c r="I90" s="22"/>
      <c r="J90" s="16"/>
      <c r="K90" s="16"/>
      <c r="L90" s="15"/>
      <c r="M90" s="20"/>
      <c r="N90" s="15"/>
      <c r="O90" s="20"/>
      <c r="P90" s="15"/>
      <c r="Q90" s="67"/>
      <c r="R90" s="17" t="str">
        <f>IF(Q90="","",VLOOKUP(Q90,'References (2)'!C:D,2,0))</f>
        <v/>
      </c>
      <c r="S90" s="17" t="str">
        <f>IF(Q90="","",VLOOKUP(Q90,'References (2)'!C:F,4,0))</f>
        <v/>
      </c>
      <c r="T90" s="16"/>
      <c r="U90" s="20"/>
      <c r="V90" s="15"/>
      <c r="W90" s="22"/>
      <c r="X90" s="16"/>
      <c r="Y90" s="22"/>
      <c r="Z90" s="25" t="str">
        <f t="shared" si="19"/>
        <v/>
      </c>
      <c r="AA90" s="17" t="str">
        <f t="shared" ca="1" si="20"/>
        <v/>
      </c>
      <c r="AB90" s="17" t="str">
        <f t="shared" ca="1" si="21"/>
        <v/>
      </c>
      <c r="AC90" s="17" t="str">
        <f t="shared" ca="1" si="22"/>
        <v/>
      </c>
      <c r="AD90" s="17" t="str">
        <f t="shared" ca="1" si="23"/>
        <v/>
      </c>
      <c r="AE90" s="17" t="str">
        <f t="shared" si="24"/>
        <v/>
      </c>
      <c r="AF90" s="17" t="str">
        <f t="shared" si="25"/>
        <v/>
      </c>
      <c r="AG90" s="17" t="str">
        <f t="shared" si="26"/>
        <v/>
      </c>
      <c r="AH90" s="17">
        <f t="shared" si="27"/>
        <v>0</v>
      </c>
      <c r="AI90" s="17" t="str">
        <f t="shared" ca="1" si="28"/>
        <v/>
      </c>
      <c r="AJ90" s="17" t="str">
        <f t="shared" ca="1" si="29"/>
        <v/>
      </c>
      <c r="AK90" s="17" t="str">
        <f t="shared" si="30"/>
        <v/>
      </c>
      <c r="AL90" s="17" t="str">
        <f t="shared" ca="1" si="31"/>
        <v/>
      </c>
      <c r="AN90" s="24">
        <f t="shared" si="32"/>
        <v>0</v>
      </c>
      <c r="AO90" s="24">
        <f t="shared" si="33"/>
        <v>0</v>
      </c>
      <c r="AP90" s="24">
        <f t="shared" si="34"/>
        <v>0</v>
      </c>
      <c r="AQ90" s="24">
        <f t="shared" si="35"/>
        <v>0</v>
      </c>
      <c r="AR90" s="24">
        <f t="shared" si="36"/>
        <v>0</v>
      </c>
      <c r="AS90" s="24">
        <f t="shared" si="37"/>
        <v>0</v>
      </c>
    </row>
    <row r="91" spans="1:45" x14ac:dyDescent="0.25">
      <c r="A91" s="83"/>
      <c r="B91" s="16"/>
      <c r="C91" s="16"/>
      <c r="D91" s="15"/>
      <c r="E91" s="15"/>
      <c r="F91" s="16"/>
      <c r="G91" s="16"/>
      <c r="H91" s="16"/>
      <c r="I91" s="22"/>
      <c r="J91" s="16"/>
      <c r="K91" s="16"/>
      <c r="L91" s="15"/>
      <c r="M91" s="20"/>
      <c r="N91" s="15"/>
      <c r="O91" s="20"/>
      <c r="P91" s="15"/>
      <c r="Q91" s="67"/>
      <c r="R91" s="17" t="str">
        <f>IF(Q91="","",VLOOKUP(Q91,'References (2)'!C:D,2,0))</f>
        <v/>
      </c>
      <c r="S91" s="17" t="str">
        <f>IF(Q91="","",VLOOKUP(Q91,'References (2)'!C:F,4,0))</f>
        <v/>
      </c>
      <c r="T91" s="16"/>
      <c r="U91" s="20"/>
      <c r="V91" s="15"/>
      <c r="W91" s="22"/>
      <c r="X91" s="16"/>
      <c r="Y91" s="22"/>
      <c r="Z91" s="25" t="str">
        <f t="shared" si="19"/>
        <v/>
      </c>
      <c r="AA91" s="17" t="str">
        <f t="shared" ca="1" si="20"/>
        <v/>
      </c>
      <c r="AB91" s="17" t="str">
        <f t="shared" ca="1" si="21"/>
        <v/>
      </c>
      <c r="AC91" s="17" t="str">
        <f t="shared" ca="1" si="22"/>
        <v/>
      </c>
      <c r="AD91" s="17" t="str">
        <f t="shared" ca="1" si="23"/>
        <v/>
      </c>
      <c r="AE91" s="17" t="str">
        <f t="shared" si="24"/>
        <v/>
      </c>
      <c r="AF91" s="17" t="str">
        <f t="shared" si="25"/>
        <v/>
      </c>
      <c r="AG91" s="17" t="str">
        <f t="shared" si="26"/>
        <v/>
      </c>
      <c r="AH91" s="17">
        <f t="shared" si="27"/>
        <v>0</v>
      </c>
      <c r="AI91" s="17" t="str">
        <f t="shared" ca="1" si="28"/>
        <v/>
      </c>
      <c r="AJ91" s="17" t="str">
        <f t="shared" ca="1" si="29"/>
        <v/>
      </c>
      <c r="AK91" s="17" t="str">
        <f t="shared" si="30"/>
        <v/>
      </c>
      <c r="AL91" s="17" t="str">
        <f t="shared" ca="1" si="31"/>
        <v/>
      </c>
      <c r="AN91" s="24">
        <f t="shared" si="32"/>
        <v>0</v>
      </c>
      <c r="AO91" s="24">
        <f t="shared" si="33"/>
        <v>0</v>
      </c>
      <c r="AP91" s="24">
        <f t="shared" si="34"/>
        <v>0</v>
      </c>
      <c r="AQ91" s="24">
        <f t="shared" si="35"/>
        <v>0</v>
      </c>
      <c r="AR91" s="24">
        <f t="shared" si="36"/>
        <v>0</v>
      </c>
      <c r="AS91" s="24">
        <f t="shared" si="37"/>
        <v>0</v>
      </c>
    </row>
    <row r="92" spans="1:45" x14ac:dyDescent="0.25">
      <c r="A92" s="83"/>
      <c r="B92" s="16"/>
      <c r="C92" s="16"/>
      <c r="D92" s="15"/>
      <c r="E92" s="15"/>
      <c r="F92" s="16"/>
      <c r="G92" s="16"/>
      <c r="H92" s="16"/>
      <c r="I92" s="22"/>
      <c r="J92" s="16"/>
      <c r="K92" s="16"/>
      <c r="L92" s="15"/>
      <c r="M92" s="20"/>
      <c r="N92" s="15"/>
      <c r="O92" s="20"/>
      <c r="P92" s="15"/>
      <c r="Q92" s="67"/>
      <c r="R92" s="17" t="str">
        <f>IF(Q92="","",VLOOKUP(Q92,'References (2)'!C:D,2,0))</f>
        <v/>
      </c>
      <c r="S92" s="17" t="str">
        <f>IF(Q92="","",VLOOKUP(Q92,'References (2)'!C:F,4,0))</f>
        <v/>
      </c>
      <c r="T92" s="16"/>
      <c r="U92" s="20"/>
      <c r="V92" s="15"/>
      <c r="W92" s="22"/>
      <c r="X92" s="16"/>
      <c r="Y92" s="22"/>
      <c r="Z92" s="25" t="str">
        <f t="shared" si="19"/>
        <v/>
      </c>
      <c r="AA92" s="17" t="str">
        <f t="shared" ca="1" si="20"/>
        <v/>
      </c>
      <c r="AB92" s="17" t="str">
        <f t="shared" ca="1" si="21"/>
        <v/>
      </c>
      <c r="AC92" s="17" t="str">
        <f t="shared" ca="1" si="22"/>
        <v/>
      </c>
      <c r="AD92" s="17" t="str">
        <f t="shared" ca="1" si="23"/>
        <v/>
      </c>
      <c r="AE92" s="17" t="str">
        <f t="shared" si="24"/>
        <v/>
      </c>
      <c r="AF92" s="17" t="str">
        <f t="shared" si="25"/>
        <v/>
      </c>
      <c r="AG92" s="17" t="str">
        <f t="shared" si="26"/>
        <v/>
      </c>
      <c r="AH92" s="17">
        <f t="shared" si="27"/>
        <v>0</v>
      </c>
      <c r="AI92" s="17" t="str">
        <f t="shared" ca="1" si="28"/>
        <v/>
      </c>
      <c r="AJ92" s="17" t="str">
        <f t="shared" ca="1" si="29"/>
        <v/>
      </c>
      <c r="AK92" s="17" t="str">
        <f t="shared" si="30"/>
        <v/>
      </c>
      <c r="AL92" s="17" t="str">
        <f t="shared" ca="1" si="31"/>
        <v/>
      </c>
      <c r="AN92" s="24">
        <f t="shared" si="32"/>
        <v>0</v>
      </c>
      <c r="AO92" s="24">
        <f t="shared" si="33"/>
        <v>0</v>
      </c>
      <c r="AP92" s="24">
        <f t="shared" si="34"/>
        <v>0</v>
      </c>
      <c r="AQ92" s="24">
        <f t="shared" si="35"/>
        <v>0</v>
      </c>
      <c r="AR92" s="24">
        <f t="shared" si="36"/>
        <v>0</v>
      </c>
      <c r="AS92" s="24">
        <f t="shared" si="37"/>
        <v>0</v>
      </c>
    </row>
    <row r="93" spans="1:45" x14ac:dyDescent="0.25">
      <c r="A93" s="83"/>
      <c r="B93" s="16"/>
      <c r="C93" s="16"/>
      <c r="D93" s="15"/>
      <c r="E93" s="15"/>
      <c r="F93" s="16"/>
      <c r="G93" s="16"/>
      <c r="H93" s="16"/>
      <c r="I93" s="22"/>
      <c r="J93" s="16"/>
      <c r="K93" s="16"/>
      <c r="L93" s="15"/>
      <c r="M93" s="20"/>
      <c r="N93" s="15"/>
      <c r="O93" s="20"/>
      <c r="P93" s="15"/>
      <c r="Q93" s="67"/>
      <c r="R93" s="17" t="str">
        <f>IF(Q93="","",VLOOKUP(Q93,'References (2)'!C:D,2,0))</f>
        <v/>
      </c>
      <c r="S93" s="17" t="str">
        <f>IF(Q93="","",VLOOKUP(Q93,'References (2)'!C:F,4,0))</f>
        <v/>
      </c>
      <c r="T93" s="16"/>
      <c r="U93" s="20"/>
      <c r="V93" s="15"/>
      <c r="W93" s="22"/>
      <c r="X93" s="16"/>
      <c r="Y93" s="22"/>
      <c r="Z93" s="25" t="str">
        <f t="shared" si="19"/>
        <v/>
      </c>
      <c r="AA93" s="17" t="str">
        <f t="shared" ca="1" si="20"/>
        <v/>
      </c>
      <c r="AB93" s="17" t="str">
        <f t="shared" ca="1" si="21"/>
        <v/>
      </c>
      <c r="AC93" s="17" t="str">
        <f t="shared" ca="1" si="22"/>
        <v/>
      </c>
      <c r="AD93" s="17" t="str">
        <f t="shared" ca="1" si="23"/>
        <v/>
      </c>
      <c r="AE93" s="17" t="str">
        <f t="shared" si="24"/>
        <v/>
      </c>
      <c r="AF93" s="17" t="str">
        <f t="shared" si="25"/>
        <v/>
      </c>
      <c r="AG93" s="17" t="str">
        <f t="shared" si="26"/>
        <v/>
      </c>
      <c r="AH93" s="17">
        <f t="shared" si="27"/>
        <v>0</v>
      </c>
      <c r="AI93" s="17" t="str">
        <f t="shared" ca="1" si="28"/>
        <v/>
      </c>
      <c r="AJ93" s="17" t="str">
        <f t="shared" ca="1" si="29"/>
        <v/>
      </c>
      <c r="AK93" s="17" t="str">
        <f t="shared" si="30"/>
        <v/>
      </c>
      <c r="AL93" s="17" t="str">
        <f t="shared" ca="1" si="31"/>
        <v/>
      </c>
      <c r="AN93" s="24">
        <f t="shared" si="32"/>
        <v>0</v>
      </c>
      <c r="AO93" s="24">
        <f t="shared" si="33"/>
        <v>0</v>
      </c>
      <c r="AP93" s="24">
        <f t="shared" si="34"/>
        <v>0</v>
      </c>
      <c r="AQ93" s="24">
        <f t="shared" si="35"/>
        <v>0</v>
      </c>
      <c r="AR93" s="24">
        <f t="shared" si="36"/>
        <v>0</v>
      </c>
      <c r="AS93" s="24">
        <f t="shared" si="37"/>
        <v>0</v>
      </c>
    </row>
    <row r="94" spans="1:45" x14ac:dyDescent="0.25">
      <c r="A94" s="83"/>
      <c r="B94" s="16"/>
      <c r="C94" s="16"/>
      <c r="D94" s="15"/>
      <c r="E94" s="15"/>
      <c r="F94" s="16"/>
      <c r="G94" s="16"/>
      <c r="H94" s="16"/>
      <c r="I94" s="22"/>
      <c r="J94" s="16"/>
      <c r="K94" s="16"/>
      <c r="L94" s="15"/>
      <c r="M94" s="20"/>
      <c r="N94" s="15"/>
      <c r="O94" s="20"/>
      <c r="P94" s="15"/>
      <c r="Q94" s="67"/>
      <c r="R94" s="17" t="str">
        <f>IF(Q94="","",VLOOKUP(Q94,'References (2)'!C:D,2,0))</f>
        <v/>
      </c>
      <c r="S94" s="17" t="str">
        <f>IF(Q94="","",VLOOKUP(Q94,'References (2)'!C:F,4,0))</f>
        <v/>
      </c>
      <c r="T94" s="65"/>
      <c r="U94" s="20"/>
      <c r="V94" s="15"/>
      <c r="W94" s="22"/>
      <c r="X94" s="16"/>
      <c r="Y94" s="22"/>
      <c r="Z94" s="25" t="str">
        <f t="shared" si="19"/>
        <v/>
      </c>
      <c r="AA94" s="17" t="str">
        <f t="shared" ca="1" si="20"/>
        <v/>
      </c>
      <c r="AB94" s="17" t="str">
        <f t="shared" ca="1" si="21"/>
        <v/>
      </c>
      <c r="AC94" s="17" t="str">
        <f t="shared" ca="1" si="22"/>
        <v/>
      </c>
      <c r="AD94" s="17" t="str">
        <f t="shared" ca="1" si="23"/>
        <v/>
      </c>
      <c r="AE94" s="17" t="str">
        <f t="shared" si="24"/>
        <v/>
      </c>
      <c r="AF94" s="17" t="str">
        <f t="shared" si="25"/>
        <v/>
      </c>
      <c r="AG94" s="17" t="str">
        <f t="shared" si="26"/>
        <v/>
      </c>
      <c r="AH94" s="17">
        <f t="shared" si="27"/>
        <v>0</v>
      </c>
      <c r="AI94" s="17" t="str">
        <f t="shared" ca="1" si="28"/>
        <v/>
      </c>
      <c r="AJ94" s="17" t="str">
        <f t="shared" ca="1" si="29"/>
        <v/>
      </c>
      <c r="AK94" s="17" t="str">
        <f t="shared" si="30"/>
        <v/>
      </c>
      <c r="AL94" s="17" t="str">
        <f t="shared" ca="1" si="31"/>
        <v/>
      </c>
      <c r="AN94" s="24">
        <f t="shared" si="32"/>
        <v>0</v>
      </c>
      <c r="AO94" s="24">
        <f t="shared" si="33"/>
        <v>0</v>
      </c>
      <c r="AP94" s="24">
        <f t="shared" si="34"/>
        <v>0</v>
      </c>
      <c r="AQ94" s="24">
        <f t="shared" si="35"/>
        <v>0</v>
      </c>
      <c r="AR94" s="24">
        <f t="shared" si="36"/>
        <v>0</v>
      </c>
      <c r="AS94" s="24">
        <f t="shared" si="37"/>
        <v>0</v>
      </c>
    </row>
    <row r="95" spans="1:45" x14ac:dyDescent="0.25">
      <c r="A95" s="83"/>
      <c r="B95" s="16"/>
      <c r="C95" s="16"/>
      <c r="D95" s="15"/>
      <c r="E95" s="15"/>
      <c r="F95" s="16"/>
      <c r="G95" s="16"/>
      <c r="H95" s="16"/>
      <c r="I95" s="22"/>
      <c r="J95" s="16"/>
      <c r="K95" s="16"/>
      <c r="L95" s="15"/>
      <c r="M95" s="20"/>
      <c r="N95" s="15"/>
      <c r="O95" s="20"/>
      <c r="P95" s="15"/>
      <c r="Q95" s="67"/>
      <c r="R95" s="17" t="str">
        <f>IF(Q95="","",VLOOKUP(Q95,'References (2)'!C:D,2,0))</f>
        <v/>
      </c>
      <c r="S95" s="17" t="str">
        <f>IF(Q95="","",VLOOKUP(Q95,'References (2)'!C:F,4,0))</f>
        <v/>
      </c>
      <c r="T95" s="16"/>
      <c r="U95" s="20"/>
      <c r="V95" s="15"/>
      <c r="W95" s="22"/>
      <c r="X95" s="16"/>
      <c r="Y95" s="22"/>
      <c r="Z95" s="25" t="str">
        <f t="shared" si="19"/>
        <v/>
      </c>
      <c r="AA95" s="17" t="str">
        <f t="shared" ca="1" si="20"/>
        <v/>
      </c>
      <c r="AB95" s="17" t="str">
        <f t="shared" ca="1" si="21"/>
        <v/>
      </c>
      <c r="AC95" s="17" t="str">
        <f t="shared" ca="1" si="22"/>
        <v/>
      </c>
      <c r="AD95" s="17" t="str">
        <f t="shared" ca="1" si="23"/>
        <v/>
      </c>
      <c r="AE95" s="17" t="str">
        <f t="shared" si="24"/>
        <v/>
      </c>
      <c r="AF95" s="17" t="str">
        <f t="shared" si="25"/>
        <v/>
      </c>
      <c r="AG95" s="17" t="str">
        <f t="shared" si="26"/>
        <v/>
      </c>
      <c r="AH95" s="17">
        <f t="shared" si="27"/>
        <v>0</v>
      </c>
      <c r="AI95" s="17" t="str">
        <f t="shared" ca="1" si="28"/>
        <v/>
      </c>
      <c r="AJ95" s="17" t="str">
        <f t="shared" ca="1" si="29"/>
        <v/>
      </c>
      <c r="AK95" s="17" t="str">
        <f t="shared" si="30"/>
        <v/>
      </c>
      <c r="AL95" s="17" t="str">
        <f t="shared" ca="1" si="31"/>
        <v/>
      </c>
      <c r="AN95" s="24">
        <f t="shared" si="32"/>
        <v>0</v>
      </c>
      <c r="AO95" s="24">
        <f t="shared" si="33"/>
        <v>0</v>
      </c>
      <c r="AP95" s="24">
        <f t="shared" si="34"/>
        <v>0</v>
      </c>
      <c r="AQ95" s="24">
        <f t="shared" si="35"/>
        <v>0</v>
      </c>
      <c r="AR95" s="24">
        <f t="shared" si="36"/>
        <v>0</v>
      </c>
      <c r="AS95" s="24">
        <f t="shared" si="37"/>
        <v>0</v>
      </c>
    </row>
    <row r="96" spans="1:45" x14ac:dyDescent="0.25">
      <c r="A96" s="83"/>
      <c r="B96" s="16"/>
      <c r="C96" s="16"/>
      <c r="D96" s="15"/>
      <c r="E96" s="15"/>
      <c r="F96" s="16"/>
      <c r="G96" s="16"/>
      <c r="H96" s="16"/>
      <c r="I96" s="22"/>
      <c r="J96" s="16"/>
      <c r="K96" s="16"/>
      <c r="L96" s="15"/>
      <c r="M96" s="20"/>
      <c r="N96" s="15"/>
      <c r="O96" s="20"/>
      <c r="P96" s="15"/>
      <c r="Q96" s="15"/>
      <c r="R96" s="17" t="str">
        <f>IF(Q96="","",VLOOKUP(Q96,'References (2)'!C:D,2,0))</f>
        <v/>
      </c>
      <c r="S96" s="17" t="str">
        <f>IF(Q96="","",VLOOKUP(Q96,'References (2)'!C:F,4,0))</f>
        <v/>
      </c>
      <c r="T96" s="16"/>
      <c r="U96" s="20"/>
      <c r="V96" s="15"/>
      <c r="W96" s="22"/>
      <c r="X96" s="16"/>
      <c r="Y96" s="74"/>
      <c r="Z96" s="25" t="str">
        <f t="shared" si="19"/>
        <v/>
      </c>
      <c r="AA96" s="17" t="str">
        <f t="shared" ca="1" si="20"/>
        <v/>
      </c>
      <c r="AB96" s="17" t="str">
        <f t="shared" ca="1" si="21"/>
        <v/>
      </c>
      <c r="AC96" s="17" t="str">
        <f t="shared" ca="1" si="22"/>
        <v/>
      </c>
      <c r="AD96" s="17" t="str">
        <f t="shared" ca="1" si="23"/>
        <v/>
      </c>
      <c r="AE96" s="17" t="str">
        <f t="shared" si="24"/>
        <v/>
      </c>
      <c r="AF96" s="17" t="str">
        <f t="shared" si="25"/>
        <v/>
      </c>
      <c r="AG96" s="17" t="str">
        <f t="shared" si="26"/>
        <v/>
      </c>
      <c r="AH96" s="17">
        <f t="shared" si="27"/>
        <v>0</v>
      </c>
      <c r="AI96" s="17" t="str">
        <f t="shared" ca="1" si="28"/>
        <v/>
      </c>
      <c r="AJ96" s="17" t="str">
        <f t="shared" ca="1" si="29"/>
        <v/>
      </c>
      <c r="AK96" s="17" t="str">
        <f t="shared" si="30"/>
        <v/>
      </c>
      <c r="AL96" s="17" t="str">
        <f t="shared" ca="1" si="31"/>
        <v/>
      </c>
      <c r="AN96" s="24">
        <f t="shared" si="32"/>
        <v>0</v>
      </c>
      <c r="AO96" s="24">
        <f t="shared" si="33"/>
        <v>0</v>
      </c>
      <c r="AP96" s="24">
        <f t="shared" si="34"/>
        <v>0</v>
      </c>
      <c r="AQ96" s="24">
        <f t="shared" si="35"/>
        <v>0</v>
      </c>
      <c r="AR96" s="24">
        <f t="shared" si="36"/>
        <v>0</v>
      </c>
      <c r="AS96" s="24">
        <f t="shared" si="37"/>
        <v>0</v>
      </c>
    </row>
    <row r="97" spans="1:45" x14ac:dyDescent="0.25">
      <c r="A97" s="83"/>
      <c r="B97" s="16"/>
      <c r="C97" s="16"/>
      <c r="D97" s="15"/>
      <c r="E97" s="15"/>
      <c r="F97" s="16"/>
      <c r="G97" s="16"/>
      <c r="H97" s="16"/>
      <c r="I97" s="22"/>
      <c r="J97" s="16"/>
      <c r="K97" s="16"/>
      <c r="L97" s="15"/>
      <c r="M97" s="20"/>
      <c r="N97" s="15"/>
      <c r="O97" s="20"/>
      <c r="P97" s="15"/>
      <c r="Q97" s="15"/>
      <c r="R97" s="17" t="str">
        <f>IF(Q97="","",VLOOKUP(Q97,'References (2)'!C:D,2,0))</f>
        <v/>
      </c>
      <c r="S97" s="17" t="str">
        <f>IF(Q97="","",VLOOKUP(Q97,'References (2)'!C:F,4,0))</f>
        <v/>
      </c>
      <c r="T97" s="16"/>
      <c r="U97" s="20"/>
      <c r="V97" s="15"/>
      <c r="W97" s="22"/>
      <c r="X97" s="16"/>
      <c r="Y97" s="74"/>
      <c r="Z97" s="25" t="str">
        <f t="shared" si="19"/>
        <v/>
      </c>
      <c r="AA97" s="17" t="str">
        <f t="shared" ca="1" si="20"/>
        <v/>
      </c>
      <c r="AB97" s="17" t="str">
        <f t="shared" ca="1" si="21"/>
        <v/>
      </c>
      <c r="AC97" s="17" t="str">
        <f t="shared" ca="1" si="22"/>
        <v/>
      </c>
      <c r="AD97" s="17" t="str">
        <f t="shared" ca="1" si="23"/>
        <v/>
      </c>
      <c r="AE97" s="17" t="str">
        <f t="shared" si="24"/>
        <v/>
      </c>
      <c r="AF97" s="17" t="str">
        <f t="shared" si="25"/>
        <v/>
      </c>
      <c r="AG97" s="17" t="str">
        <f t="shared" si="26"/>
        <v/>
      </c>
      <c r="AH97" s="17">
        <f t="shared" si="27"/>
        <v>0</v>
      </c>
      <c r="AI97" s="17" t="str">
        <f t="shared" ca="1" si="28"/>
        <v/>
      </c>
      <c r="AJ97" s="17" t="str">
        <f t="shared" ca="1" si="29"/>
        <v/>
      </c>
      <c r="AK97" s="17" t="str">
        <f t="shared" si="30"/>
        <v/>
      </c>
      <c r="AL97" s="17" t="str">
        <f t="shared" ca="1" si="31"/>
        <v/>
      </c>
      <c r="AN97" s="24">
        <f t="shared" si="32"/>
        <v>0</v>
      </c>
      <c r="AO97" s="24">
        <f t="shared" si="33"/>
        <v>0</v>
      </c>
      <c r="AP97" s="24">
        <f t="shared" si="34"/>
        <v>0</v>
      </c>
      <c r="AQ97" s="24">
        <f t="shared" si="35"/>
        <v>0</v>
      </c>
      <c r="AR97" s="24">
        <f t="shared" si="36"/>
        <v>0</v>
      </c>
      <c r="AS97" s="24">
        <f t="shared" si="37"/>
        <v>0</v>
      </c>
    </row>
    <row r="98" spans="1:45" x14ac:dyDescent="0.25">
      <c r="A98" s="83"/>
      <c r="B98" s="16"/>
      <c r="C98" s="16"/>
      <c r="D98" s="15"/>
      <c r="E98" s="15"/>
      <c r="F98" s="16"/>
      <c r="G98" s="16"/>
      <c r="H98" s="16"/>
      <c r="I98" s="22"/>
      <c r="J98" s="16"/>
      <c r="K98" s="16"/>
      <c r="L98" s="15"/>
      <c r="M98" s="20"/>
      <c r="N98" s="15"/>
      <c r="O98" s="20"/>
      <c r="P98" s="15"/>
      <c r="Q98" s="15"/>
      <c r="R98" s="17" t="str">
        <f>IF(Q98="","",VLOOKUP(Q98,'References (2)'!C:D,2,0))</f>
        <v/>
      </c>
      <c r="S98" s="17" t="str">
        <f>IF(Q98="","",VLOOKUP(Q98,'References (2)'!C:F,4,0))</f>
        <v/>
      </c>
      <c r="T98" s="16"/>
      <c r="U98" s="20"/>
      <c r="V98" s="15"/>
      <c r="W98" s="22"/>
      <c r="X98" s="16"/>
      <c r="Y98" s="74"/>
      <c r="Z98" s="25" t="str">
        <f t="shared" si="19"/>
        <v/>
      </c>
      <c r="AA98" s="17" t="str">
        <f t="shared" ca="1" si="20"/>
        <v/>
      </c>
      <c r="AB98" s="17" t="str">
        <f t="shared" ca="1" si="21"/>
        <v/>
      </c>
      <c r="AC98" s="17" t="str">
        <f t="shared" ca="1" si="22"/>
        <v/>
      </c>
      <c r="AD98" s="17" t="str">
        <f t="shared" ca="1" si="23"/>
        <v/>
      </c>
      <c r="AE98" s="17" t="str">
        <f t="shared" si="24"/>
        <v/>
      </c>
      <c r="AF98" s="17" t="str">
        <f t="shared" si="25"/>
        <v/>
      </c>
      <c r="AG98" s="17" t="str">
        <f t="shared" si="26"/>
        <v/>
      </c>
      <c r="AH98" s="17">
        <f t="shared" si="27"/>
        <v>0</v>
      </c>
      <c r="AI98" s="17" t="str">
        <f t="shared" ca="1" si="28"/>
        <v/>
      </c>
      <c r="AJ98" s="17" t="str">
        <f t="shared" ca="1" si="29"/>
        <v/>
      </c>
      <c r="AK98" s="17" t="str">
        <f t="shared" si="30"/>
        <v/>
      </c>
      <c r="AL98" s="17" t="str">
        <f t="shared" ca="1" si="31"/>
        <v/>
      </c>
      <c r="AN98" s="24">
        <f t="shared" si="32"/>
        <v>0</v>
      </c>
      <c r="AO98" s="24">
        <f t="shared" si="33"/>
        <v>0</v>
      </c>
      <c r="AP98" s="24">
        <f t="shared" si="34"/>
        <v>0</v>
      </c>
      <c r="AQ98" s="24">
        <f t="shared" si="35"/>
        <v>0</v>
      </c>
      <c r="AR98" s="24">
        <f t="shared" si="36"/>
        <v>0</v>
      </c>
      <c r="AS98" s="24">
        <f t="shared" si="37"/>
        <v>0</v>
      </c>
    </row>
    <row r="99" spans="1:45" x14ac:dyDescent="0.25">
      <c r="A99" s="83"/>
      <c r="B99" s="16"/>
      <c r="C99" s="16"/>
      <c r="D99" s="15"/>
      <c r="E99" s="15"/>
      <c r="F99" s="16"/>
      <c r="G99" s="16"/>
      <c r="H99" s="16"/>
      <c r="I99" s="22"/>
      <c r="J99" s="16"/>
      <c r="K99" s="16"/>
      <c r="L99" s="15"/>
      <c r="M99" s="20"/>
      <c r="N99" s="15"/>
      <c r="O99" s="20"/>
      <c r="P99" s="15"/>
      <c r="Q99" s="15"/>
      <c r="R99" s="17" t="str">
        <f>IF(Q99="","",VLOOKUP(Q99,'References (2)'!C:D,2,0))</f>
        <v/>
      </c>
      <c r="S99" s="17" t="str">
        <f>IF(Q99="","",VLOOKUP(Q99,'References (2)'!C:F,4,0))</f>
        <v/>
      </c>
      <c r="T99" s="16"/>
      <c r="U99" s="20"/>
      <c r="V99" s="15"/>
      <c r="W99" s="22"/>
      <c r="X99" s="16"/>
      <c r="Y99" s="74"/>
      <c r="Z99" s="25" t="str">
        <f t="shared" si="19"/>
        <v/>
      </c>
      <c r="AA99" s="17" t="str">
        <f t="shared" ca="1" si="20"/>
        <v/>
      </c>
      <c r="AB99" s="17" t="str">
        <f t="shared" ca="1" si="21"/>
        <v/>
      </c>
      <c r="AC99" s="17" t="str">
        <f t="shared" ca="1" si="22"/>
        <v/>
      </c>
      <c r="AD99" s="17" t="str">
        <f t="shared" ca="1" si="23"/>
        <v/>
      </c>
      <c r="AE99" s="17" t="str">
        <f t="shared" si="24"/>
        <v/>
      </c>
      <c r="AF99" s="17" t="str">
        <f t="shared" si="25"/>
        <v/>
      </c>
      <c r="AG99" s="17" t="str">
        <f t="shared" si="26"/>
        <v/>
      </c>
      <c r="AH99" s="17">
        <f t="shared" si="27"/>
        <v>0</v>
      </c>
      <c r="AI99" s="17" t="str">
        <f t="shared" ca="1" si="28"/>
        <v/>
      </c>
      <c r="AJ99" s="17" t="str">
        <f t="shared" ca="1" si="29"/>
        <v/>
      </c>
      <c r="AK99" s="17" t="str">
        <f t="shared" si="30"/>
        <v/>
      </c>
      <c r="AL99" s="17" t="str">
        <f t="shared" ca="1" si="31"/>
        <v/>
      </c>
      <c r="AN99" s="24">
        <f t="shared" si="32"/>
        <v>0</v>
      </c>
      <c r="AO99" s="24">
        <f t="shared" si="33"/>
        <v>0</v>
      </c>
      <c r="AP99" s="24">
        <f t="shared" si="34"/>
        <v>0</v>
      </c>
      <c r="AQ99" s="24">
        <f t="shared" si="35"/>
        <v>0</v>
      </c>
      <c r="AR99" s="24">
        <f t="shared" si="36"/>
        <v>0</v>
      </c>
      <c r="AS99" s="24">
        <f t="shared" si="37"/>
        <v>0</v>
      </c>
    </row>
    <row r="100" spans="1:45" x14ac:dyDescent="0.25">
      <c r="A100" s="83"/>
      <c r="B100" s="16"/>
      <c r="C100" s="16"/>
      <c r="D100" s="15"/>
      <c r="E100" s="15"/>
      <c r="F100" s="16"/>
      <c r="G100" s="16"/>
      <c r="H100" s="16"/>
      <c r="I100" s="22"/>
      <c r="J100" s="16"/>
      <c r="K100" s="16"/>
      <c r="L100" s="15"/>
      <c r="M100" s="20"/>
      <c r="N100" s="15"/>
      <c r="O100" s="20"/>
      <c r="P100" s="15"/>
      <c r="Q100" s="15"/>
      <c r="R100" s="17" t="str">
        <f>IF(Q100="","",VLOOKUP(Q100,'References (2)'!C:D,2,0))</f>
        <v/>
      </c>
      <c r="S100" s="17" t="str">
        <f>IF(Q100="","",VLOOKUP(Q100,'References (2)'!C:F,4,0))</f>
        <v/>
      </c>
      <c r="T100" s="16"/>
      <c r="U100" s="20"/>
      <c r="V100" s="15"/>
      <c r="W100" s="22"/>
      <c r="X100" s="16"/>
      <c r="Y100" s="74"/>
      <c r="Z100" s="25" t="str">
        <f t="shared" si="19"/>
        <v/>
      </c>
      <c r="AA100" s="17" t="str">
        <f t="shared" ca="1" si="20"/>
        <v/>
      </c>
      <c r="AB100" s="17" t="str">
        <f t="shared" ca="1" si="21"/>
        <v/>
      </c>
      <c r="AC100" s="17" t="str">
        <f t="shared" ca="1" si="22"/>
        <v/>
      </c>
      <c r="AD100" s="17" t="str">
        <f t="shared" ca="1" si="23"/>
        <v/>
      </c>
      <c r="AE100" s="17" t="str">
        <f t="shared" si="24"/>
        <v/>
      </c>
      <c r="AF100" s="17" t="str">
        <f t="shared" si="25"/>
        <v/>
      </c>
      <c r="AG100" s="17" t="str">
        <f t="shared" si="26"/>
        <v/>
      </c>
      <c r="AH100" s="17">
        <f t="shared" si="27"/>
        <v>0</v>
      </c>
      <c r="AI100" s="17" t="str">
        <f t="shared" ca="1" si="28"/>
        <v/>
      </c>
      <c r="AJ100" s="17" t="str">
        <f t="shared" ca="1" si="29"/>
        <v/>
      </c>
      <c r="AK100" s="17" t="str">
        <f t="shared" si="30"/>
        <v/>
      </c>
      <c r="AL100" s="17" t="str">
        <f t="shared" ca="1" si="31"/>
        <v/>
      </c>
      <c r="AN100" s="24">
        <f t="shared" si="32"/>
        <v>0</v>
      </c>
      <c r="AO100" s="24">
        <f t="shared" si="33"/>
        <v>0</v>
      </c>
      <c r="AP100" s="24">
        <f t="shared" si="34"/>
        <v>0</v>
      </c>
      <c r="AQ100" s="24">
        <f t="shared" si="35"/>
        <v>0</v>
      </c>
      <c r="AR100" s="24">
        <f t="shared" si="36"/>
        <v>0</v>
      </c>
      <c r="AS100" s="24">
        <f t="shared" si="37"/>
        <v>0</v>
      </c>
    </row>
    <row r="101" spans="1:45" x14ac:dyDescent="0.25">
      <c r="A101" s="83"/>
      <c r="B101" s="16"/>
      <c r="C101" s="16"/>
      <c r="D101" s="15"/>
      <c r="E101" s="15"/>
      <c r="F101" s="16"/>
      <c r="G101" s="16"/>
      <c r="H101" s="16"/>
      <c r="I101" s="22"/>
      <c r="J101" s="16"/>
      <c r="K101" s="16"/>
      <c r="L101" s="15"/>
      <c r="M101" s="20"/>
      <c r="N101" s="15"/>
      <c r="O101" s="20"/>
      <c r="P101" s="15"/>
      <c r="Q101" s="15"/>
      <c r="R101" s="17" t="str">
        <f>IF(Q101="","",VLOOKUP(Q101,'References (2)'!C:D,2,0))</f>
        <v/>
      </c>
      <c r="S101" s="17" t="str">
        <f>IF(Q101="","",VLOOKUP(Q101,'References (2)'!C:F,4,0))</f>
        <v/>
      </c>
      <c r="T101" s="16"/>
      <c r="U101" s="20"/>
      <c r="V101" s="15"/>
      <c r="W101" s="22"/>
      <c r="X101" s="16"/>
      <c r="Y101" s="74"/>
      <c r="Z101" s="25" t="str">
        <f t="shared" si="19"/>
        <v/>
      </c>
      <c r="AA101" s="17" t="str">
        <f t="shared" ca="1" si="20"/>
        <v/>
      </c>
      <c r="AB101" s="17" t="str">
        <f t="shared" ca="1" si="21"/>
        <v/>
      </c>
      <c r="AC101" s="17" t="str">
        <f t="shared" ca="1" si="22"/>
        <v/>
      </c>
      <c r="AD101" s="17" t="str">
        <f t="shared" ca="1" si="23"/>
        <v/>
      </c>
      <c r="AE101" s="17" t="str">
        <f t="shared" si="24"/>
        <v/>
      </c>
      <c r="AF101" s="17" t="str">
        <f t="shared" si="25"/>
        <v/>
      </c>
      <c r="AG101" s="17" t="str">
        <f t="shared" si="26"/>
        <v/>
      </c>
      <c r="AH101" s="17">
        <f t="shared" si="27"/>
        <v>0</v>
      </c>
      <c r="AI101" s="17" t="str">
        <f t="shared" ca="1" si="28"/>
        <v/>
      </c>
      <c r="AJ101" s="17" t="str">
        <f t="shared" ca="1" si="29"/>
        <v/>
      </c>
      <c r="AK101" s="17" t="str">
        <f t="shared" si="30"/>
        <v/>
      </c>
      <c r="AL101" s="17" t="str">
        <f t="shared" ca="1" si="31"/>
        <v/>
      </c>
      <c r="AN101" s="24">
        <f t="shared" si="32"/>
        <v>0</v>
      </c>
      <c r="AO101" s="24">
        <f t="shared" si="33"/>
        <v>0</v>
      </c>
      <c r="AP101" s="24">
        <f t="shared" si="34"/>
        <v>0</v>
      </c>
      <c r="AQ101" s="24">
        <f t="shared" si="35"/>
        <v>0</v>
      </c>
      <c r="AR101" s="24">
        <f t="shared" si="36"/>
        <v>0</v>
      </c>
      <c r="AS101" s="24">
        <f t="shared" si="37"/>
        <v>0</v>
      </c>
    </row>
    <row r="102" spans="1:45" x14ac:dyDescent="0.25">
      <c r="A102" s="83"/>
      <c r="B102" s="16"/>
      <c r="C102" s="16"/>
      <c r="D102" s="15"/>
      <c r="E102" s="15"/>
      <c r="F102" s="16"/>
      <c r="G102" s="16"/>
      <c r="H102" s="16"/>
      <c r="I102" s="22"/>
      <c r="J102" s="16"/>
      <c r="K102" s="16"/>
      <c r="L102" s="15"/>
      <c r="M102" s="20"/>
      <c r="N102" s="15"/>
      <c r="O102" s="20"/>
      <c r="P102" s="15"/>
      <c r="Q102" s="15"/>
      <c r="R102" s="17" t="str">
        <f>IF(Q102="","",VLOOKUP(Q102,'References (2)'!C:D,2,0))</f>
        <v/>
      </c>
      <c r="S102" s="17" t="str">
        <f>IF(Q102="","",VLOOKUP(Q102,'References (2)'!C:F,4,0))</f>
        <v/>
      </c>
      <c r="T102" s="16"/>
      <c r="U102" s="20"/>
      <c r="V102" s="15"/>
      <c r="W102" s="22"/>
      <c r="X102" s="16"/>
      <c r="Y102" s="74"/>
      <c r="Z102" s="25" t="str">
        <f t="shared" si="19"/>
        <v/>
      </c>
      <c r="AA102" s="17" t="str">
        <f t="shared" ca="1" si="20"/>
        <v/>
      </c>
      <c r="AB102" s="17" t="str">
        <f t="shared" ca="1" si="21"/>
        <v/>
      </c>
      <c r="AC102" s="17" t="str">
        <f t="shared" ca="1" si="22"/>
        <v/>
      </c>
      <c r="AD102" s="17" t="str">
        <f t="shared" ca="1" si="23"/>
        <v/>
      </c>
      <c r="AE102" s="17" t="str">
        <f t="shared" si="24"/>
        <v/>
      </c>
      <c r="AF102" s="17" t="str">
        <f t="shared" si="25"/>
        <v/>
      </c>
      <c r="AG102" s="17" t="str">
        <f t="shared" si="26"/>
        <v/>
      </c>
      <c r="AH102" s="17">
        <f t="shared" si="27"/>
        <v>0</v>
      </c>
      <c r="AI102" s="17" t="str">
        <f t="shared" ca="1" si="28"/>
        <v/>
      </c>
      <c r="AJ102" s="17" t="str">
        <f t="shared" ca="1" si="29"/>
        <v/>
      </c>
      <c r="AK102" s="17" t="str">
        <f t="shared" si="30"/>
        <v/>
      </c>
      <c r="AL102" s="17" t="str">
        <f t="shared" ca="1" si="31"/>
        <v/>
      </c>
      <c r="AN102" s="24">
        <f t="shared" si="32"/>
        <v>0</v>
      </c>
      <c r="AO102" s="24">
        <f t="shared" si="33"/>
        <v>0</v>
      </c>
      <c r="AP102" s="24">
        <f t="shared" si="34"/>
        <v>0</v>
      </c>
      <c r="AQ102" s="24">
        <f t="shared" si="35"/>
        <v>0</v>
      </c>
      <c r="AR102" s="24">
        <f t="shared" si="36"/>
        <v>0</v>
      </c>
      <c r="AS102" s="24">
        <f t="shared" si="37"/>
        <v>0</v>
      </c>
    </row>
    <row r="103" spans="1:45" x14ac:dyDescent="0.25">
      <c r="A103" s="83"/>
      <c r="B103" s="16"/>
      <c r="C103" s="16"/>
      <c r="D103" s="15"/>
      <c r="E103" s="15"/>
      <c r="F103" s="16"/>
      <c r="G103" s="16"/>
      <c r="H103" s="16"/>
      <c r="I103" s="22"/>
      <c r="J103" s="16"/>
      <c r="K103" s="16"/>
      <c r="L103" s="15"/>
      <c r="M103" s="20"/>
      <c r="N103" s="15"/>
      <c r="O103" s="20"/>
      <c r="P103" s="15"/>
      <c r="Q103" s="15"/>
      <c r="R103" s="17" t="str">
        <f>IF(Q103="","",VLOOKUP(Q103,'References (2)'!C:D,2,0))</f>
        <v/>
      </c>
      <c r="S103" s="17" t="str">
        <f>IF(Q103="","",VLOOKUP(Q103,'References (2)'!C:F,4,0))</f>
        <v/>
      </c>
      <c r="T103" s="16"/>
      <c r="U103" s="20"/>
      <c r="V103" s="15"/>
      <c r="W103" s="22"/>
      <c r="X103" s="16"/>
      <c r="Y103" s="74"/>
      <c r="Z103" s="25" t="str">
        <f t="shared" si="19"/>
        <v/>
      </c>
      <c r="AA103" s="17" t="str">
        <f t="shared" ca="1" si="20"/>
        <v/>
      </c>
      <c r="AB103" s="17" t="str">
        <f t="shared" ca="1" si="21"/>
        <v/>
      </c>
      <c r="AC103" s="17" t="str">
        <f t="shared" ca="1" si="22"/>
        <v/>
      </c>
      <c r="AD103" s="17" t="str">
        <f t="shared" ca="1" si="23"/>
        <v/>
      </c>
      <c r="AE103" s="17" t="str">
        <f t="shared" si="24"/>
        <v/>
      </c>
      <c r="AF103" s="17" t="str">
        <f t="shared" si="25"/>
        <v/>
      </c>
      <c r="AG103" s="17" t="str">
        <f t="shared" si="26"/>
        <v/>
      </c>
      <c r="AH103" s="17">
        <f t="shared" si="27"/>
        <v>0</v>
      </c>
      <c r="AI103" s="17" t="str">
        <f t="shared" ca="1" si="28"/>
        <v/>
      </c>
      <c r="AJ103" s="17" t="str">
        <f t="shared" ca="1" si="29"/>
        <v/>
      </c>
      <c r="AK103" s="17" t="str">
        <f t="shared" si="30"/>
        <v/>
      </c>
      <c r="AL103" s="17" t="str">
        <f t="shared" ca="1" si="31"/>
        <v/>
      </c>
      <c r="AN103" s="24">
        <f t="shared" si="32"/>
        <v>0</v>
      </c>
      <c r="AO103" s="24">
        <f t="shared" si="33"/>
        <v>0</v>
      </c>
      <c r="AP103" s="24">
        <f t="shared" si="34"/>
        <v>0</v>
      </c>
      <c r="AQ103" s="24">
        <f t="shared" si="35"/>
        <v>0</v>
      </c>
      <c r="AR103" s="24">
        <f t="shared" si="36"/>
        <v>0</v>
      </c>
      <c r="AS103" s="24">
        <f t="shared" si="37"/>
        <v>0</v>
      </c>
    </row>
    <row r="104" spans="1:45" x14ac:dyDescent="0.25">
      <c r="A104" s="83"/>
      <c r="B104" s="16"/>
      <c r="C104" s="16"/>
      <c r="D104" s="15"/>
      <c r="E104" s="15"/>
      <c r="F104" s="16"/>
      <c r="G104" s="16"/>
      <c r="H104" s="16"/>
      <c r="I104" s="22"/>
      <c r="J104" s="16"/>
      <c r="K104" s="16"/>
      <c r="L104" s="15"/>
      <c r="M104" s="20"/>
      <c r="N104" s="15"/>
      <c r="O104" s="20"/>
      <c r="P104" s="15"/>
      <c r="Q104" s="15"/>
      <c r="R104" s="17" t="str">
        <f>IF(Q104="","",VLOOKUP(Q104,'References (2)'!C:D,2,0))</f>
        <v/>
      </c>
      <c r="S104" s="17" t="str">
        <f>IF(Q104="","",VLOOKUP(Q104,'References (2)'!C:F,4,0))</f>
        <v/>
      </c>
      <c r="T104" s="16"/>
      <c r="U104" s="20"/>
      <c r="V104" s="15"/>
      <c r="W104" s="22"/>
      <c r="X104" s="16"/>
      <c r="Y104" s="76"/>
      <c r="Z104" s="25" t="str">
        <f t="shared" si="19"/>
        <v/>
      </c>
      <c r="AA104" s="17" t="str">
        <f t="shared" ca="1" si="20"/>
        <v/>
      </c>
      <c r="AB104" s="17" t="str">
        <f t="shared" ca="1" si="21"/>
        <v/>
      </c>
      <c r="AC104" s="17" t="str">
        <f t="shared" ca="1" si="22"/>
        <v/>
      </c>
      <c r="AD104" s="17" t="str">
        <f t="shared" ca="1" si="23"/>
        <v/>
      </c>
      <c r="AE104" s="17" t="str">
        <f t="shared" si="24"/>
        <v/>
      </c>
      <c r="AF104" s="17" t="str">
        <f t="shared" si="25"/>
        <v/>
      </c>
      <c r="AG104" s="17" t="str">
        <f t="shared" si="26"/>
        <v/>
      </c>
      <c r="AH104" s="17">
        <f t="shared" si="27"/>
        <v>0</v>
      </c>
      <c r="AI104" s="17" t="str">
        <f t="shared" ca="1" si="28"/>
        <v/>
      </c>
      <c r="AJ104" s="17" t="str">
        <f t="shared" ca="1" si="29"/>
        <v/>
      </c>
      <c r="AK104" s="17" t="str">
        <f t="shared" si="30"/>
        <v/>
      </c>
      <c r="AL104" s="17" t="str">
        <f t="shared" ca="1" si="31"/>
        <v/>
      </c>
      <c r="AN104" s="24">
        <f t="shared" si="32"/>
        <v>0</v>
      </c>
      <c r="AO104" s="24">
        <f t="shared" si="33"/>
        <v>0</v>
      </c>
      <c r="AP104" s="24">
        <f t="shared" si="34"/>
        <v>0</v>
      </c>
      <c r="AQ104" s="24">
        <f t="shared" si="35"/>
        <v>0</v>
      </c>
      <c r="AR104" s="24">
        <f t="shared" si="36"/>
        <v>0</v>
      </c>
      <c r="AS104" s="24">
        <f t="shared" si="37"/>
        <v>0</v>
      </c>
    </row>
    <row r="105" spans="1:45" x14ac:dyDescent="0.25">
      <c r="A105" s="83"/>
      <c r="B105" s="16"/>
      <c r="C105" s="16"/>
      <c r="D105" s="15"/>
      <c r="E105" s="15"/>
      <c r="F105" s="16"/>
      <c r="G105" s="16"/>
      <c r="H105" s="16"/>
      <c r="I105" s="22"/>
      <c r="J105" s="16"/>
      <c r="K105" s="16"/>
      <c r="L105" s="15"/>
      <c r="M105" s="20"/>
      <c r="N105" s="15"/>
      <c r="O105" s="20"/>
      <c r="P105" s="15"/>
      <c r="Q105" s="15"/>
      <c r="R105" s="17" t="str">
        <f>IF(Q105="","",VLOOKUP(Q105,'References (2)'!C:D,2,0))</f>
        <v/>
      </c>
      <c r="S105" s="17" t="str">
        <f>IF(Q105="","",VLOOKUP(Q105,'References (2)'!C:F,4,0))</f>
        <v/>
      </c>
      <c r="T105" s="16"/>
      <c r="U105" s="20"/>
      <c r="V105" s="15"/>
      <c r="W105" s="22"/>
      <c r="X105" s="16"/>
      <c r="Y105" s="76"/>
      <c r="Z105" s="25" t="str">
        <f t="shared" si="19"/>
        <v/>
      </c>
      <c r="AA105" s="17" t="str">
        <f t="shared" ca="1" si="20"/>
        <v/>
      </c>
      <c r="AB105" s="17" t="str">
        <f t="shared" ca="1" si="21"/>
        <v/>
      </c>
      <c r="AC105" s="17" t="str">
        <f t="shared" ca="1" si="22"/>
        <v/>
      </c>
      <c r="AD105" s="17" t="str">
        <f t="shared" ca="1" si="23"/>
        <v/>
      </c>
      <c r="AE105" s="17" t="str">
        <f t="shared" si="24"/>
        <v/>
      </c>
      <c r="AF105" s="17" t="str">
        <f t="shared" si="25"/>
        <v/>
      </c>
      <c r="AG105" s="17" t="str">
        <f t="shared" si="26"/>
        <v/>
      </c>
      <c r="AH105" s="17">
        <f t="shared" si="27"/>
        <v>0</v>
      </c>
      <c r="AI105" s="17" t="str">
        <f t="shared" ca="1" si="28"/>
        <v/>
      </c>
      <c r="AJ105" s="17" t="str">
        <f t="shared" ca="1" si="29"/>
        <v/>
      </c>
      <c r="AK105" s="17" t="str">
        <f t="shared" si="30"/>
        <v/>
      </c>
      <c r="AL105" s="17" t="str">
        <f t="shared" ca="1" si="31"/>
        <v/>
      </c>
      <c r="AN105" s="24">
        <f t="shared" si="32"/>
        <v>0</v>
      </c>
      <c r="AO105" s="24">
        <f t="shared" si="33"/>
        <v>0</v>
      </c>
      <c r="AP105" s="24">
        <f t="shared" si="34"/>
        <v>0</v>
      </c>
      <c r="AQ105" s="24">
        <f t="shared" si="35"/>
        <v>0</v>
      </c>
      <c r="AR105" s="24">
        <f t="shared" si="36"/>
        <v>0</v>
      </c>
      <c r="AS105" s="24">
        <f t="shared" si="37"/>
        <v>0</v>
      </c>
    </row>
    <row r="106" spans="1:45" x14ac:dyDescent="0.25">
      <c r="A106" s="83"/>
      <c r="B106" s="16"/>
      <c r="C106" s="16"/>
      <c r="D106" s="15"/>
      <c r="E106" s="15"/>
      <c r="F106" s="16"/>
      <c r="G106" s="16"/>
      <c r="H106" s="16"/>
      <c r="I106" s="22"/>
      <c r="J106" s="16"/>
      <c r="K106" s="16"/>
      <c r="L106" s="15"/>
      <c r="M106" s="20"/>
      <c r="N106" s="15"/>
      <c r="O106" s="20"/>
      <c r="P106" s="15"/>
      <c r="Q106" s="15"/>
      <c r="R106" s="17" t="str">
        <f>IF(Q106="","",VLOOKUP(Q106,'References (2)'!C:D,2,0))</f>
        <v/>
      </c>
      <c r="S106" s="17" t="str">
        <f>IF(Q106="","",VLOOKUP(Q106,'References (2)'!C:F,4,0))</f>
        <v/>
      </c>
      <c r="T106" s="16"/>
      <c r="U106" s="20"/>
      <c r="V106" s="15"/>
      <c r="W106" s="22"/>
      <c r="X106" s="16"/>
      <c r="Y106" s="76"/>
      <c r="Z106" s="25" t="str">
        <f t="shared" si="19"/>
        <v/>
      </c>
      <c r="AA106" s="17" t="str">
        <f t="shared" ca="1" si="20"/>
        <v/>
      </c>
      <c r="AB106" s="17" t="str">
        <f t="shared" ca="1" si="21"/>
        <v/>
      </c>
      <c r="AC106" s="17" t="str">
        <f t="shared" ca="1" si="22"/>
        <v/>
      </c>
      <c r="AD106" s="17" t="str">
        <f t="shared" ca="1" si="23"/>
        <v/>
      </c>
      <c r="AE106" s="17" t="str">
        <f t="shared" si="24"/>
        <v/>
      </c>
      <c r="AF106" s="17" t="str">
        <f t="shared" si="25"/>
        <v/>
      </c>
      <c r="AG106" s="17" t="str">
        <f t="shared" si="26"/>
        <v/>
      </c>
      <c r="AH106" s="17">
        <f t="shared" si="27"/>
        <v>0</v>
      </c>
      <c r="AI106" s="17" t="str">
        <f t="shared" ca="1" si="28"/>
        <v/>
      </c>
      <c r="AJ106" s="17" t="str">
        <f t="shared" ca="1" si="29"/>
        <v/>
      </c>
      <c r="AK106" s="17" t="str">
        <f t="shared" si="30"/>
        <v/>
      </c>
      <c r="AL106" s="17" t="str">
        <f t="shared" ca="1" si="31"/>
        <v/>
      </c>
      <c r="AN106" s="24">
        <f t="shared" si="32"/>
        <v>0</v>
      </c>
      <c r="AO106" s="24">
        <f t="shared" si="33"/>
        <v>0</v>
      </c>
      <c r="AP106" s="24">
        <f t="shared" si="34"/>
        <v>0</v>
      </c>
      <c r="AQ106" s="24">
        <f t="shared" si="35"/>
        <v>0</v>
      </c>
      <c r="AR106" s="24">
        <f t="shared" si="36"/>
        <v>0</v>
      </c>
      <c r="AS106" s="24">
        <f t="shared" si="37"/>
        <v>0</v>
      </c>
    </row>
    <row r="107" spans="1:45" x14ac:dyDescent="0.25">
      <c r="A107" s="83"/>
      <c r="B107" s="16"/>
      <c r="C107" s="16"/>
      <c r="D107" s="15"/>
      <c r="E107" s="15"/>
      <c r="F107" s="16"/>
      <c r="G107" s="16"/>
      <c r="H107" s="16"/>
      <c r="I107" s="22"/>
      <c r="J107" s="16"/>
      <c r="K107" s="16"/>
      <c r="L107" s="15"/>
      <c r="M107" s="20"/>
      <c r="N107" s="15"/>
      <c r="O107" s="20"/>
      <c r="P107" s="15"/>
      <c r="Q107" s="15"/>
      <c r="R107" s="17" t="str">
        <f>IF(Q107="","",VLOOKUP(Q107,'References (2)'!C:D,2,0))</f>
        <v/>
      </c>
      <c r="S107" s="17" t="str">
        <f>IF(Q107="","",VLOOKUP(Q107,'References (2)'!C:F,4,0))</f>
        <v/>
      </c>
      <c r="T107" s="16"/>
      <c r="U107" s="20"/>
      <c r="V107" s="15"/>
      <c r="W107" s="22"/>
      <c r="X107" s="16"/>
      <c r="Y107" s="76"/>
      <c r="Z107" s="25" t="str">
        <f t="shared" si="19"/>
        <v/>
      </c>
      <c r="AA107" s="17" t="str">
        <f t="shared" ca="1" si="20"/>
        <v/>
      </c>
      <c r="AB107" s="17" t="str">
        <f t="shared" ca="1" si="21"/>
        <v/>
      </c>
      <c r="AC107" s="17" t="str">
        <f t="shared" ca="1" si="22"/>
        <v/>
      </c>
      <c r="AD107" s="17" t="str">
        <f t="shared" ca="1" si="23"/>
        <v/>
      </c>
      <c r="AE107" s="17" t="str">
        <f t="shared" si="24"/>
        <v/>
      </c>
      <c r="AF107" s="17" t="str">
        <f t="shared" si="25"/>
        <v/>
      </c>
      <c r="AG107" s="17" t="str">
        <f t="shared" si="26"/>
        <v/>
      </c>
      <c r="AH107" s="17">
        <f t="shared" si="27"/>
        <v>0</v>
      </c>
      <c r="AI107" s="17" t="str">
        <f t="shared" ca="1" si="28"/>
        <v/>
      </c>
      <c r="AJ107" s="17" t="str">
        <f t="shared" ca="1" si="29"/>
        <v/>
      </c>
      <c r="AK107" s="17" t="str">
        <f t="shared" si="30"/>
        <v/>
      </c>
      <c r="AL107" s="17" t="str">
        <f t="shared" ca="1" si="31"/>
        <v/>
      </c>
      <c r="AN107" s="24">
        <f t="shared" si="32"/>
        <v>0</v>
      </c>
      <c r="AO107" s="24">
        <f t="shared" si="33"/>
        <v>0</v>
      </c>
      <c r="AP107" s="24">
        <f t="shared" si="34"/>
        <v>0</v>
      </c>
      <c r="AQ107" s="24">
        <f t="shared" si="35"/>
        <v>0</v>
      </c>
      <c r="AR107" s="24">
        <f t="shared" si="36"/>
        <v>0</v>
      </c>
      <c r="AS107" s="24">
        <f t="shared" si="37"/>
        <v>0</v>
      </c>
    </row>
    <row r="108" spans="1:45" x14ac:dyDescent="0.25">
      <c r="A108" s="83"/>
      <c r="B108" s="16"/>
      <c r="C108" s="16"/>
      <c r="D108" s="15"/>
      <c r="E108" s="15"/>
      <c r="F108" s="16"/>
      <c r="G108" s="16"/>
      <c r="H108" s="16"/>
      <c r="I108" s="22"/>
      <c r="J108" s="16"/>
      <c r="K108" s="16"/>
      <c r="L108" s="15"/>
      <c r="M108" s="20"/>
      <c r="N108" s="15"/>
      <c r="O108" s="20"/>
      <c r="P108" s="15"/>
      <c r="Q108" s="15"/>
      <c r="R108" s="17" t="str">
        <f>IF(Q108="","",VLOOKUP(Q108,'References (2)'!C:D,2,0))</f>
        <v/>
      </c>
      <c r="S108" s="17" t="str">
        <f>IF(Q108="","",VLOOKUP(Q108,'References (2)'!C:F,4,0))</f>
        <v/>
      </c>
      <c r="T108" s="16"/>
      <c r="U108" s="20"/>
      <c r="V108" s="15"/>
      <c r="W108" s="22"/>
      <c r="X108" s="16"/>
      <c r="Y108" s="76"/>
      <c r="Z108" s="25" t="str">
        <f t="shared" si="19"/>
        <v/>
      </c>
      <c r="AA108" s="17" t="str">
        <f t="shared" ca="1" si="20"/>
        <v/>
      </c>
      <c r="AB108" s="17" t="str">
        <f t="shared" ca="1" si="21"/>
        <v/>
      </c>
      <c r="AC108" s="17" t="str">
        <f t="shared" ca="1" si="22"/>
        <v/>
      </c>
      <c r="AD108" s="17" t="str">
        <f t="shared" ca="1" si="23"/>
        <v/>
      </c>
      <c r="AE108" s="17" t="str">
        <f t="shared" si="24"/>
        <v/>
      </c>
      <c r="AF108" s="17" t="str">
        <f t="shared" si="25"/>
        <v/>
      </c>
      <c r="AG108" s="17" t="str">
        <f t="shared" si="26"/>
        <v/>
      </c>
      <c r="AH108" s="17">
        <f t="shared" si="27"/>
        <v>0</v>
      </c>
      <c r="AI108" s="17" t="str">
        <f t="shared" ca="1" si="28"/>
        <v/>
      </c>
      <c r="AJ108" s="17" t="str">
        <f t="shared" ca="1" si="29"/>
        <v/>
      </c>
      <c r="AK108" s="17" t="str">
        <f t="shared" si="30"/>
        <v/>
      </c>
      <c r="AL108" s="17" t="str">
        <f t="shared" ca="1" si="31"/>
        <v/>
      </c>
      <c r="AN108" s="24">
        <f t="shared" si="32"/>
        <v>0</v>
      </c>
      <c r="AO108" s="24">
        <f t="shared" si="33"/>
        <v>0</v>
      </c>
      <c r="AP108" s="24">
        <f t="shared" si="34"/>
        <v>0</v>
      </c>
      <c r="AQ108" s="24">
        <f t="shared" si="35"/>
        <v>0</v>
      </c>
      <c r="AR108" s="24">
        <f t="shared" si="36"/>
        <v>0</v>
      </c>
      <c r="AS108" s="24">
        <f t="shared" si="37"/>
        <v>0</v>
      </c>
    </row>
    <row r="109" spans="1:45" x14ac:dyDescent="0.25">
      <c r="A109" s="83"/>
      <c r="B109" s="16"/>
      <c r="C109" s="16"/>
      <c r="D109" s="15"/>
      <c r="E109" s="15"/>
      <c r="F109" s="16"/>
      <c r="G109" s="16"/>
      <c r="H109" s="16"/>
      <c r="I109" s="22"/>
      <c r="J109" s="16"/>
      <c r="K109" s="16"/>
      <c r="L109" s="15"/>
      <c r="M109" s="20"/>
      <c r="N109" s="15"/>
      <c r="O109" s="20"/>
      <c r="P109" s="15"/>
      <c r="Q109" s="15"/>
      <c r="R109" s="17" t="str">
        <f>IF(Q109="","",VLOOKUP(Q109,'References (2)'!C:D,2,0))</f>
        <v/>
      </c>
      <c r="S109" s="17" t="str">
        <f>IF(Q109="","",VLOOKUP(Q109,'References (2)'!C:F,4,0))</f>
        <v/>
      </c>
      <c r="T109" s="16"/>
      <c r="U109" s="20"/>
      <c r="V109" s="15"/>
      <c r="W109" s="22"/>
      <c r="X109" s="16"/>
      <c r="Y109" s="76"/>
      <c r="Z109" s="25" t="str">
        <f t="shared" si="19"/>
        <v/>
      </c>
      <c r="AA109" s="17" t="str">
        <f t="shared" ca="1" si="20"/>
        <v/>
      </c>
      <c r="AB109" s="17" t="str">
        <f t="shared" ca="1" si="21"/>
        <v/>
      </c>
      <c r="AC109" s="17" t="str">
        <f t="shared" ca="1" si="22"/>
        <v/>
      </c>
      <c r="AD109" s="17" t="str">
        <f t="shared" ca="1" si="23"/>
        <v/>
      </c>
      <c r="AE109" s="17" t="str">
        <f t="shared" si="24"/>
        <v/>
      </c>
      <c r="AF109" s="17" t="str">
        <f t="shared" si="25"/>
        <v/>
      </c>
      <c r="AG109" s="17" t="str">
        <f t="shared" si="26"/>
        <v/>
      </c>
      <c r="AH109" s="17">
        <f t="shared" si="27"/>
        <v>0</v>
      </c>
      <c r="AI109" s="17" t="str">
        <f t="shared" ca="1" si="28"/>
        <v/>
      </c>
      <c r="AJ109" s="17" t="str">
        <f t="shared" ca="1" si="29"/>
        <v/>
      </c>
      <c r="AK109" s="17" t="str">
        <f t="shared" si="30"/>
        <v/>
      </c>
      <c r="AL109" s="17" t="str">
        <f t="shared" ca="1" si="31"/>
        <v/>
      </c>
      <c r="AN109" s="24">
        <f t="shared" si="32"/>
        <v>0</v>
      </c>
      <c r="AO109" s="24">
        <f t="shared" si="33"/>
        <v>0</v>
      </c>
      <c r="AP109" s="24">
        <f t="shared" si="34"/>
        <v>0</v>
      </c>
      <c r="AQ109" s="24">
        <f t="shared" si="35"/>
        <v>0</v>
      </c>
      <c r="AR109" s="24">
        <f t="shared" si="36"/>
        <v>0</v>
      </c>
      <c r="AS109" s="24">
        <f t="shared" si="37"/>
        <v>0</v>
      </c>
    </row>
    <row r="110" spans="1:45" x14ac:dyDescent="0.25">
      <c r="A110" s="83"/>
      <c r="B110" s="16"/>
      <c r="C110" s="16"/>
      <c r="D110" s="15"/>
      <c r="E110" s="15"/>
      <c r="F110" s="16"/>
      <c r="G110" s="16"/>
      <c r="H110" s="16"/>
      <c r="I110" s="22"/>
      <c r="J110" s="16"/>
      <c r="K110" s="16"/>
      <c r="L110" s="15"/>
      <c r="M110" s="20"/>
      <c r="N110" s="15"/>
      <c r="O110" s="20"/>
      <c r="P110" s="15"/>
      <c r="Q110" s="15"/>
      <c r="R110" s="17" t="str">
        <f>IF(Q110="","",VLOOKUP(Q110,'References (2)'!C:D,2,0))</f>
        <v/>
      </c>
      <c r="S110" s="17" t="str">
        <f>IF(Q110="","",VLOOKUP(Q110,'References (2)'!C:F,4,0))</f>
        <v/>
      </c>
      <c r="T110" s="16"/>
      <c r="U110" s="20"/>
      <c r="V110" s="15"/>
      <c r="W110" s="22"/>
      <c r="X110" s="16"/>
      <c r="Y110" s="76"/>
      <c r="Z110" s="25" t="str">
        <f t="shared" si="19"/>
        <v/>
      </c>
      <c r="AA110" s="17" t="str">
        <f t="shared" ca="1" si="20"/>
        <v/>
      </c>
      <c r="AB110" s="17" t="str">
        <f t="shared" ca="1" si="21"/>
        <v/>
      </c>
      <c r="AC110" s="17" t="str">
        <f t="shared" ca="1" si="22"/>
        <v/>
      </c>
      <c r="AD110" s="17" t="str">
        <f t="shared" ca="1" si="23"/>
        <v/>
      </c>
      <c r="AE110" s="17" t="str">
        <f t="shared" si="24"/>
        <v/>
      </c>
      <c r="AF110" s="17" t="str">
        <f t="shared" si="25"/>
        <v/>
      </c>
      <c r="AG110" s="17" t="str">
        <f t="shared" si="26"/>
        <v/>
      </c>
      <c r="AH110" s="17">
        <f t="shared" si="27"/>
        <v>0</v>
      </c>
      <c r="AI110" s="17" t="str">
        <f t="shared" ca="1" si="28"/>
        <v/>
      </c>
      <c r="AJ110" s="17" t="str">
        <f t="shared" ca="1" si="29"/>
        <v/>
      </c>
      <c r="AK110" s="17" t="str">
        <f t="shared" si="30"/>
        <v/>
      </c>
      <c r="AL110" s="17" t="str">
        <f t="shared" ca="1" si="31"/>
        <v/>
      </c>
      <c r="AN110" s="24">
        <f t="shared" si="32"/>
        <v>0</v>
      </c>
      <c r="AO110" s="24">
        <f t="shared" si="33"/>
        <v>0</v>
      </c>
      <c r="AP110" s="24">
        <f t="shared" si="34"/>
        <v>0</v>
      </c>
      <c r="AQ110" s="24">
        <f t="shared" si="35"/>
        <v>0</v>
      </c>
      <c r="AR110" s="24">
        <f t="shared" si="36"/>
        <v>0</v>
      </c>
      <c r="AS110" s="24">
        <f t="shared" si="37"/>
        <v>0</v>
      </c>
    </row>
    <row r="111" spans="1:45" x14ac:dyDescent="0.25">
      <c r="A111" s="83"/>
      <c r="B111" s="16"/>
      <c r="C111" s="16"/>
      <c r="D111" s="15"/>
      <c r="E111" s="15"/>
      <c r="F111" s="16"/>
      <c r="G111" s="16"/>
      <c r="H111" s="16"/>
      <c r="I111" s="22"/>
      <c r="J111" s="16"/>
      <c r="K111" s="16"/>
      <c r="L111" s="15"/>
      <c r="M111" s="20"/>
      <c r="N111" s="15"/>
      <c r="O111" s="20"/>
      <c r="P111" s="15"/>
      <c r="Q111" s="15"/>
      <c r="R111" s="17" t="str">
        <f>IF(Q111="","",VLOOKUP(Q111,'References (2)'!C:D,2,0))</f>
        <v/>
      </c>
      <c r="S111" s="17" t="str">
        <f>IF(Q111="","",VLOOKUP(Q111,'References (2)'!C:F,4,0))</f>
        <v/>
      </c>
      <c r="T111" s="16"/>
      <c r="U111" s="20"/>
      <c r="V111" s="15"/>
      <c r="W111" s="22"/>
      <c r="X111" s="16"/>
      <c r="Y111" s="76"/>
      <c r="Z111" s="25" t="str">
        <f t="shared" si="19"/>
        <v/>
      </c>
      <c r="AA111" s="17" t="str">
        <f t="shared" ca="1" si="20"/>
        <v/>
      </c>
      <c r="AB111" s="17" t="str">
        <f t="shared" ca="1" si="21"/>
        <v/>
      </c>
      <c r="AC111" s="17" t="str">
        <f t="shared" ca="1" si="22"/>
        <v/>
      </c>
      <c r="AD111" s="17" t="str">
        <f t="shared" ca="1" si="23"/>
        <v/>
      </c>
      <c r="AE111" s="17" t="str">
        <f t="shared" si="24"/>
        <v/>
      </c>
      <c r="AF111" s="17" t="str">
        <f t="shared" si="25"/>
        <v/>
      </c>
      <c r="AG111" s="17" t="str">
        <f t="shared" si="26"/>
        <v/>
      </c>
      <c r="AH111" s="17">
        <f t="shared" si="27"/>
        <v>0</v>
      </c>
      <c r="AI111" s="17" t="str">
        <f t="shared" ca="1" si="28"/>
        <v/>
      </c>
      <c r="AJ111" s="17" t="str">
        <f t="shared" ca="1" si="29"/>
        <v/>
      </c>
      <c r="AK111" s="17" t="str">
        <f t="shared" si="30"/>
        <v/>
      </c>
      <c r="AL111" s="17" t="str">
        <f t="shared" ca="1" si="31"/>
        <v/>
      </c>
      <c r="AN111" s="24">
        <f t="shared" si="32"/>
        <v>0</v>
      </c>
      <c r="AO111" s="24">
        <f t="shared" si="33"/>
        <v>0</v>
      </c>
      <c r="AP111" s="24">
        <f t="shared" si="34"/>
        <v>0</v>
      </c>
      <c r="AQ111" s="24">
        <f t="shared" si="35"/>
        <v>0</v>
      </c>
      <c r="AR111" s="24">
        <f t="shared" si="36"/>
        <v>0</v>
      </c>
      <c r="AS111" s="24">
        <f t="shared" si="37"/>
        <v>0</v>
      </c>
    </row>
    <row r="112" spans="1:45" x14ac:dyDescent="0.25">
      <c r="A112" s="83"/>
      <c r="B112" s="16"/>
      <c r="C112" s="16"/>
      <c r="D112" s="15"/>
      <c r="E112" s="15"/>
      <c r="F112" s="16"/>
      <c r="G112" s="16"/>
      <c r="H112" s="16"/>
      <c r="I112" s="22"/>
      <c r="J112" s="16"/>
      <c r="K112" s="16"/>
      <c r="L112" s="15"/>
      <c r="M112" s="20"/>
      <c r="N112" s="15"/>
      <c r="O112" s="20"/>
      <c r="P112" s="15"/>
      <c r="Q112" s="15"/>
      <c r="R112" s="17" t="str">
        <f>IF(Q112="","",VLOOKUP(Q112,'References (2)'!C:D,2,0))</f>
        <v/>
      </c>
      <c r="S112" s="17" t="str">
        <f>IF(Q112="","",VLOOKUP(Q112,'References (2)'!C:F,4,0))</f>
        <v/>
      </c>
      <c r="T112" s="16"/>
      <c r="U112" s="20"/>
      <c r="V112" s="15"/>
      <c r="W112" s="22"/>
      <c r="X112" s="16"/>
      <c r="Y112" s="76"/>
      <c r="Z112" s="25" t="str">
        <f t="shared" si="19"/>
        <v/>
      </c>
      <c r="AA112" s="17" t="str">
        <f t="shared" ca="1" si="20"/>
        <v/>
      </c>
      <c r="AB112" s="17" t="str">
        <f t="shared" ca="1" si="21"/>
        <v/>
      </c>
      <c r="AC112" s="17" t="str">
        <f t="shared" ca="1" si="22"/>
        <v/>
      </c>
      <c r="AD112" s="17" t="str">
        <f t="shared" ca="1" si="23"/>
        <v/>
      </c>
      <c r="AE112" s="17" t="str">
        <f t="shared" si="24"/>
        <v/>
      </c>
      <c r="AF112" s="17" t="str">
        <f t="shared" si="25"/>
        <v/>
      </c>
      <c r="AG112" s="17" t="str">
        <f t="shared" si="26"/>
        <v/>
      </c>
      <c r="AH112" s="17">
        <f t="shared" si="27"/>
        <v>0</v>
      </c>
      <c r="AI112" s="17" t="str">
        <f t="shared" ca="1" si="28"/>
        <v/>
      </c>
      <c r="AJ112" s="17" t="str">
        <f t="shared" ca="1" si="29"/>
        <v/>
      </c>
      <c r="AK112" s="17" t="str">
        <f t="shared" si="30"/>
        <v/>
      </c>
      <c r="AL112" s="17" t="str">
        <f t="shared" ca="1" si="31"/>
        <v/>
      </c>
      <c r="AN112" s="24">
        <f t="shared" si="32"/>
        <v>0</v>
      </c>
      <c r="AO112" s="24">
        <f t="shared" si="33"/>
        <v>0</v>
      </c>
      <c r="AP112" s="24">
        <f t="shared" si="34"/>
        <v>0</v>
      </c>
      <c r="AQ112" s="24">
        <f t="shared" si="35"/>
        <v>0</v>
      </c>
      <c r="AR112" s="24">
        <f t="shared" si="36"/>
        <v>0</v>
      </c>
      <c r="AS112" s="24">
        <f t="shared" si="37"/>
        <v>0</v>
      </c>
    </row>
    <row r="113" spans="1:45" x14ac:dyDescent="0.25">
      <c r="A113" s="83"/>
      <c r="B113" s="16"/>
      <c r="C113" s="16"/>
      <c r="D113" s="15"/>
      <c r="E113" s="15"/>
      <c r="F113" s="16"/>
      <c r="G113" s="16"/>
      <c r="H113" s="16"/>
      <c r="I113" s="22"/>
      <c r="J113" s="16"/>
      <c r="K113" s="16"/>
      <c r="L113" s="15"/>
      <c r="M113" s="20"/>
      <c r="N113" s="15"/>
      <c r="O113" s="20"/>
      <c r="P113" s="15"/>
      <c r="Q113" s="15"/>
      <c r="R113" s="17" t="str">
        <f>IF(Q113="","",VLOOKUP(Q113,'References (2)'!C:D,2,0))</f>
        <v/>
      </c>
      <c r="S113" s="17" t="str">
        <f>IF(Q113="","",VLOOKUP(Q113,'References (2)'!C:F,4,0))</f>
        <v/>
      </c>
      <c r="T113" s="16"/>
      <c r="U113" s="20"/>
      <c r="V113" s="15"/>
      <c r="W113" s="22"/>
      <c r="X113" s="16"/>
      <c r="Y113" s="76"/>
      <c r="Z113" s="25" t="str">
        <f t="shared" si="19"/>
        <v/>
      </c>
      <c r="AA113" s="17" t="str">
        <f t="shared" ca="1" si="20"/>
        <v/>
      </c>
      <c r="AB113" s="17" t="str">
        <f t="shared" ca="1" si="21"/>
        <v/>
      </c>
      <c r="AC113" s="17" t="str">
        <f t="shared" ca="1" si="22"/>
        <v/>
      </c>
      <c r="AD113" s="17" t="str">
        <f t="shared" ca="1" si="23"/>
        <v/>
      </c>
      <c r="AE113" s="17" t="str">
        <f t="shared" si="24"/>
        <v/>
      </c>
      <c r="AF113" s="17" t="str">
        <f t="shared" si="25"/>
        <v/>
      </c>
      <c r="AG113" s="17" t="str">
        <f t="shared" si="26"/>
        <v/>
      </c>
      <c r="AH113" s="17">
        <f t="shared" si="27"/>
        <v>0</v>
      </c>
      <c r="AI113" s="17" t="str">
        <f t="shared" ca="1" si="28"/>
        <v/>
      </c>
      <c r="AJ113" s="17" t="str">
        <f t="shared" ca="1" si="29"/>
        <v/>
      </c>
      <c r="AK113" s="17" t="str">
        <f t="shared" si="30"/>
        <v/>
      </c>
      <c r="AL113" s="17" t="str">
        <f t="shared" ca="1" si="31"/>
        <v/>
      </c>
      <c r="AN113" s="24">
        <f t="shared" si="32"/>
        <v>0</v>
      </c>
      <c r="AO113" s="24">
        <f t="shared" si="33"/>
        <v>0</v>
      </c>
      <c r="AP113" s="24">
        <f t="shared" si="34"/>
        <v>0</v>
      </c>
      <c r="AQ113" s="24">
        <f t="shared" si="35"/>
        <v>0</v>
      </c>
      <c r="AR113" s="24">
        <f t="shared" si="36"/>
        <v>0</v>
      </c>
      <c r="AS113" s="24">
        <f t="shared" si="37"/>
        <v>0</v>
      </c>
    </row>
    <row r="114" spans="1:45" x14ac:dyDescent="0.25">
      <c r="A114" s="83"/>
      <c r="B114" s="16"/>
      <c r="C114" s="16"/>
      <c r="D114" s="15"/>
      <c r="E114" s="15"/>
      <c r="F114" s="16"/>
      <c r="G114" s="16"/>
      <c r="H114" s="16"/>
      <c r="I114" s="22"/>
      <c r="J114" s="16"/>
      <c r="K114" s="16"/>
      <c r="L114" s="15"/>
      <c r="M114" s="20"/>
      <c r="N114" s="15"/>
      <c r="O114" s="20"/>
      <c r="P114" s="15"/>
      <c r="Q114" s="15"/>
      <c r="R114" s="17" t="str">
        <f>IF(Q114="","",VLOOKUP(Q114,'References (2)'!C:D,2,0))</f>
        <v/>
      </c>
      <c r="S114" s="17" t="str">
        <f>IF(Q114="","",VLOOKUP(Q114,'References (2)'!C:F,4,0))</f>
        <v/>
      </c>
      <c r="T114" s="16"/>
      <c r="U114" s="20"/>
      <c r="V114" s="15"/>
      <c r="W114" s="22"/>
      <c r="X114" s="16"/>
      <c r="Y114" s="76"/>
      <c r="Z114" s="25" t="str">
        <f t="shared" si="19"/>
        <v/>
      </c>
      <c r="AA114" s="17" t="str">
        <f t="shared" ca="1" si="20"/>
        <v/>
      </c>
      <c r="AB114" s="17" t="str">
        <f t="shared" ca="1" si="21"/>
        <v/>
      </c>
      <c r="AC114" s="17" t="str">
        <f t="shared" ca="1" si="22"/>
        <v/>
      </c>
      <c r="AD114" s="17" t="str">
        <f t="shared" ca="1" si="23"/>
        <v/>
      </c>
      <c r="AE114" s="17" t="str">
        <f t="shared" si="24"/>
        <v/>
      </c>
      <c r="AF114" s="17" t="str">
        <f t="shared" si="25"/>
        <v/>
      </c>
      <c r="AG114" s="17" t="str">
        <f t="shared" si="26"/>
        <v/>
      </c>
      <c r="AH114" s="17">
        <f t="shared" si="27"/>
        <v>0</v>
      </c>
      <c r="AI114" s="17" t="str">
        <f t="shared" ca="1" si="28"/>
        <v/>
      </c>
      <c r="AJ114" s="17" t="str">
        <f t="shared" ca="1" si="29"/>
        <v/>
      </c>
      <c r="AK114" s="17" t="str">
        <f t="shared" si="30"/>
        <v/>
      </c>
      <c r="AL114" s="17" t="str">
        <f t="shared" ca="1" si="31"/>
        <v/>
      </c>
      <c r="AN114" s="24">
        <f t="shared" si="32"/>
        <v>0</v>
      </c>
      <c r="AO114" s="24">
        <f t="shared" si="33"/>
        <v>0</v>
      </c>
      <c r="AP114" s="24">
        <f t="shared" si="34"/>
        <v>0</v>
      </c>
      <c r="AQ114" s="24">
        <f t="shared" si="35"/>
        <v>0</v>
      </c>
      <c r="AR114" s="24">
        <f t="shared" si="36"/>
        <v>0</v>
      </c>
      <c r="AS114" s="24">
        <f t="shared" si="37"/>
        <v>0</v>
      </c>
    </row>
    <row r="115" spans="1:45" x14ac:dyDescent="0.25">
      <c r="A115" s="83"/>
      <c r="B115" s="16"/>
      <c r="C115" s="16"/>
      <c r="D115" s="15"/>
      <c r="E115" s="15"/>
      <c r="F115" s="16"/>
      <c r="G115" s="16"/>
      <c r="H115" s="16"/>
      <c r="I115" s="22"/>
      <c r="J115" s="16"/>
      <c r="K115" s="16"/>
      <c r="L115" s="15"/>
      <c r="M115" s="20"/>
      <c r="N115" s="15"/>
      <c r="O115" s="20"/>
      <c r="P115" s="15"/>
      <c r="Q115" s="15"/>
      <c r="R115" s="17" t="str">
        <f>IF(Q115="","",VLOOKUP(Q115,'References (2)'!C:D,2,0))</f>
        <v/>
      </c>
      <c r="S115" s="17" t="str">
        <f>IF(Q115="","",VLOOKUP(Q115,'References (2)'!C:F,4,0))</f>
        <v/>
      </c>
      <c r="T115" s="16"/>
      <c r="U115" s="20"/>
      <c r="V115" s="15"/>
      <c r="W115" s="22"/>
      <c r="X115" s="16"/>
      <c r="Y115" s="76"/>
      <c r="Z115" s="25" t="str">
        <f t="shared" si="19"/>
        <v/>
      </c>
      <c r="AA115" s="17" t="str">
        <f t="shared" ca="1" si="20"/>
        <v/>
      </c>
      <c r="AB115" s="17" t="str">
        <f t="shared" ca="1" si="21"/>
        <v/>
      </c>
      <c r="AC115" s="17" t="str">
        <f t="shared" ca="1" si="22"/>
        <v/>
      </c>
      <c r="AD115" s="17" t="str">
        <f t="shared" ca="1" si="23"/>
        <v/>
      </c>
      <c r="AE115" s="17" t="str">
        <f t="shared" si="24"/>
        <v/>
      </c>
      <c r="AF115" s="17" t="str">
        <f t="shared" si="25"/>
        <v/>
      </c>
      <c r="AG115" s="17" t="str">
        <f t="shared" si="26"/>
        <v/>
      </c>
      <c r="AH115" s="17">
        <f t="shared" si="27"/>
        <v>0</v>
      </c>
      <c r="AI115" s="17" t="str">
        <f t="shared" ca="1" si="28"/>
        <v/>
      </c>
      <c r="AJ115" s="17" t="str">
        <f t="shared" ca="1" si="29"/>
        <v/>
      </c>
      <c r="AK115" s="17" t="str">
        <f t="shared" si="30"/>
        <v/>
      </c>
      <c r="AL115" s="17" t="str">
        <f t="shared" ca="1" si="31"/>
        <v/>
      </c>
      <c r="AN115" s="24">
        <f t="shared" si="32"/>
        <v>0</v>
      </c>
      <c r="AO115" s="24">
        <f t="shared" si="33"/>
        <v>0</v>
      </c>
      <c r="AP115" s="24">
        <f t="shared" si="34"/>
        <v>0</v>
      </c>
      <c r="AQ115" s="24">
        <f t="shared" si="35"/>
        <v>0</v>
      </c>
      <c r="AR115" s="24">
        <f t="shared" si="36"/>
        <v>0</v>
      </c>
      <c r="AS115" s="24">
        <f t="shared" si="37"/>
        <v>0</v>
      </c>
    </row>
    <row r="116" spans="1:45" x14ac:dyDescent="0.25">
      <c r="A116" s="83"/>
      <c r="B116" s="16"/>
      <c r="C116" s="16"/>
      <c r="D116" s="15"/>
      <c r="E116" s="15"/>
      <c r="F116" s="16"/>
      <c r="G116" s="16"/>
      <c r="H116" s="16"/>
      <c r="I116" s="22"/>
      <c r="J116" s="16"/>
      <c r="K116" s="16"/>
      <c r="L116" s="15"/>
      <c r="M116" s="20"/>
      <c r="N116" s="15"/>
      <c r="O116" s="20"/>
      <c r="P116" s="15"/>
      <c r="Q116" s="15"/>
      <c r="R116" s="17" t="str">
        <f>IF(Q116="","",VLOOKUP(Q116,'References (2)'!C:D,2,0))</f>
        <v/>
      </c>
      <c r="S116" s="17" t="str">
        <f>IF(Q116="","",VLOOKUP(Q116,'References (2)'!C:F,4,0))</f>
        <v/>
      </c>
      <c r="T116" s="16"/>
      <c r="U116" s="20"/>
      <c r="V116" s="15"/>
      <c r="W116" s="22"/>
      <c r="X116" s="16"/>
      <c r="Y116" s="76"/>
      <c r="Z116" s="25" t="str">
        <f t="shared" si="19"/>
        <v/>
      </c>
      <c r="AA116" s="17" t="str">
        <f t="shared" ca="1" si="20"/>
        <v/>
      </c>
      <c r="AB116" s="17" t="str">
        <f t="shared" ca="1" si="21"/>
        <v/>
      </c>
      <c r="AC116" s="17" t="str">
        <f t="shared" ca="1" si="22"/>
        <v/>
      </c>
      <c r="AD116" s="17" t="str">
        <f t="shared" ca="1" si="23"/>
        <v/>
      </c>
      <c r="AE116" s="17" t="str">
        <f t="shared" si="24"/>
        <v/>
      </c>
      <c r="AF116" s="17" t="str">
        <f t="shared" si="25"/>
        <v/>
      </c>
      <c r="AG116" s="17" t="str">
        <f t="shared" si="26"/>
        <v/>
      </c>
      <c r="AH116" s="17">
        <f t="shared" si="27"/>
        <v>0</v>
      </c>
      <c r="AI116" s="17" t="str">
        <f t="shared" ca="1" si="28"/>
        <v/>
      </c>
      <c r="AJ116" s="17" t="str">
        <f t="shared" ca="1" si="29"/>
        <v/>
      </c>
      <c r="AK116" s="17" t="str">
        <f t="shared" si="30"/>
        <v/>
      </c>
      <c r="AL116" s="17" t="str">
        <f t="shared" ca="1" si="31"/>
        <v/>
      </c>
      <c r="AN116" s="24">
        <f t="shared" si="32"/>
        <v>0</v>
      </c>
      <c r="AO116" s="24">
        <f t="shared" si="33"/>
        <v>0</v>
      </c>
      <c r="AP116" s="24">
        <f t="shared" si="34"/>
        <v>0</v>
      </c>
      <c r="AQ116" s="24">
        <f t="shared" si="35"/>
        <v>0</v>
      </c>
      <c r="AR116" s="24">
        <f t="shared" si="36"/>
        <v>0</v>
      </c>
      <c r="AS116" s="24">
        <f t="shared" si="37"/>
        <v>0</v>
      </c>
    </row>
    <row r="117" spans="1:45" x14ac:dyDescent="0.25">
      <c r="A117" s="83"/>
      <c r="B117" s="16"/>
      <c r="C117" s="16"/>
      <c r="D117" s="15"/>
      <c r="E117" s="15"/>
      <c r="F117" s="16"/>
      <c r="G117" s="16"/>
      <c r="H117" s="16"/>
      <c r="I117" s="22"/>
      <c r="J117" s="16"/>
      <c r="K117" s="16"/>
      <c r="L117" s="15"/>
      <c r="M117" s="20"/>
      <c r="N117" s="15"/>
      <c r="O117" s="20"/>
      <c r="P117" s="15"/>
      <c r="Q117" s="15"/>
      <c r="R117" s="17" t="str">
        <f>IF(Q117="","",VLOOKUP(Q117,'References (2)'!C:D,2,0))</f>
        <v/>
      </c>
      <c r="S117" s="17" t="str">
        <f>IF(Q117="","",VLOOKUP(Q117,'References (2)'!C:F,4,0))</f>
        <v/>
      </c>
      <c r="T117" s="16"/>
      <c r="U117" s="20"/>
      <c r="V117" s="15"/>
      <c r="W117" s="22"/>
      <c r="X117" s="16"/>
      <c r="Y117" s="76"/>
      <c r="Z117" s="25" t="str">
        <f t="shared" si="19"/>
        <v/>
      </c>
      <c r="AA117" s="17" t="str">
        <f t="shared" ca="1" si="20"/>
        <v/>
      </c>
      <c r="AB117" s="17" t="str">
        <f t="shared" ca="1" si="21"/>
        <v/>
      </c>
      <c r="AC117" s="17" t="str">
        <f t="shared" ca="1" si="22"/>
        <v/>
      </c>
      <c r="AD117" s="17" t="str">
        <f t="shared" ca="1" si="23"/>
        <v/>
      </c>
      <c r="AE117" s="17" t="str">
        <f t="shared" si="24"/>
        <v/>
      </c>
      <c r="AF117" s="17" t="str">
        <f t="shared" si="25"/>
        <v/>
      </c>
      <c r="AG117" s="17" t="str">
        <f t="shared" si="26"/>
        <v/>
      </c>
      <c r="AH117" s="17">
        <f t="shared" si="27"/>
        <v>0</v>
      </c>
      <c r="AI117" s="17" t="str">
        <f t="shared" ca="1" si="28"/>
        <v/>
      </c>
      <c r="AJ117" s="17" t="str">
        <f t="shared" ca="1" si="29"/>
        <v/>
      </c>
      <c r="AK117" s="17" t="str">
        <f t="shared" si="30"/>
        <v/>
      </c>
      <c r="AL117" s="17" t="str">
        <f t="shared" ca="1" si="31"/>
        <v/>
      </c>
      <c r="AN117" s="24">
        <f t="shared" si="32"/>
        <v>0</v>
      </c>
      <c r="AO117" s="24">
        <f t="shared" si="33"/>
        <v>0</v>
      </c>
      <c r="AP117" s="24">
        <f t="shared" si="34"/>
        <v>0</v>
      </c>
      <c r="AQ117" s="24">
        <f t="shared" si="35"/>
        <v>0</v>
      </c>
      <c r="AR117" s="24">
        <f t="shared" si="36"/>
        <v>0</v>
      </c>
      <c r="AS117" s="24">
        <f t="shared" si="37"/>
        <v>0</v>
      </c>
    </row>
    <row r="118" spans="1:45" x14ac:dyDescent="0.25">
      <c r="A118" s="83"/>
      <c r="B118" s="16"/>
      <c r="C118" s="16"/>
      <c r="D118" s="15"/>
      <c r="E118" s="15"/>
      <c r="F118" s="16"/>
      <c r="G118" s="16"/>
      <c r="H118" s="16"/>
      <c r="I118" s="22"/>
      <c r="J118" s="16"/>
      <c r="K118" s="16"/>
      <c r="L118" s="15"/>
      <c r="M118" s="20"/>
      <c r="N118" s="15"/>
      <c r="O118" s="20"/>
      <c r="P118" s="15"/>
      <c r="Q118" s="15"/>
      <c r="R118" s="17" t="str">
        <f>IF(Q118="","",VLOOKUP(Q118,'References (2)'!C:D,2,0))</f>
        <v/>
      </c>
      <c r="S118" s="17" t="str">
        <f>IF(Q118="","",VLOOKUP(Q118,'References (2)'!C:F,4,0))</f>
        <v/>
      </c>
      <c r="T118" s="16"/>
      <c r="U118" s="20"/>
      <c r="V118" s="15"/>
      <c r="W118" s="22"/>
      <c r="X118" s="16"/>
      <c r="Y118" s="76"/>
      <c r="Z118" s="25" t="str">
        <f t="shared" si="19"/>
        <v/>
      </c>
      <c r="AA118" s="17" t="str">
        <f t="shared" ca="1" si="20"/>
        <v/>
      </c>
      <c r="AB118" s="17" t="str">
        <f t="shared" ca="1" si="21"/>
        <v/>
      </c>
      <c r="AC118" s="17" t="str">
        <f t="shared" ca="1" si="22"/>
        <v/>
      </c>
      <c r="AD118" s="17" t="str">
        <f t="shared" ca="1" si="23"/>
        <v/>
      </c>
      <c r="AE118" s="17" t="str">
        <f t="shared" si="24"/>
        <v/>
      </c>
      <c r="AF118" s="17" t="str">
        <f t="shared" si="25"/>
        <v/>
      </c>
      <c r="AG118" s="17" t="str">
        <f t="shared" si="26"/>
        <v/>
      </c>
      <c r="AH118" s="17">
        <f t="shared" si="27"/>
        <v>0</v>
      </c>
      <c r="AI118" s="17" t="str">
        <f t="shared" ca="1" si="28"/>
        <v/>
      </c>
      <c r="AJ118" s="17" t="str">
        <f t="shared" ca="1" si="29"/>
        <v/>
      </c>
      <c r="AK118" s="17" t="str">
        <f t="shared" si="30"/>
        <v/>
      </c>
      <c r="AL118" s="17" t="str">
        <f t="shared" ca="1" si="31"/>
        <v/>
      </c>
      <c r="AN118" s="24">
        <f t="shared" si="32"/>
        <v>0</v>
      </c>
      <c r="AO118" s="24">
        <f t="shared" si="33"/>
        <v>0</v>
      </c>
      <c r="AP118" s="24">
        <f t="shared" si="34"/>
        <v>0</v>
      </c>
      <c r="AQ118" s="24">
        <f t="shared" si="35"/>
        <v>0</v>
      </c>
      <c r="AR118" s="24">
        <f t="shared" si="36"/>
        <v>0</v>
      </c>
      <c r="AS118" s="24">
        <f t="shared" si="37"/>
        <v>0</v>
      </c>
    </row>
    <row r="119" spans="1:45" x14ac:dyDescent="0.25">
      <c r="A119" s="83"/>
      <c r="B119" s="16"/>
      <c r="C119" s="16"/>
      <c r="D119" s="15"/>
      <c r="E119" s="15"/>
      <c r="F119" s="16"/>
      <c r="G119" s="16"/>
      <c r="H119" s="16"/>
      <c r="I119" s="22"/>
      <c r="J119" s="16"/>
      <c r="K119" s="16"/>
      <c r="L119" s="15"/>
      <c r="M119" s="20"/>
      <c r="N119" s="15"/>
      <c r="O119" s="20"/>
      <c r="P119" s="15"/>
      <c r="Q119" s="15"/>
      <c r="R119" s="17" t="str">
        <f>IF(Q119="","",VLOOKUP(Q119,'References (2)'!C:D,2,0))</f>
        <v/>
      </c>
      <c r="S119" s="17" t="str">
        <f>IF(Q119="","",VLOOKUP(Q119,'References (2)'!C:F,4,0))</f>
        <v/>
      </c>
      <c r="T119" s="16"/>
      <c r="U119" s="20"/>
      <c r="V119" s="15"/>
      <c r="W119" s="22"/>
      <c r="X119" s="16"/>
      <c r="Y119" s="76"/>
      <c r="Z119" s="25" t="str">
        <f t="shared" si="19"/>
        <v/>
      </c>
      <c r="AA119" s="17" t="str">
        <f t="shared" ca="1" si="20"/>
        <v/>
      </c>
      <c r="AB119" s="17" t="str">
        <f t="shared" ca="1" si="21"/>
        <v/>
      </c>
      <c r="AC119" s="17" t="str">
        <f t="shared" ca="1" si="22"/>
        <v/>
      </c>
      <c r="AD119" s="17" t="str">
        <f t="shared" ca="1" si="23"/>
        <v/>
      </c>
      <c r="AE119" s="17" t="str">
        <f t="shared" si="24"/>
        <v/>
      </c>
      <c r="AF119" s="17" t="str">
        <f t="shared" si="25"/>
        <v/>
      </c>
      <c r="AG119" s="17" t="str">
        <f t="shared" si="26"/>
        <v/>
      </c>
      <c r="AH119" s="17">
        <f t="shared" si="27"/>
        <v>0</v>
      </c>
      <c r="AI119" s="17" t="str">
        <f t="shared" ca="1" si="28"/>
        <v/>
      </c>
      <c r="AJ119" s="17" t="str">
        <f t="shared" ca="1" si="29"/>
        <v/>
      </c>
      <c r="AK119" s="17" t="str">
        <f t="shared" si="30"/>
        <v/>
      </c>
      <c r="AL119" s="17" t="str">
        <f t="shared" ca="1" si="31"/>
        <v/>
      </c>
      <c r="AN119" s="24">
        <f t="shared" si="32"/>
        <v>0</v>
      </c>
      <c r="AO119" s="24">
        <f t="shared" si="33"/>
        <v>0</v>
      </c>
      <c r="AP119" s="24">
        <f t="shared" si="34"/>
        <v>0</v>
      </c>
      <c r="AQ119" s="24">
        <f t="shared" si="35"/>
        <v>0</v>
      </c>
      <c r="AR119" s="24">
        <f t="shared" si="36"/>
        <v>0</v>
      </c>
      <c r="AS119" s="24">
        <f t="shared" si="37"/>
        <v>0</v>
      </c>
    </row>
    <row r="120" spans="1:45" x14ac:dyDescent="0.25">
      <c r="A120" s="83"/>
      <c r="B120" s="16"/>
      <c r="C120" s="16"/>
      <c r="D120" s="15"/>
      <c r="E120" s="15"/>
      <c r="F120" s="16"/>
      <c r="G120" s="16"/>
      <c r="H120" s="16"/>
      <c r="I120" s="22"/>
      <c r="J120" s="16"/>
      <c r="K120" s="16"/>
      <c r="L120" s="15"/>
      <c r="M120" s="20"/>
      <c r="N120" s="15"/>
      <c r="O120" s="20"/>
      <c r="P120" s="15"/>
      <c r="Q120" s="15"/>
      <c r="R120" s="17" t="str">
        <f>IF(Q120="","",VLOOKUP(Q120,'References (2)'!C:D,2,0))</f>
        <v/>
      </c>
      <c r="S120" s="17" t="str">
        <f>IF(Q120="","",VLOOKUP(Q120,'References (2)'!C:F,4,0))</f>
        <v/>
      </c>
      <c r="T120" s="16"/>
      <c r="U120" s="20"/>
      <c r="V120" s="15"/>
      <c r="W120" s="22"/>
      <c r="X120" s="16"/>
      <c r="Y120" s="76"/>
      <c r="Z120" s="25" t="str">
        <f t="shared" si="19"/>
        <v/>
      </c>
      <c r="AA120" s="17" t="str">
        <f t="shared" ca="1" si="20"/>
        <v/>
      </c>
      <c r="AB120" s="17" t="str">
        <f t="shared" ca="1" si="21"/>
        <v/>
      </c>
      <c r="AC120" s="17" t="str">
        <f t="shared" ca="1" si="22"/>
        <v/>
      </c>
      <c r="AD120" s="17" t="str">
        <f t="shared" ca="1" si="23"/>
        <v/>
      </c>
      <c r="AE120" s="17" t="str">
        <f t="shared" si="24"/>
        <v/>
      </c>
      <c r="AF120" s="17" t="str">
        <f t="shared" si="25"/>
        <v/>
      </c>
      <c r="AG120" s="17" t="str">
        <f t="shared" si="26"/>
        <v/>
      </c>
      <c r="AH120" s="17">
        <f t="shared" si="27"/>
        <v>0</v>
      </c>
      <c r="AI120" s="17" t="str">
        <f t="shared" ca="1" si="28"/>
        <v/>
      </c>
      <c r="AJ120" s="17" t="str">
        <f t="shared" ca="1" si="29"/>
        <v/>
      </c>
      <c r="AK120" s="17" t="str">
        <f t="shared" si="30"/>
        <v/>
      </c>
      <c r="AL120" s="17" t="str">
        <f t="shared" ca="1" si="31"/>
        <v/>
      </c>
      <c r="AN120" s="24">
        <f t="shared" si="32"/>
        <v>0</v>
      </c>
      <c r="AO120" s="24">
        <f t="shared" si="33"/>
        <v>0</v>
      </c>
      <c r="AP120" s="24">
        <f t="shared" si="34"/>
        <v>0</v>
      </c>
      <c r="AQ120" s="24">
        <f t="shared" si="35"/>
        <v>0</v>
      </c>
      <c r="AR120" s="24">
        <f t="shared" si="36"/>
        <v>0</v>
      </c>
      <c r="AS120" s="24">
        <f t="shared" si="37"/>
        <v>0</v>
      </c>
    </row>
    <row r="121" spans="1:45" x14ac:dyDescent="0.25">
      <c r="A121" s="83"/>
      <c r="B121" s="16"/>
      <c r="C121" s="16"/>
      <c r="D121" s="15"/>
      <c r="E121" s="15"/>
      <c r="F121" s="16"/>
      <c r="G121" s="16"/>
      <c r="H121" s="16"/>
      <c r="I121" s="22"/>
      <c r="J121" s="16"/>
      <c r="K121" s="16"/>
      <c r="L121" s="15"/>
      <c r="M121" s="20"/>
      <c r="N121" s="15"/>
      <c r="O121" s="20"/>
      <c r="P121" s="15"/>
      <c r="Q121" s="15"/>
      <c r="R121" s="17" t="str">
        <f>IF(Q121="","",VLOOKUP(Q121,'References (2)'!C:D,2,0))</f>
        <v/>
      </c>
      <c r="S121" s="17" t="str">
        <f>IF(Q121="","",VLOOKUP(Q121,'References (2)'!C:F,4,0))</f>
        <v/>
      </c>
      <c r="T121" s="16"/>
      <c r="U121" s="20"/>
      <c r="V121" s="15"/>
      <c r="W121" s="22"/>
      <c r="X121" s="16"/>
      <c r="Y121" s="76"/>
      <c r="Z121" s="25" t="str">
        <f t="shared" si="19"/>
        <v/>
      </c>
      <c r="AA121" s="17" t="str">
        <f t="shared" ca="1" si="20"/>
        <v/>
      </c>
      <c r="AB121" s="17" t="str">
        <f t="shared" ca="1" si="21"/>
        <v/>
      </c>
      <c r="AC121" s="17" t="str">
        <f t="shared" ca="1" si="22"/>
        <v/>
      </c>
      <c r="AD121" s="17" t="str">
        <f t="shared" ca="1" si="23"/>
        <v/>
      </c>
      <c r="AE121" s="17" t="str">
        <f t="shared" si="24"/>
        <v/>
      </c>
      <c r="AF121" s="17" t="str">
        <f t="shared" si="25"/>
        <v/>
      </c>
      <c r="AG121" s="17" t="str">
        <f t="shared" si="26"/>
        <v/>
      </c>
      <c r="AH121" s="17">
        <f t="shared" si="27"/>
        <v>0</v>
      </c>
      <c r="AI121" s="17" t="str">
        <f t="shared" ca="1" si="28"/>
        <v/>
      </c>
      <c r="AJ121" s="17" t="str">
        <f t="shared" ca="1" si="29"/>
        <v/>
      </c>
      <c r="AK121" s="17" t="str">
        <f t="shared" si="30"/>
        <v/>
      </c>
      <c r="AL121" s="17" t="str">
        <f t="shared" ca="1" si="31"/>
        <v/>
      </c>
      <c r="AN121" s="24">
        <f t="shared" si="32"/>
        <v>0</v>
      </c>
      <c r="AO121" s="24">
        <f t="shared" si="33"/>
        <v>0</v>
      </c>
      <c r="AP121" s="24">
        <f t="shared" si="34"/>
        <v>0</v>
      </c>
      <c r="AQ121" s="24">
        <f t="shared" si="35"/>
        <v>0</v>
      </c>
      <c r="AR121" s="24">
        <f t="shared" si="36"/>
        <v>0</v>
      </c>
      <c r="AS121" s="24">
        <f t="shared" si="37"/>
        <v>0</v>
      </c>
    </row>
    <row r="122" spans="1:45" x14ac:dyDescent="0.25">
      <c r="A122" s="83"/>
      <c r="B122" s="16"/>
      <c r="C122" s="16"/>
      <c r="D122" s="15"/>
      <c r="E122" s="15"/>
      <c r="F122" s="16"/>
      <c r="G122" s="16"/>
      <c r="H122" s="16"/>
      <c r="I122" s="22"/>
      <c r="J122" s="16"/>
      <c r="K122" s="16"/>
      <c r="L122" s="15"/>
      <c r="M122" s="20"/>
      <c r="N122" s="15"/>
      <c r="O122" s="20"/>
      <c r="P122" s="15"/>
      <c r="Q122" s="15"/>
      <c r="R122" s="17" t="str">
        <f>IF(Q122="","",VLOOKUP(Q122,'References (2)'!C:D,2,0))</f>
        <v/>
      </c>
      <c r="S122" s="17" t="str">
        <f>IF(Q122="","",VLOOKUP(Q122,'References (2)'!C:F,4,0))</f>
        <v/>
      </c>
      <c r="T122" s="16"/>
      <c r="U122" s="20"/>
      <c r="V122" s="15"/>
      <c r="W122" s="22"/>
      <c r="X122" s="16"/>
      <c r="Y122" s="76"/>
      <c r="Z122" s="25" t="str">
        <f t="shared" si="19"/>
        <v/>
      </c>
      <c r="AA122" s="17" t="str">
        <f t="shared" ca="1" si="20"/>
        <v/>
      </c>
      <c r="AB122" s="17" t="str">
        <f t="shared" ca="1" si="21"/>
        <v/>
      </c>
      <c r="AC122" s="17" t="str">
        <f t="shared" ca="1" si="22"/>
        <v/>
      </c>
      <c r="AD122" s="17" t="str">
        <f t="shared" ca="1" si="23"/>
        <v/>
      </c>
      <c r="AE122" s="17" t="str">
        <f t="shared" si="24"/>
        <v/>
      </c>
      <c r="AF122" s="17" t="str">
        <f t="shared" si="25"/>
        <v/>
      </c>
      <c r="AG122" s="17" t="str">
        <f t="shared" si="26"/>
        <v/>
      </c>
      <c r="AH122" s="17">
        <f t="shared" si="27"/>
        <v>0</v>
      </c>
      <c r="AI122" s="17" t="str">
        <f t="shared" ca="1" si="28"/>
        <v/>
      </c>
      <c r="AJ122" s="17" t="str">
        <f t="shared" ca="1" si="29"/>
        <v/>
      </c>
      <c r="AK122" s="17" t="str">
        <f t="shared" si="30"/>
        <v/>
      </c>
      <c r="AL122" s="17" t="str">
        <f t="shared" ca="1" si="31"/>
        <v/>
      </c>
      <c r="AN122" s="24">
        <f t="shared" si="32"/>
        <v>0</v>
      </c>
      <c r="AO122" s="24">
        <f t="shared" si="33"/>
        <v>0</v>
      </c>
      <c r="AP122" s="24">
        <f t="shared" si="34"/>
        <v>0</v>
      </c>
      <c r="AQ122" s="24">
        <f t="shared" si="35"/>
        <v>0</v>
      </c>
      <c r="AR122" s="24">
        <f t="shared" si="36"/>
        <v>0</v>
      </c>
      <c r="AS122" s="24">
        <f t="shared" si="37"/>
        <v>0</v>
      </c>
    </row>
    <row r="123" spans="1:45" x14ac:dyDescent="0.25">
      <c r="A123" s="83"/>
      <c r="B123" s="16"/>
      <c r="C123" s="16"/>
      <c r="D123" s="15"/>
      <c r="E123" s="15"/>
      <c r="F123" s="16"/>
      <c r="G123" s="16"/>
      <c r="H123" s="16"/>
      <c r="I123" s="22"/>
      <c r="J123" s="16"/>
      <c r="K123" s="16"/>
      <c r="L123" s="15"/>
      <c r="M123" s="20"/>
      <c r="N123" s="15"/>
      <c r="O123" s="20"/>
      <c r="P123" s="15"/>
      <c r="Q123" s="15"/>
      <c r="R123" s="17" t="str">
        <f>IF(Q123="","",VLOOKUP(Q123,'References (2)'!C:D,2,0))</f>
        <v/>
      </c>
      <c r="S123" s="17" t="str">
        <f>IF(Q123="","",VLOOKUP(Q123,'References (2)'!C:F,4,0))</f>
        <v/>
      </c>
      <c r="T123" s="16"/>
      <c r="U123" s="20"/>
      <c r="V123" s="15"/>
      <c r="W123" s="22"/>
      <c r="X123" s="16"/>
      <c r="Y123" s="76"/>
      <c r="Z123" s="25" t="str">
        <f t="shared" si="19"/>
        <v/>
      </c>
      <c r="AA123" s="17" t="str">
        <f t="shared" ca="1" si="20"/>
        <v/>
      </c>
      <c r="AB123" s="17" t="str">
        <f t="shared" ca="1" si="21"/>
        <v/>
      </c>
      <c r="AC123" s="17" t="str">
        <f t="shared" ca="1" si="22"/>
        <v/>
      </c>
      <c r="AD123" s="17" t="str">
        <f t="shared" ca="1" si="23"/>
        <v/>
      </c>
      <c r="AE123" s="17" t="str">
        <f t="shared" si="24"/>
        <v/>
      </c>
      <c r="AF123" s="17" t="str">
        <f t="shared" si="25"/>
        <v/>
      </c>
      <c r="AG123" s="17" t="str">
        <f t="shared" si="26"/>
        <v/>
      </c>
      <c r="AH123" s="17">
        <f t="shared" si="27"/>
        <v>0</v>
      </c>
      <c r="AI123" s="17" t="str">
        <f t="shared" ca="1" si="28"/>
        <v/>
      </c>
      <c r="AJ123" s="17" t="str">
        <f t="shared" ca="1" si="29"/>
        <v/>
      </c>
      <c r="AK123" s="17" t="str">
        <f t="shared" si="30"/>
        <v/>
      </c>
      <c r="AL123" s="17" t="str">
        <f t="shared" ca="1" si="31"/>
        <v/>
      </c>
      <c r="AN123" s="24">
        <f t="shared" si="32"/>
        <v>0</v>
      </c>
      <c r="AO123" s="24">
        <f t="shared" si="33"/>
        <v>0</v>
      </c>
      <c r="AP123" s="24">
        <f t="shared" si="34"/>
        <v>0</v>
      </c>
      <c r="AQ123" s="24">
        <f t="shared" si="35"/>
        <v>0</v>
      </c>
      <c r="AR123" s="24">
        <f t="shared" si="36"/>
        <v>0</v>
      </c>
      <c r="AS123" s="24">
        <f t="shared" si="37"/>
        <v>0</v>
      </c>
    </row>
    <row r="124" spans="1:45" x14ac:dyDescent="0.25">
      <c r="A124" s="83"/>
      <c r="B124" s="16"/>
      <c r="C124" s="16"/>
      <c r="D124" s="15"/>
      <c r="E124" s="15"/>
      <c r="F124" s="16"/>
      <c r="G124" s="16"/>
      <c r="H124" s="16"/>
      <c r="I124" s="22"/>
      <c r="J124" s="16"/>
      <c r="K124" s="16"/>
      <c r="L124" s="15"/>
      <c r="M124" s="20"/>
      <c r="N124" s="15"/>
      <c r="O124" s="20"/>
      <c r="P124" s="15"/>
      <c r="Q124" s="15"/>
      <c r="R124" s="17" t="str">
        <f>IF(Q124="","",VLOOKUP(Q124,'References (2)'!C:D,2,0))</f>
        <v/>
      </c>
      <c r="S124" s="17" t="str">
        <f>IF(Q124="","",VLOOKUP(Q124,'References (2)'!C:F,4,0))</f>
        <v/>
      </c>
      <c r="T124" s="16"/>
      <c r="U124" s="20"/>
      <c r="V124" s="15"/>
      <c r="W124" s="22"/>
      <c r="X124" s="16"/>
      <c r="Y124" s="76"/>
      <c r="Z124" s="25" t="str">
        <f t="shared" si="19"/>
        <v/>
      </c>
      <c r="AA124" s="17" t="str">
        <f t="shared" ca="1" si="20"/>
        <v/>
      </c>
      <c r="AB124" s="17" t="str">
        <f t="shared" ca="1" si="21"/>
        <v/>
      </c>
      <c r="AC124" s="17" t="str">
        <f t="shared" ca="1" si="22"/>
        <v/>
      </c>
      <c r="AD124" s="17" t="str">
        <f t="shared" ca="1" si="23"/>
        <v/>
      </c>
      <c r="AE124" s="17" t="str">
        <f t="shared" si="24"/>
        <v/>
      </c>
      <c r="AF124" s="17" t="str">
        <f t="shared" si="25"/>
        <v/>
      </c>
      <c r="AG124" s="17" t="str">
        <f t="shared" si="26"/>
        <v/>
      </c>
      <c r="AH124" s="17">
        <f t="shared" si="27"/>
        <v>0</v>
      </c>
      <c r="AI124" s="17" t="str">
        <f t="shared" ca="1" si="28"/>
        <v/>
      </c>
      <c r="AJ124" s="17" t="str">
        <f t="shared" ca="1" si="29"/>
        <v/>
      </c>
      <c r="AK124" s="17" t="str">
        <f t="shared" si="30"/>
        <v/>
      </c>
      <c r="AL124" s="17" t="str">
        <f t="shared" ca="1" si="31"/>
        <v/>
      </c>
      <c r="AN124" s="24">
        <f t="shared" si="32"/>
        <v>0</v>
      </c>
      <c r="AO124" s="24">
        <f t="shared" si="33"/>
        <v>0</v>
      </c>
      <c r="AP124" s="24">
        <f t="shared" si="34"/>
        <v>0</v>
      </c>
      <c r="AQ124" s="24">
        <f t="shared" si="35"/>
        <v>0</v>
      </c>
      <c r="AR124" s="24">
        <f t="shared" si="36"/>
        <v>0</v>
      </c>
      <c r="AS124" s="24">
        <f t="shared" si="37"/>
        <v>0</v>
      </c>
    </row>
    <row r="125" spans="1:45" x14ac:dyDescent="0.25">
      <c r="A125" s="83"/>
      <c r="B125" s="16"/>
      <c r="C125" s="16"/>
      <c r="D125" s="15"/>
      <c r="E125" s="15"/>
      <c r="F125" s="16"/>
      <c r="G125" s="16"/>
      <c r="H125" s="16"/>
      <c r="I125" s="22"/>
      <c r="J125" s="16"/>
      <c r="K125" s="16"/>
      <c r="L125" s="15"/>
      <c r="M125" s="20"/>
      <c r="N125" s="15"/>
      <c r="O125" s="20"/>
      <c r="P125" s="15"/>
      <c r="Q125" s="15"/>
      <c r="R125" s="17" t="str">
        <f>IF(Q125="","",VLOOKUP(Q125,'References (2)'!C:D,2,0))</f>
        <v/>
      </c>
      <c r="S125" s="17" t="str">
        <f>IF(Q125="","",VLOOKUP(Q125,'References (2)'!C:F,4,0))</f>
        <v/>
      </c>
      <c r="T125" s="16"/>
      <c r="U125" s="20"/>
      <c r="V125" s="15"/>
      <c r="W125" s="22"/>
      <c r="X125" s="16"/>
      <c r="Y125" s="22"/>
      <c r="Z125" s="25" t="str">
        <f t="shared" si="19"/>
        <v/>
      </c>
      <c r="AA125" s="17" t="str">
        <f t="shared" ca="1" si="20"/>
        <v/>
      </c>
      <c r="AB125" s="17" t="str">
        <f t="shared" ca="1" si="21"/>
        <v/>
      </c>
      <c r="AC125" s="17" t="str">
        <f t="shared" ca="1" si="22"/>
        <v/>
      </c>
      <c r="AD125" s="17" t="str">
        <f t="shared" ca="1" si="23"/>
        <v/>
      </c>
      <c r="AE125" s="17" t="str">
        <f t="shared" si="24"/>
        <v/>
      </c>
      <c r="AF125" s="17" t="str">
        <f t="shared" si="25"/>
        <v/>
      </c>
      <c r="AG125" s="17" t="str">
        <f t="shared" si="26"/>
        <v/>
      </c>
      <c r="AH125" s="17">
        <f t="shared" si="27"/>
        <v>0</v>
      </c>
      <c r="AI125" s="17" t="str">
        <f t="shared" ca="1" si="28"/>
        <v/>
      </c>
      <c r="AJ125" s="17" t="str">
        <f t="shared" ca="1" si="29"/>
        <v/>
      </c>
      <c r="AK125" s="17" t="str">
        <f t="shared" si="30"/>
        <v/>
      </c>
      <c r="AL125" s="17" t="str">
        <f t="shared" ca="1" si="31"/>
        <v/>
      </c>
      <c r="AN125" s="24">
        <f t="shared" si="32"/>
        <v>0</v>
      </c>
      <c r="AO125" s="24">
        <f t="shared" si="33"/>
        <v>0</v>
      </c>
      <c r="AP125" s="24">
        <f t="shared" si="34"/>
        <v>0</v>
      </c>
      <c r="AQ125" s="24">
        <f t="shared" si="35"/>
        <v>0</v>
      </c>
      <c r="AR125" s="24">
        <f t="shared" si="36"/>
        <v>0</v>
      </c>
      <c r="AS125" s="24">
        <f t="shared" si="37"/>
        <v>0</v>
      </c>
    </row>
    <row r="126" spans="1:45" x14ac:dyDescent="0.25">
      <c r="A126" s="83"/>
      <c r="B126" s="16"/>
      <c r="C126" s="16"/>
      <c r="D126" s="15"/>
      <c r="E126" s="15"/>
      <c r="F126" s="16"/>
      <c r="G126" s="16"/>
      <c r="H126" s="16"/>
      <c r="I126" s="22"/>
      <c r="J126" s="16"/>
      <c r="K126" s="16"/>
      <c r="L126" s="15"/>
      <c r="M126" s="20"/>
      <c r="N126" s="15"/>
      <c r="O126" s="20"/>
      <c r="P126" s="15"/>
      <c r="Q126" s="15"/>
      <c r="R126" s="17" t="str">
        <f>IF(Q126="","",VLOOKUP(Q126,'References (2)'!C:D,2,0))</f>
        <v/>
      </c>
      <c r="S126" s="17" t="str">
        <f>IF(Q126="","",VLOOKUP(Q126,'References (2)'!C:F,4,0))</f>
        <v/>
      </c>
      <c r="T126" s="16"/>
      <c r="U126" s="20"/>
      <c r="V126" s="15"/>
      <c r="W126" s="22"/>
      <c r="X126" s="16"/>
      <c r="Y126" s="22"/>
      <c r="Z126" s="25" t="str">
        <f t="shared" si="19"/>
        <v/>
      </c>
      <c r="AA126" s="17" t="str">
        <f t="shared" ca="1" si="20"/>
        <v/>
      </c>
      <c r="AB126" s="17" t="str">
        <f t="shared" ca="1" si="21"/>
        <v/>
      </c>
      <c r="AC126" s="17" t="str">
        <f t="shared" ca="1" si="22"/>
        <v/>
      </c>
      <c r="AD126" s="17" t="str">
        <f t="shared" ca="1" si="23"/>
        <v/>
      </c>
      <c r="AE126" s="17" t="str">
        <f t="shared" si="24"/>
        <v/>
      </c>
      <c r="AF126" s="17" t="str">
        <f t="shared" si="25"/>
        <v/>
      </c>
      <c r="AG126" s="17" t="str">
        <f t="shared" si="26"/>
        <v/>
      </c>
      <c r="AH126" s="17">
        <f t="shared" si="27"/>
        <v>0</v>
      </c>
      <c r="AI126" s="17" t="str">
        <f t="shared" ca="1" si="28"/>
        <v/>
      </c>
      <c r="AJ126" s="17" t="str">
        <f t="shared" ca="1" si="29"/>
        <v/>
      </c>
      <c r="AK126" s="17" t="str">
        <f t="shared" si="30"/>
        <v/>
      </c>
      <c r="AL126" s="17" t="str">
        <f t="shared" ca="1" si="31"/>
        <v/>
      </c>
      <c r="AN126" s="24">
        <f t="shared" si="32"/>
        <v>0</v>
      </c>
      <c r="AO126" s="24">
        <f t="shared" si="33"/>
        <v>0</v>
      </c>
      <c r="AP126" s="24">
        <f t="shared" si="34"/>
        <v>0</v>
      </c>
      <c r="AQ126" s="24">
        <f t="shared" si="35"/>
        <v>0</v>
      </c>
      <c r="AR126" s="24">
        <f t="shared" si="36"/>
        <v>0</v>
      </c>
      <c r="AS126" s="24">
        <f t="shared" si="37"/>
        <v>0</v>
      </c>
    </row>
    <row r="127" spans="1:45" x14ac:dyDescent="0.25">
      <c r="A127" s="83"/>
      <c r="B127" s="16"/>
      <c r="C127" s="16"/>
      <c r="D127" s="15"/>
      <c r="E127" s="15"/>
      <c r="F127" s="16"/>
      <c r="G127" s="16"/>
      <c r="H127" s="16"/>
      <c r="I127" s="22"/>
      <c r="J127" s="16"/>
      <c r="K127" s="16"/>
      <c r="L127" s="15"/>
      <c r="M127" s="20"/>
      <c r="N127" s="15"/>
      <c r="O127" s="20"/>
      <c r="P127" s="15"/>
      <c r="Q127" s="15"/>
      <c r="R127" s="17" t="str">
        <f>IF(Q127="","",VLOOKUP(Q127,'References (2)'!C:D,2,0))</f>
        <v/>
      </c>
      <c r="S127" s="17" t="str">
        <f>IF(Q127="","",VLOOKUP(Q127,'References (2)'!C:F,4,0))</f>
        <v/>
      </c>
      <c r="T127" s="16"/>
      <c r="U127" s="20"/>
      <c r="V127" s="15"/>
      <c r="W127" s="22"/>
      <c r="X127" s="16"/>
      <c r="Y127" s="22"/>
      <c r="Z127" s="25" t="str">
        <f t="shared" si="19"/>
        <v/>
      </c>
      <c r="AA127" s="17" t="str">
        <f t="shared" ca="1" si="20"/>
        <v/>
      </c>
      <c r="AB127" s="17" t="str">
        <f t="shared" ca="1" si="21"/>
        <v/>
      </c>
      <c r="AC127" s="17" t="str">
        <f t="shared" ca="1" si="22"/>
        <v/>
      </c>
      <c r="AD127" s="17" t="str">
        <f t="shared" ca="1" si="23"/>
        <v/>
      </c>
      <c r="AE127" s="17" t="str">
        <f t="shared" si="24"/>
        <v/>
      </c>
      <c r="AF127" s="17" t="str">
        <f t="shared" si="25"/>
        <v/>
      </c>
      <c r="AG127" s="17" t="str">
        <f t="shared" si="26"/>
        <v/>
      </c>
      <c r="AH127" s="17">
        <f t="shared" si="27"/>
        <v>0</v>
      </c>
      <c r="AI127" s="17" t="str">
        <f t="shared" ca="1" si="28"/>
        <v/>
      </c>
      <c r="AJ127" s="17" t="str">
        <f t="shared" ca="1" si="29"/>
        <v/>
      </c>
      <c r="AK127" s="17" t="str">
        <f t="shared" si="30"/>
        <v/>
      </c>
      <c r="AL127" s="17" t="str">
        <f t="shared" ca="1" si="31"/>
        <v/>
      </c>
      <c r="AN127" s="24">
        <f t="shared" si="32"/>
        <v>0</v>
      </c>
      <c r="AO127" s="24">
        <f t="shared" si="33"/>
        <v>0</v>
      </c>
      <c r="AP127" s="24">
        <f t="shared" si="34"/>
        <v>0</v>
      </c>
      <c r="AQ127" s="24">
        <f t="shared" si="35"/>
        <v>0</v>
      </c>
      <c r="AR127" s="24">
        <f t="shared" si="36"/>
        <v>0</v>
      </c>
      <c r="AS127" s="24">
        <f t="shared" si="37"/>
        <v>0</v>
      </c>
    </row>
    <row r="128" spans="1:45" x14ac:dyDescent="0.25">
      <c r="A128" s="83"/>
      <c r="B128" s="16"/>
      <c r="C128" s="16"/>
      <c r="D128" s="15"/>
      <c r="E128" s="15"/>
      <c r="F128" s="16"/>
      <c r="G128" s="16"/>
      <c r="H128" s="16"/>
      <c r="I128" s="22"/>
      <c r="J128" s="16"/>
      <c r="K128" s="16"/>
      <c r="L128" s="15"/>
      <c r="M128" s="20"/>
      <c r="N128" s="15"/>
      <c r="O128" s="20"/>
      <c r="P128" s="15"/>
      <c r="Q128" s="15"/>
      <c r="R128" s="17" t="str">
        <f>IF(Q128="","",VLOOKUP(Q128,'References (2)'!C:D,2,0))</f>
        <v/>
      </c>
      <c r="S128" s="17" t="str">
        <f>IF(Q128="","",VLOOKUP(Q128,'References (2)'!C:F,4,0))</f>
        <v/>
      </c>
      <c r="T128" s="16"/>
      <c r="U128" s="20"/>
      <c r="V128" s="15"/>
      <c r="W128" s="22"/>
      <c r="X128" s="16"/>
      <c r="Y128" s="22"/>
      <c r="Z128" s="25" t="str">
        <f t="shared" si="19"/>
        <v/>
      </c>
      <c r="AA128" s="17" t="str">
        <f t="shared" ca="1" si="20"/>
        <v/>
      </c>
      <c r="AB128" s="17" t="str">
        <f t="shared" ca="1" si="21"/>
        <v/>
      </c>
      <c r="AC128" s="17" t="str">
        <f t="shared" ca="1" si="22"/>
        <v/>
      </c>
      <c r="AD128" s="17" t="str">
        <f t="shared" ca="1" si="23"/>
        <v/>
      </c>
      <c r="AE128" s="17" t="str">
        <f t="shared" si="24"/>
        <v/>
      </c>
      <c r="AF128" s="17" t="str">
        <f t="shared" si="25"/>
        <v/>
      </c>
      <c r="AG128" s="17" t="str">
        <f t="shared" si="26"/>
        <v/>
      </c>
      <c r="AH128" s="17">
        <f t="shared" si="27"/>
        <v>0</v>
      </c>
      <c r="AI128" s="17" t="str">
        <f t="shared" ca="1" si="28"/>
        <v/>
      </c>
      <c r="AJ128" s="17" t="str">
        <f t="shared" ca="1" si="29"/>
        <v/>
      </c>
      <c r="AK128" s="17" t="str">
        <f t="shared" si="30"/>
        <v/>
      </c>
      <c r="AL128" s="17" t="str">
        <f t="shared" ca="1" si="31"/>
        <v/>
      </c>
      <c r="AN128" s="24">
        <f t="shared" si="32"/>
        <v>0</v>
      </c>
      <c r="AO128" s="24">
        <f t="shared" si="33"/>
        <v>0</v>
      </c>
      <c r="AP128" s="24">
        <f t="shared" si="34"/>
        <v>0</v>
      </c>
      <c r="AQ128" s="24">
        <f t="shared" si="35"/>
        <v>0</v>
      </c>
      <c r="AR128" s="24">
        <f t="shared" si="36"/>
        <v>0</v>
      </c>
      <c r="AS128" s="24">
        <f t="shared" si="37"/>
        <v>0</v>
      </c>
    </row>
    <row r="129" spans="1:45" x14ac:dyDescent="0.25">
      <c r="A129" s="83"/>
      <c r="B129" s="16"/>
      <c r="C129" s="16"/>
      <c r="D129" s="15"/>
      <c r="E129" s="15"/>
      <c r="F129" s="16"/>
      <c r="G129" s="16"/>
      <c r="H129" s="16"/>
      <c r="I129" s="22"/>
      <c r="J129" s="16"/>
      <c r="K129" s="16"/>
      <c r="L129" s="15"/>
      <c r="M129" s="20"/>
      <c r="N129" s="15"/>
      <c r="O129" s="20"/>
      <c r="P129" s="15"/>
      <c r="Q129" s="15"/>
      <c r="R129" s="17" t="str">
        <f>IF(Q129="","",VLOOKUP(Q129,'References (2)'!C:D,2,0))</f>
        <v/>
      </c>
      <c r="S129" s="17" t="str">
        <f>IF(Q129="","",VLOOKUP(Q129,'References (2)'!C:F,4,0))</f>
        <v/>
      </c>
      <c r="T129" s="16"/>
      <c r="U129" s="20"/>
      <c r="V129" s="15"/>
      <c r="W129" s="22"/>
      <c r="X129" s="16"/>
      <c r="Y129" s="22"/>
      <c r="Z129" s="25" t="str">
        <f t="shared" si="19"/>
        <v/>
      </c>
      <c r="AA129" s="17" t="str">
        <f t="shared" ca="1" si="20"/>
        <v/>
      </c>
      <c r="AB129" s="17" t="str">
        <f t="shared" ca="1" si="21"/>
        <v/>
      </c>
      <c r="AC129" s="17" t="str">
        <f t="shared" ca="1" si="22"/>
        <v/>
      </c>
      <c r="AD129" s="17" t="str">
        <f t="shared" ca="1" si="23"/>
        <v/>
      </c>
      <c r="AE129" s="17" t="str">
        <f t="shared" si="24"/>
        <v/>
      </c>
      <c r="AF129" s="17" t="str">
        <f t="shared" si="25"/>
        <v/>
      </c>
      <c r="AG129" s="17" t="str">
        <f t="shared" si="26"/>
        <v/>
      </c>
      <c r="AH129" s="17">
        <f t="shared" si="27"/>
        <v>0</v>
      </c>
      <c r="AI129" s="17" t="str">
        <f t="shared" ca="1" si="28"/>
        <v/>
      </c>
      <c r="AJ129" s="17" t="str">
        <f t="shared" ca="1" si="29"/>
        <v/>
      </c>
      <c r="AK129" s="17" t="str">
        <f t="shared" si="30"/>
        <v/>
      </c>
      <c r="AL129" s="17" t="str">
        <f t="shared" ca="1" si="31"/>
        <v/>
      </c>
      <c r="AN129" s="24">
        <f t="shared" si="32"/>
        <v>0</v>
      </c>
      <c r="AO129" s="24">
        <f t="shared" si="33"/>
        <v>0</v>
      </c>
      <c r="AP129" s="24">
        <f t="shared" si="34"/>
        <v>0</v>
      </c>
      <c r="AQ129" s="24">
        <f t="shared" si="35"/>
        <v>0</v>
      </c>
      <c r="AR129" s="24">
        <f t="shared" si="36"/>
        <v>0</v>
      </c>
      <c r="AS129" s="24">
        <f t="shared" si="37"/>
        <v>0</v>
      </c>
    </row>
    <row r="130" spans="1:45" x14ac:dyDescent="0.25">
      <c r="A130" s="83"/>
      <c r="B130" s="16"/>
      <c r="C130" s="16"/>
      <c r="D130" s="15"/>
      <c r="E130" s="15"/>
      <c r="F130" s="16"/>
      <c r="G130" s="16"/>
      <c r="H130" s="16"/>
      <c r="I130" s="22"/>
      <c r="J130" s="16"/>
      <c r="K130" s="16"/>
      <c r="L130" s="15"/>
      <c r="M130" s="20"/>
      <c r="N130" s="15"/>
      <c r="O130" s="20"/>
      <c r="P130" s="15"/>
      <c r="Q130" s="15"/>
      <c r="R130" s="17" t="str">
        <f>IF(Q130="","",VLOOKUP(Q130,'References (2)'!C:D,2,0))</f>
        <v/>
      </c>
      <c r="S130" s="17" t="str">
        <f>IF(Q130="","",VLOOKUP(Q130,'References (2)'!C:F,4,0))</f>
        <v/>
      </c>
      <c r="T130" s="16"/>
      <c r="U130" s="20"/>
      <c r="V130" s="15"/>
      <c r="W130" s="22"/>
      <c r="X130" s="16"/>
      <c r="Y130" s="22"/>
      <c r="Z130" s="25" t="str">
        <f t="shared" si="19"/>
        <v/>
      </c>
      <c r="AA130" s="17" t="str">
        <f t="shared" ca="1" si="20"/>
        <v/>
      </c>
      <c r="AB130" s="17" t="str">
        <f t="shared" ca="1" si="21"/>
        <v/>
      </c>
      <c r="AC130" s="17" t="str">
        <f t="shared" ca="1" si="22"/>
        <v/>
      </c>
      <c r="AD130" s="17" t="str">
        <f t="shared" ca="1" si="23"/>
        <v/>
      </c>
      <c r="AE130" s="17" t="str">
        <f t="shared" si="24"/>
        <v/>
      </c>
      <c r="AF130" s="17" t="str">
        <f t="shared" si="25"/>
        <v/>
      </c>
      <c r="AG130" s="17" t="str">
        <f t="shared" si="26"/>
        <v/>
      </c>
      <c r="AH130" s="17">
        <f t="shared" si="27"/>
        <v>0</v>
      </c>
      <c r="AI130" s="17" t="str">
        <f t="shared" ca="1" si="28"/>
        <v/>
      </c>
      <c r="AJ130" s="17" t="str">
        <f t="shared" ca="1" si="29"/>
        <v/>
      </c>
      <c r="AK130" s="17" t="str">
        <f t="shared" si="30"/>
        <v/>
      </c>
      <c r="AL130" s="17" t="str">
        <f t="shared" ca="1" si="31"/>
        <v/>
      </c>
      <c r="AN130" s="24">
        <f t="shared" si="32"/>
        <v>0</v>
      </c>
      <c r="AO130" s="24">
        <f t="shared" si="33"/>
        <v>0</v>
      </c>
      <c r="AP130" s="24">
        <f t="shared" si="34"/>
        <v>0</v>
      </c>
      <c r="AQ130" s="24">
        <f t="shared" si="35"/>
        <v>0</v>
      </c>
      <c r="AR130" s="24">
        <f t="shared" si="36"/>
        <v>0</v>
      </c>
      <c r="AS130" s="24">
        <f t="shared" si="37"/>
        <v>0</v>
      </c>
    </row>
    <row r="131" spans="1:45" x14ac:dyDescent="0.25">
      <c r="A131" s="83"/>
      <c r="B131" s="16"/>
      <c r="C131" s="16"/>
      <c r="D131" s="15"/>
      <c r="E131" s="15"/>
      <c r="F131" s="16"/>
      <c r="G131" s="16"/>
      <c r="H131" s="16"/>
      <c r="I131" s="22"/>
      <c r="J131" s="16"/>
      <c r="K131" s="16"/>
      <c r="L131" s="15"/>
      <c r="M131" s="20"/>
      <c r="N131" s="15"/>
      <c r="O131" s="20"/>
      <c r="P131" s="15"/>
      <c r="Q131" s="15"/>
      <c r="R131" s="17" t="str">
        <f>IF(Q131="","",VLOOKUP(Q131,'References (2)'!C:D,2,0))</f>
        <v/>
      </c>
      <c r="S131" s="17" t="str">
        <f>IF(Q131="","",VLOOKUP(Q131,'References (2)'!C:F,4,0))</f>
        <v/>
      </c>
      <c r="T131" s="16"/>
      <c r="U131" s="20"/>
      <c r="V131" s="15"/>
      <c r="W131" s="22"/>
      <c r="X131" s="16"/>
      <c r="Y131" s="22"/>
      <c r="Z131" s="25" t="str">
        <f t="shared" ref="Z131:Z194" si="38">IF(B131="","",IF(AN131=1,$AN$2,IF(AO131=1,$AO$2,IF(AP131=1,$AP$2,IF(AQ131=1,$AQ$2,IF(AR131=1,$AR$2,IF(AS131=1,$AS$2,"INCORRECT DATA INPUT")))))))</f>
        <v/>
      </c>
      <c r="AA131" s="17" t="str">
        <f t="shared" ref="AA131:AA194" ca="1" si="39">IF(I131="","",IF(M131="",TODAY()-I131,M131-I131))</f>
        <v/>
      </c>
      <c r="AB131" s="17" t="str">
        <f t="shared" ref="AB131:AB194" ca="1" si="40">IF(AA131="","",IF(AA131&lt;=0,0,AA131-1))</f>
        <v/>
      </c>
      <c r="AC131" s="17" t="str">
        <f t="shared" ref="AC131:AC194" ca="1" si="41">IF(AA131="","",IF(AA131&gt;1,"EXCEEDED SLA","WITHIN SLA"))</f>
        <v/>
      </c>
      <c r="AD131" s="17" t="str">
        <f t="shared" ref="AD131:AD194" ca="1" si="42">IF(M131="","",IF(W131="",TODAY()-M131,W131-M131))</f>
        <v/>
      </c>
      <c r="AE131" s="17" t="str">
        <f t="shared" ref="AE131:AE194" si="43">IF(M131="","",IF(S131="WFM",AD131,AD131-1))</f>
        <v/>
      </c>
      <c r="AF131" s="17" t="str">
        <f t="shared" ref="AF131:AF194" si="44">IF(AE131&lt;0,0,AE131)</f>
        <v/>
      </c>
      <c r="AG131" s="17" t="str">
        <f t="shared" ref="AG131:AG194" si="45">IF(M131="","",IF(S131="WFM","WFM SLA",IF(AE131&gt;0,"EXCEEDED SLA","WITHIN SLA")))</f>
        <v/>
      </c>
      <c r="AH131" s="17">
        <f t="shared" ref="AH131:AH194" si="46">Y131-W131</f>
        <v>0</v>
      </c>
      <c r="AI131" s="17" t="str">
        <f t="shared" ref="AI131:AI194" ca="1" si="47">IF(W131="","",IF(Y131="",TODAY()-W131-R131,Y131-W131-R131))</f>
        <v/>
      </c>
      <c r="AJ131" s="17" t="str">
        <f t="shared" ref="AJ131:AJ194" ca="1" si="48">IF(AI131&lt;=0,0,AI131)</f>
        <v/>
      </c>
      <c r="AK131" s="17" t="str">
        <f t="shared" ref="AK131:AK194" si="49">IF(W131="","",IF(AJ131&lt;1,"WITHIN SLA","EXCEEDED SLA"))</f>
        <v/>
      </c>
      <c r="AL131" s="17" t="str">
        <f t="shared" ref="AL131:AL194" ca="1" si="50">IF(B131="","",IF(K131="DONE",Y131-I131,TODAY()-I131))</f>
        <v/>
      </c>
      <c r="AN131" s="24">
        <f t="shared" ref="AN131:AN194" si="51">IF(AND(K131="DONE",Y131&gt;0,AK131="WITHIN SLA"),1,0)</f>
        <v>0</v>
      </c>
      <c r="AO131" s="24">
        <f t="shared" ref="AO131:AO194" si="52">IF(AND(K131="DONE",Y131&gt;0,AK131="EXCEEDED SLA"),1,0)</f>
        <v>0</v>
      </c>
      <c r="AP131" s="24">
        <f t="shared" ref="AP131:AP194" si="53">IF(AND(K131="PENDING",L131="AWAITING FROM CSMP"),1,0)</f>
        <v>0</v>
      </c>
      <c r="AQ131" s="24">
        <f t="shared" ref="AQ131:AQ194" si="54">IF(AND(K131="PENDING",L131="WATO ON-HAND",M131&gt;0,S131="WATO",W131=0),1,0)</f>
        <v>0</v>
      </c>
      <c r="AR131" s="24">
        <f t="shared" ref="AR131:AR194" si="55">IF(AND(K131="PENDING",L131="SUBMITTED TO WFM",M131&gt;0,S131="WFM",W131=0),1,0)</f>
        <v>0</v>
      </c>
      <c r="AS131" s="24">
        <f t="shared" ref="AS131:AS194" si="56">IF(AND(K131="PENDING",W131&gt;0),1,0)</f>
        <v>0</v>
      </c>
    </row>
    <row r="132" spans="1:45" x14ac:dyDescent="0.25">
      <c r="A132" s="83"/>
      <c r="B132" s="16"/>
      <c r="C132" s="16"/>
      <c r="D132" s="15"/>
      <c r="E132" s="15"/>
      <c r="F132" s="16"/>
      <c r="G132" s="16"/>
      <c r="H132" s="16"/>
      <c r="I132" s="22"/>
      <c r="J132" s="16"/>
      <c r="K132" s="16"/>
      <c r="L132" s="15"/>
      <c r="M132" s="20"/>
      <c r="N132" s="15"/>
      <c r="O132" s="20"/>
      <c r="P132" s="15"/>
      <c r="Q132" s="15"/>
      <c r="R132" s="17" t="str">
        <f>IF(Q132="","",VLOOKUP(Q132,'References (2)'!C:D,2,0))</f>
        <v/>
      </c>
      <c r="S132" s="17" t="str">
        <f>IF(Q132="","",VLOOKUP(Q132,'References (2)'!C:F,4,0))</f>
        <v/>
      </c>
      <c r="T132" s="16"/>
      <c r="U132" s="20"/>
      <c r="V132" s="15"/>
      <c r="W132" s="22"/>
      <c r="X132" s="16"/>
      <c r="Y132" s="22"/>
      <c r="Z132" s="25" t="str">
        <f t="shared" si="38"/>
        <v/>
      </c>
      <c r="AA132" s="17" t="str">
        <f t="shared" ca="1" si="39"/>
        <v/>
      </c>
      <c r="AB132" s="17" t="str">
        <f t="shared" ca="1" si="40"/>
        <v/>
      </c>
      <c r="AC132" s="17" t="str">
        <f t="shared" ca="1" si="41"/>
        <v/>
      </c>
      <c r="AD132" s="17" t="str">
        <f t="shared" ca="1" si="42"/>
        <v/>
      </c>
      <c r="AE132" s="17" t="str">
        <f t="shared" si="43"/>
        <v/>
      </c>
      <c r="AF132" s="17" t="str">
        <f t="shared" si="44"/>
        <v/>
      </c>
      <c r="AG132" s="17" t="str">
        <f t="shared" si="45"/>
        <v/>
      </c>
      <c r="AH132" s="17">
        <f t="shared" si="46"/>
        <v>0</v>
      </c>
      <c r="AI132" s="17" t="str">
        <f t="shared" ca="1" si="47"/>
        <v/>
      </c>
      <c r="AJ132" s="17" t="str">
        <f t="shared" ca="1" si="48"/>
        <v/>
      </c>
      <c r="AK132" s="17" t="str">
        <f t="shared" si="49"/>
        <v/>
      </c>
      <c r="AL132" s="17" t="str">
        <f t="shared" ca="1" si="50"/>
        <v/>
      </c>
      <c r="AN132" s="24">
        <f t="shared" si="51"/>
        <v>0</v>
      </c>
      <c r="AO132" s="24">
        <f t="shared" si="52"/>
        <v>0</v>
      </c>
      <c r="AP132" s="24">
        <f t="shared" si="53"/>
        <v>0</v>
      </c>
      <c r="AQ132" s="24">
        <f t="shared" si="54"/>
        <v>0</v>
      </c>
      <c r="AR132" s="24">
        <f t="shared" si="55"/>
        <v>0</v>
      </c>
      <c r="AS132" s="24">
        <f t="shared" si="56"/>
        <v>0</v>
      </c>
    </row>
    <row r="133" spans="1:45" x14ac:dyDescent="0.25">
      <c r="A133" s="83"/>
      <c r="B133" s="16"/>
      <c r="C133" s="16"/>
      <c r="D133" s="15"/>
      <c r="E133" s="15"/>
      <c r="F133" s="16"/>
      <c r="G133" s="16"/>
      <c r="H133" s="16"/>
      <c r="I133" s="22"/>
      <c r="J133" s="16"/>
      <c r="K133" s="16"/>
      <c r="L133" s="15"/>
      <c r="M133" s="20"/>
      <c r="N133" s="15"/>
      <c r="O133" s="20"/>
      <c r="P133" s="15"/>
      <c r="Q133" s="15"/>
      <c r="R133" s="17" t="str">
        <f>IF(Q133="","",VLOOKUP(Q133,'References (2)'!C:D,2,0))</f>
        <v/>
      </c>
      <c r="S133" s="17" t="str">
        <f>IF(Q133="","",VLOOKUP(Q133,'References (2)'!C:F,4,0))</f>
        <v/>
      </c>
      <c r="T133" s="16"/>
      <c r="U133" s="20"/>
      <c r="V133" s="15"/>
      <c r="W133" s="22"/>
      <c r="X133" s="16"/>
      <c r="Y133" s="22"/>
      <c r="Z133" s="25" t="str">
        <f t="shared" si="38"/>
        <v/>
      </c>
      <c r="AA133" s="17" t="str">
        <f t="shared" ca="1" si="39"/>
        <v/>
      </c>
      <c r="AB133" s="17" t="str">
        <f t="shared" ca="1" si="40"/>
        <v/>
      </c>
      <c r="AC133" s="17" t="str">
        <f t="shared" ca="1" si="41"/>
        <v/>
      </c>
      <c r="AD133" s="17" t="str">
        <f t="shared" ca="1" si="42"/>
        <v/>
      </c>
      <c r="AE133" s="17" t="str">
        <f t="shared" si="43"/>
        <v/>
      </c>
      <c r="AF133" s="17" t="str">
        <f t="shared" si="44"/>
        <v/>
      </c>
      <c r="AG133" s="17" t="str">
        <f t="shared" si="45"/>
        <v/>
      </c>
      <c r="AH133" s="17">
        <f t="shared" si="46"/>
        <v>0</v>
      </c>
      <c r="AI133" s="17" t="str">
        <f t="shared" ca="1" si="47"/>
        <v/>
      </c>
      <c r="AJ133" s="17" t="str">
        <f t="shared" ca="1" si="48"/>
        <v/>
      </c>
      <c r="AK133" s="17" t="str">
        <f t="shared" si="49"/>
        <v/>
      </c>
      <c r="AL133" s="17" t="str">
        <f t="shared" ca="1" si="50"/>
        <v/>
      </c>
      <c r="AN133" s="24">
        <f t="shared" si="51"/>
        <v>0</v>
      </c>
      <c r="AO133" s="24">
        <f t="shared" si="52"/>
        <v>0</v>
      </c>
      <c r="AP133" s="24">
        <f t="shared" si="53"/>
        <v>0</v>
      </c>
      <c r="AQ133" s="24">
        <f t="shared" si="54"/>
        <v>0</v>
      </c>
      <c r="AR133" s="24">
        <f t="shared" si="55"/>
        <v>0</v>
      </c>
      <c r="AS133" s="24">
        <f t="shared" si="56"/>
        <v>0</v>
      </c>
    </row>
    <row r="134" spans="1:45" x14ac:dyDescent="0.25">
      <c r="A134" s="83"/>
      <c r="B134" s="16"/>
      <c r="C134" s="16"/>
      <c r="D134" s="15"/>
      <c r="E134" s="15"/>
      <c r="F134" s="16"/>
      <c r="G134" s="16"/>
      <c r="H134" s="16"/>
      <c r="I134" s="22"/>
      <c r="J134" s="16"/>
      <c r="K134" s="16"/>
      <c r="L134" s="15"/>
      <c r="M134" s="20"/>
      <c r="N134" s="15"/>
      <c r="O134" s="20"/>
      <c r="P134" s="15"/>
      <c r="Q134" s="15"/>
      <c r="R134" s="17" t="str">
        <f>IF(Q134="","",VLOOKUP(Q134,'References (2)'!C:D,2,0))</f>
        <v/>
      </c>
      <c r="S134" s="17" t="str">
        <f>IF(Q134="","",VLOOKUP(Q134,'References (2)'!C:F,4,0))</f>
        <v/>
      </c>
      <c r="T134" s="16"/>
      <c r="U134" s="20"/>
      <c r="V134" s="15"/>
      <c r="W134" s="22"/>
      <c r="X134" s="16"/>
      <c r="Y134" s="22"/>
      <c r="Z134" s="25" t="str">
        <f t="shared" si="38"/>
        <v/>
      </c>
      <c r="AA134" s="17" t="str">
        <f t="shared" ca="1" si="39"/>
        <v/>
      </c>
      <c r="AB134" s="17" t="str">
        <f t="shared" ca="1" si="40"/>
        <v/>
      </c>
      <c r="AC134" s="17" t="str">
        <f t="shared" ca="1" si="41"/>
        <v/>
      </c>
      <c r="AD134" s="17" t="str">
        <f t="shared" ca="1" si="42"/>
        <v/>
      </c>
      <c r="AE134" s="17" t="str">
        <f t="shared" si="43"/>
        <v/>
      </c>
      <c r="AF134" s="17" t="str">
        <f t="shared" si="44"/>
        <v/>
      </c>
      <c r="AG134" s="17" t="str">
        <f t="shared" si="45"/>
        <v/>
      </c>
      <c r="AH134" s="17">
        <f t="shared" si="46"/>
        <v>0</v>
      </c>
      <c r="AI134" s="17" t="str">
        <f t="shared" ca="1" si="47"/>
        <v/>
      </c>
      <c r="AJ134" s="17" t="str">
        <f t="shared" ca="1" si="48"/>
        <v/>
      </c>
      <c r="AK134" s="17" t="str">
        <f t="shared" si="49"/>
        <v/>
      </c>
      <c r="AL134" s="17" t="str">
        <f t="shared" ca="1" si="50"/>
        <v/>
      </c>
      <c r="AN134" s="24">
        <f t="shared" si="51"/>
        <v>0</v>
      </c>
      <c r="AO134" s="24">
        <f t="shared" si="52"/>
        <v>0</v>
      </c>
      <c r="AP134" s="24">
        <f t="shared" si="53"/>
        <v>0</v>
      </c>
      <c r="AQ134" s="24">
        <f t="shared" si="54"/>
        <v>0</v>
      </c>
      <c r="AR134" s="24">
        <f t="shared" si="55"/>
        <v>0</v>
      </c>
      <c r="AS134" s="24">
        <f t="shared" si="56"/>
        <v>0</v>
      </c>
    </row>
    <row r="135" spans="1:45" x14ac:dyDescent="0.25">
      <c r="A135" s="83"/>
      <c r="B135" s="16"/>
      <c r="C135" s="16"/>
      <c r="D135" s="15"/>
      <c r="E135" s="15"/>
      <c r="F135" s="16"/>
      <c r="G135" s="16"/>
      <c r="H135" s="16"/>
      <c r="I135" s="22"/>
      <c r="J135" s="16"/>
      <c r="K135" s="16"/>
      <c r="L135" s="15"/>
      <c r="M135" s="20"/>
      <c r="N135" s="15"/>
      <c r="O135" s="20"/>
      <c r="P135" s="15"/>
      <c r="Q135" s="15"/>
      <c r="R135" s="17" t="str">
        <f>IF(Q135="","",VLOOKUP(Q135,'References (2)'!C:D,2,0))</f>
        <v/>
      </c>
      <c r="S135" s="17" t="str">
        <f>IF(Q135="","",VLOOKUP(Q135,'References (2)'!C:F,4,0))</f>
        <v/>
      </c>
      <c r="T135" s="16"/>
      <c r="U135" s="20"/>
      <c r="V135" s="15"/>
      <c r="W135" s="22"/>
      <c r="X135" s="16"/>
      <c r="Y135" s="22"/>
      <c r="Z135" s="25" t="str">
        <f t="shared" si="38"/>
        <v/>
      </c>
      <c r="AA135" s="17" t="str">
        <f t="shared" ca="1" si="39"/>
        <v/>
      </c>
      <c r="AB135" s="17" t="str">
        <f t="shared" ca="1" si="40"/>
        <v/>
      </c>
      <c r="AC135" s="17" t="str">
        <f t="shared" ca="1" si="41"/>
        <v/>
      </c>
      <c r="AD135" s="17" t="str">
        <f t="shared" ca="1" si="42"/>
        <v/>
      </c>
      <c r="AE135" s="17" t="str">
        <f t="shared" si="43"/>
        <v/>
      </c>
      <c r="AF135" s="17" t="str">
        <f t="shared" si="44"/>
        <v/>
      </c>
      <c r="AG135" s="17" t="str">
        <f t="shared" si="45"/>
        <v/>
      </c>
      <c r="AH135" s="17">
        <f t="shared" si="46"/>
        <v>0</v>
      </c>
      <c r="AI135" s="17" t="str">
        <f t="shared" ca="1" si="47"/>
        <v/>
      </c>
      <c r="AJ135" s="17" t="str">
        <f t="shared" ca="1" si="48"/>
        <v/>
      </c>
      <c r="AK135" s="17" t="str">
        <f t="shared" si="49"/>
        <v/>
      </c>
      <c r="AL135" s="17" t="str">
        <f t="shared" ca="1" si="50"/>
        <v/>
      </c>
      <c r="AN135" s="24">
        <f t="shared" si="51"/>
        <v>0</v>
      </c>
      <c r="AO135" s="24">
        <f t="shared" si="52"/>
        <v>0</v>
      </c>
      <c r="AP135" s="24">
        <f t="shared" si="53"/>
        <v>0</v>
      </c>
      <c r="AQ135" s="24">
        <f t="shared" si="54"/>
        <v>0</v>
      </c>
      <c r="AR135" s="24">
        <f t="shared" si="55"/>
        <v>0</v>
      </c>
      <c r="AS135" s="24">
        <f t="shared" si="56"/>
        <v>0</v>
      </c>
    </row>
    <row r="136" spans="1:45" x14ac:dyDescent="0.25">
      <c r="A136" s="83"/>
      <c r="B136" s="16"/>
      <c r="C136" s="16"/>
      <c r="D136" s="15"/>
      <c r="E136" s="15"/>
      <c r="F136" s="16"/>
      <c r="G136" s="16"/>
      <c r="H136" s="16"/>
      <c r="I136" s="22"/>
      <c r="J136" s="16"/>
      <c r="K136" s="16"/>
      <c r="L136" s="15"/>
      <c r="M136" s="20"/>
      <c r="N136" s="15"/>
      <c r="O136" s="20"/>
      <c r="P136" s="15"/>
      <c r="Q136" s="15"/>
      <c r="R136" s="17" t="str">
        <f>IF(Q136="","",VLOOKUP(Q136,'References (2)'!C:D,2,0))</f>
        <v/>
      </c>
      <c r="S136" s="17" t="str">
        <f>IF(Q136="","",VLOOKUP(Q136,'References (2)'!C:F,4,0))</f>
        <v/>
      </c>
      <c r="T136" s="16"/>
      <c r="U136" s="20"/>
      <c r="V136" s="15"/>
      <c r="W136" s="22"/>
      <c r="X136" s="16"/>
      <c r="Y136" s="22"/>
      <c r="Z136" s="25" t="str">
        <f t="shared" si="38"/>
        <v/>
      </c>
      <c r="AA136" s="17" t="str">
        <f t="shared" ca="1" si="39"/>
        <v/>
      </c>
      <c r="AB136" s="17" t="str">
        <f t="shared" ca="1" si="40"/>
        <v/>
      </c>
      <c r="AC136" s="17" t="str">
        <f t="shared" ca="1" si="41"/>
        <v/>
      </c>
      <c r="AD136" s="17" t="str">
        <f t="shared" ca="1" si="42"/>
        <v/>
      </c>
      <c r="AE136" s="17" t="str">
        <f t="shared" si="43"/>
        <v/>
      </c>
      <c r="AF136" s="17" t="str">
        <f t="shared" si="44"/>
        <v/>
      </c>
      <c r="AG136" s="17" t="str">
        <f t="shared" si="45"/>
        <v/>
      </c>
      <c r="AH136" s="17">
        <f t="shared" si="46"/>
        <v>0</v>
      </c>
      <c r="AI136" s="17" t="str">
        <f t="shared" ca="1" si="47"/>
        <v/>
      </c>
      <c r="AJ136" s="17" t="str">
        <f t="shared" ca="1" si="48"/>
        <v/>
      </c>
      <c r="AK136" s="17" t="str">
        <f t="shared" si="49"/>
        <v/>
      </c>
      <c r="AL136" s="17" t="str">
        <f t="shared" ca="1" si="50"/>
        <v/>
      </c>
      <c r="AN136" s="24">
        <f t="shared" si="51"/>
        <v>0</v>
      </c>
      <c r="AO136" s="24">
        <f t="shared" si="52"/>
        <v>0</v>
      </c>
      <c r="AP136" s="24">
        <f t="shared" si="53"/>
        <v>0</v>
      </c>
      <c r="AQ136" s="24">
        <f t="shared" si="54"/>
        <v>0</v>
      </c>
      <c r="AR136" s="24">
        <f t="shared" si="55"/>
        <v>0</v>
      </c>
      <c r="AS136" s="24">
        <f t="shared" si="56"/>
        <v>0</v>
      </c>
    </row>
    <row r="137" spans="1:45" x14ac:dyDescent="0.25">
      <c r="A137" s="83"/>
      <c r="B137" s="16"/>
      <c r="C137" s="16"/>
      <c r="D137" s="15"/>
      <c r="E137" s="15"/>
      <c r="F137" s="16"/>
      <c r="G137" s="16"/>
      <c r="H137" s="16"/>
      <c r="I137" s="22"/>
      <c r="J137" s="16"/>
      <c r="K137" s="16"/>
      <c r="L137" s="15"/>
      <c r="M137" s="20"/>
      <c r="N137" s="15"/>
      <c r="O137" s="20"/>
      <c r="P137" s="15"/>
      <c r="Q137" s="15"/>
      <c r="R137" s="17" t="str">
        <f>IF(Q137="","",VLOOKUP(Q137,'References (2)'!C:D,2,0))</f>
        <v/>
      </c>
      <c r="S137" s="17" t="str">
        <f>IF(Q137="","",VLOOKUP(Q137,'References (2)'!C:F,4,0))</f>
        <v/>
      </c>
      <c r="T137" s="16"/>
      <c r="U137" s="20"/>
      <c r="V137" s="15"/>
      <c r="W137" s="22"/>
      <c r="X137" s="16"/>
      <c r="Y137" s="22"/>
      <c r="Z137" s="25" t="str">
        <f t="shared" si="38"/>
        <v/>
      </c>
      <c r="AA137" s="17" t="str">
        <f t="shared" ca="1" si="39"/>
        <v/>
      </c>
      <c r="AB137" s="17" t="str">
        <f t="shared" ca="1" si="40"/>
        <v/>
      </c>
      <c r="AC137" s="17" t="str">
        <f t="shared" ca="1" si="41"/>
        <v/>
      </c>
      <c r="AD137" s="17" t="str">
        <f t="shared" ca="1" si="42"/>
        <v/>
      </c>
      <c r="AE137" s="17" t="str">
        <f t="shared" si="43"/>
        <v/>
      </c>
      <c r="AF137" s="17" t="str">
        <f t="shared" si="44"/>
        <v/>
      </c>
      <c r="AG137" s="17" t="str">
        <f t="shared" si="45"/>
        <v/>
      </c>
      <c r="AH137" s="17">
        <f t="shared" si="46"/>
        <v>0</v>
      </c>
      <c r="AI137" s="17" t="str">
        <f t="shared" ca="1" si="47"/>
        <v/>
      </c>
      <c r="AJ137" s="17" t="str">
        <f t="shared" ca="1" si="48"/>
        <v/>
      </c>
      <c r="AK137" s="17" t="str">
        <f t="shared" si="49"/>
        <v/>
      </c>
      <c r="AL137" s="17" t="str">
        <f t="shared" ca="1" si="50"/>
        <v/>
      </c>
      <c r="AN137" s="24">
        <f t="shared" si="51"/>
        <v>0</v>
      </c>
      <c r="AO137" s="24">
        <f t="shared" si="52"/>
        <v>0</v>
      </c>
      <c r="AP137" s="24">
        <f t="shared" si="53"/>
        <v>0</v>
      </c>
      <c r="AQ137" s="24">
        <f t="shared" si="54"/>
        <v>0</v>
      </c>
      <c r="AR137" s="24">
        <f t="shared" si="55"/>
        <v>0</v>
      </c>
      <c r="AS137" s="24">
        <f t="shared" si="56"/>
        <v>0</v>
      </c>
    </row>
    <row r="138" spans="1:45" x14ac:dyDescent="0.25">
      <c r="A138" s="83"/>
      <c r="B138" s="16"/>
      <c r="C138" s="16"/>
      <c r="D138" s="15"/>
      <c r="E138" s="15"/>
      <c r="F138" s="16"/>
      <c r="G138" s="16"/>
      <c r="H138" s="16"/>
      <c r="I138" s="22"/>
      <c r="J138" s="16"/>
      <c r="K138" s="16"/>
      <c r="L138" s="15"/>
      <c r="M138" s="20"/>
      <c r="N138" s="15"/>
      <c r="O138" s="20"/>
      <c r="P138" s="15"/>
      <c r="Q138" s="15"/>
      <c r="R138" s="17" t="str">
        <f>IF(Q138="","",VLOOKUP(Q138,'References (2)'!C:D,2,0))</f>
        <v/>
      </c>
      <c r="S138" s="17" t="str">
        <f>IF(Q138="","",VLOOKUP(Q138,'References (2)'!C:F,4,0))</f>
        <v/>
      </c>
      <c r="T138" s="16"/>
      <c r="U138" s="20"/>
      <c r="V138" s="15"/>
      <c r="W138" s="22"/>
      <c r="X138" s="16"/>
      <c r="Y138" s="22"/>
      <c r="Z138" s="25" t="str">
        <f t="shared" si="38"/>
        <v/>
      </c>
      <c r="AA138" s="17" t="str">
        <f t="shared" ca="1" si="39"/>
        <v/>
      </c>
      <c r="AB138" s="17" t="str">
        <f t="shared" ca="1" si="40"/>
        <v/>
      </c>
      <c r="AC138" s="17" t="str">
        <f t="shared" ca="1" si="41"/>
        <v/>
      </c>
      <c r="AD138" s="17" t="str">
        <f t="shared" ca="1" si="42"/>
        <v/>
      </c>
      <c r="AE138" s="17" t="str">
        <f t="shared" si="43"/>
        <v/>
      </c>
      <c r="AF138" s="17" t="str">
        <f t="shared" si="44"/>
        <v/>
      </c>
      <c r="AG138" s="17" t="str">
        <f t="shared" si="45"/>
        <v/>
      </c>
      <c r="AH138" s="17">
        <f t="shared" si="46"/>
        <v>0</v>
      </c>
      <c r="AI138" s="17" t="str">
        <f t="shared" ca="1" si="47"/>
        <v/>
      </c>
      <c r="AJ138" s="17" t="str">
        <f t="shared" ca="1" si="48"/>
        <v/>
      </c>
      <c r="AK138" s="17" t="str">
        <f t="shared" si="49"/>
        <v/>
      </c>
      <c r="AL138" s="17" t="str">
        <f t="shared" ca="1" si="50"/>
        <v/>
      </c>
      <c r="AN138" s="24">
        <f t="shared" si="51"/>
        <v>0</v>
      </c>
      <c r="AO138" s="24">
        <f t="shared" si="52"/>
        <v>0</v>
      </c>
      <c r="AP138" s="24">
        <f t="shared" si="53"/>
        <v>0</v>
      </c>
      <c r="AQ138" s="24">
        <f t="shared" si="54"/>
        <v>0</v>
      </c>
      <c r="AR138" s="24">
        <f t="shared" si="55"/>
        <v>0</v>
      </c>
      <c r="AS138" s="24">
        <f t="shared" si="56"/>
        <v>0</v>
      </c>
    </row>
    <row r="139" spans="1:45" x14ac:dyDescent="0.25">
      <c r="A139" s="83"/>
      <c r="B139" s="16"/>
      <c r="C139" s="16"/>
      <c r="D139" s="15"/>
      <c r="E139" s="15"/>
      <c r="F139" s="16"/>
      <c r="G139" s="16"/>
      <c r="H139" s="16"/>
      <c r="I139" s="22"/>
      <c r="J139" s="16"/>
      <c r="K139" s="16"/>
      <c r="L139" s="15"/>
      <c r="M139" s="20"/>
      <c r="N139" s="15"/>
      <c r="O139" s="20"/>
      <c r="P139" s="15"/>
      <c r="Q139" s="15"/>
      <c r="R139" s="17" t="str">
        <f>IF(Q139="","",VLOOKUP(Q139,'References (2)'!C:D,2,0))</f>
        <v/>
      </c>
      <c r="S139" s="17" t="str">
        <f>IF(Q139="","",VLOOKUP(Q139,'References (2)'!C:F,4,0))</f>
        <v/>
      </c>
      <c r="T139" s="16"/>
      <c r="U139" s="20"/>
      <c r="V139" s="15"/>
      <c r="W139" s="22"/>
      <c r="X139" s="16"/>
      <c r="Y139" s="22"/>
      <c r="Z139" s="25" t="str">
        <f t="shared" si="38"/>
        <v/>
      </c>
      <c r="AA139" s="17" t="str">
        <f t="shared" ca="1" si="39"/>
        <v/>
      </c>
      <c r="AB139" s="17" t="str">
        <f t="shared" ca="1" si="40"/>
        <v/>
      </c>
      <c r="AC139" s="17" t="str">
        <f t="shared" ca="1" si="41"/>
        <v/>
      </c>
      <c r="AD139" s="17" t="str">
        <f t="shared" ca="1" si="42"/>
        <v/>
      </c>
      <c r="AE139" s="17" t="str">
        <f t="shared" si="43"/>
        <v/>
      </c>
      <c r="AF139" s="17" t="str">
        <f t="shared" si="44"/>
        <v/>
      </c>
      <c r="AG139" s="17" t="str">
        <f t="shared" si="45"/>
        <v/>
      </c>
      <c r="AH139" s="17">
        <f t="shared" si="46"/>
        <v>0</v>
      </c>
      <c r="AI139" s="17" t="str">
        <f t="shared" ca="1" si="47"/>
        <v/>
      </c>
      <c r="AJ139" s="17" t="str">
        <f t="shared" ca="1" si="48"/>
        <v/>
      </c>
      <c r="AK139" s="17" t="str">
        <f t="shared" si="49"/>
        <v/>
      </c>
      <c r="AL139" s="17" t="str">
        <f t="shared" ca="1" si="50"/>
        <v/>
      </c>
      <c r="AN139" s="24">
        <f t="shared" si="51"/>
        <v>0</v>
      </c>
      <c r="AO139" s="24">
        <f t="shared" si="52"/>
        <v>0</v>
      </c>
      <c r="AP139" s="24">
        <f t="shared" si="53"/>
        <v>0</v>
      </c>
      <c r="AQ139" s="24">
        <f t="shared" si="54"/>
        <v>0</v>
      </c>
      <c r="AR139" s="24">
        <f t="shared" si="55"/>
        <v>0</v>
      </c>
      <c r="AS139" s="24">
        <f t="shared" si="56"/>
        <v>0</v>
      </c>
    </row>
    <row r="140" spans="1:45" x14ac:dyDescent="0.25">
      <c r="A140" s="83"/>
      <c r="B140" s="16"/>
      <c r="C140" s="16"/>
      <c r="D140" s="15"/>
      <c r="E140" s="15"/>
      <c r="F140" s="16"/>
      <c r="G140" s="16"/>
      <c r="H140" s="16"/>
      <c r="I140" s="22"/>
      <c r="J140" s="16"/>
      <c r="K140" s="16"/>
      <c r="L140" s="15"/>
      <c r="M140" s="20"/>
      <c r="N140" s="15"/>
      <c r="O140" s="20"/>
      <c r="P140" s="15"/>
      <c r="Q140" s="15"/>
      <c r="R140" s="17" t="str">
        <f>IF(Q140="","",VLOOKUP(Q140,'References (2)'!C:D,2,0))</f>
        <v/>
      </c>
      <c r="S140" s="17" t="str">
        <f>IF(Q140="","",VLOOKUP(Q140,'References (2)'!C:F,4,0))</f>
        <v/>
      </c>
      <c r="T140" s="16"/>
      <c r="U140" s="20"/>
      <c r="V140" s="15"/>
      <c r="W140" s="22"/>
      <c r="X140" s="16"/>
      <c r="Y140" s="22"/>
      <c r="Z140" s="25" t="str">
        <f t="shared" si="38"/>
        <v/>
      </c>
      <c r="AA140" s="17" t="str">
        <f t="shared" ca="1" si="39"/>
        <v/>
      </c>
      <c r="AB140" s="17" t="str">
        <f t="shared" ca="1" si="40"/>
        <v/>
      </c>
      <c r="AC140" s="17" t="str">
        <f t="shared" ca="1" si="41"/>
        <v/>
      </c>
      <c r="AD140" s="17" t="str">
        <f t="shared" ca="1" si="42"/>
        <v/>
      </c>
      <c r="AE140" s="17" t="str">
        <f t="shared" si="43"/>
        <v/>
      </c>
      <c r="AF140" s="17" t="str">
        <f t="shared" si="44"/>
        <v/>
      </c>
      <c r="AG140" s="17" t="str">
        <f t="shared" si="45"/>
        <v/>
      </c>
      <c r="AH140" s="17">
        <f t="shared" si="46"/>
        <v>0</v>
      </c>
      <c r="AI140" s="17" t="str">
        <f t="shared" ca="1" si="47"/>
        <v/>
      </c>
      <c r="AJ140" s="17" t="str">
        <f t="shared" ca="1" si="48"/>
        <v/>
      </c>
      <c r="AK140" s="17" t="str">
        <f t="shared" si="49"/>
        <v/>
      </c>
      <c r="AL140" s="17" t="str">
        <f t="shared" ca="1" si="50"/>
        <v/>
      </c>
      <c r="AN140" s="24">
        <f t="shared" si="51"/>
        <v>0</v>
      </c>
      <c r="AO140" s="24">
        <f t="shared" si="52"/>
        <v>0</v>
      </c>
      <c r="AP140" s="24">
        <f t="shared" si="53"/>
        <v>0</v>
      </c>
      <c r="AQ140" s="24">
        <f t="shared" si="54"/>
        <v>0</v>
      </c>
      <c r="AR140" s="24">
        <f t="shared" si="55"/>
        <v>0</v>
      </c>
      <c r="AS140" s="24">
        <f t="shared" si="56"/>
        <v>0</v>
      </c>
    </row>
    <row r="141" spans="1:45" x14ac:dyDescent="0.25">
      <c r="A141" s="83"/>
      <c r="B141" s="16"/>
      <c r="C141" s="16"/>
      <c r="D141" s="15"/>
      <c r="E141" s="15"/>
      <c r="F141" s="16"/>
      <c r="G141" s="16"/>
      <c r="H141" s="16"/>
      <c r="I141" s="22"/>
      <c r="J141" s="16"/>
      <c r="K141" s="16"/>
      <c r="L141" s="15"/>
      <c r="M141" s="20"/>
      <c r="N141" s="15"/>
      <c r="O141" s="20"/>
      <c r="P141" s="15"/>
      <c r="Q141" s="15"/>
      <c r="R141" s="17" t="str">
        <f>IF(Q141="","",VLOOKUP(Q141,'References (2)'!C:D,2,0))</f>
        <v/>
      </c>
      <c r="S141" s="17" t="str">
        <f>IF(Q141="","",VLOOKUP(Q141,'References (2)'!C:F,4,0))</f>
        <v/>
      </c>
      <c r="T141" s="16"/>
      <c r="U141" s="20"/>
      <c r="V141" s="15"/>
      <c r="W141" s="22"/>
      <c r="X141" s="16"/>
      <c r="Y141" s="22"/>
      <c r="Z141" s="25" t="str">
        <f t="shared" si="38"/>
        <v/>
      </c>
      <c r="AA141" s="17" t="str">
        <f t="shared" ca="1" si="39"/>
        <v/>
      </c>
      <c r="AB141" s="17" t="str">
        <f t="shared" ca="1" si="40"/>
        <v/>
      </c>
      <c r="AC141" s="17" t="str">
        <f t="shared" ca="1" si="41"/>
        <v/>
      </c>
      <c r="AD141" s="17" t="str">
        <f t="shared" ca="1" si="42"/>
        <v/>
      </c>
      <c r="AE141" s="17" t="str">
        <f t="shared" si="43"/>
        <v/>
      </c>
      <c r="AF141" s="17" t="str">
        <f t="shared" si="44"/>
        <v/>
      </c>
      <c r="AG141" s="17" t="str">
        <f t="shared" si="45"/>
        <v/>
      </c>
      <c r="AH141" s="17">
        <f t="shared" si="46"/>
        <v>0</v>
      </c>
      <c r="AI141" s="17" t="str">
        <f t="shared" ca="1" si="47"/>
        <v/>
      </c>
      <c r="AJ141" s="17" t="str">
        <f t="shared" ca="1" si="48"/>
        <v/>
      </c>
      <c r="AK141" s="17" t="str">
        <f t="shared" si="49"/>
        <v/>
      </c>
      <c r="AL141" s="17" t="str">
        <f t="shared" ca="1" si="50"/>
        <v/>
      </c>
      <c r="AN141" s="24">
        <f t="shared" si="51"/>
        <v>0</v>
      </c>
      <c r="AO141" s="24">
        <f t="shared" si="52"/>
        <v>0</v>
      </c>
      <c r="AP141" s="24">
        <f t="shared" si="53"/>
        <v>0</v>
      </c>
      <c r="AQ141" s="24">
        <f t="shared" si="54"/>
        <v>0</v>
      </c>
      <c r="AR141" s="24">
        <f t="shared" si="55"/>
        <v>0</v>
      </c>
      <c r="AS141" s="24">
        <f t="shared" si="56"/>
        <v>0</v>
      </c>
    </row>
    <row r="142" spans="1:45" x14ac:dyDescent="0.25">
      <c r="A142" s="83"/>
      <c r="B142" s="16"/>
      <c r="C142" s="16"/>
      <c r="D142" s="15"/>
      <c r="E142" s="15"/>
      <c r="F142" s="16"/>
      <c r="G142" s="16"/>
      <c r="H142" s="16"/>
      <c r="I142" s="22"/>
      <c r="J142" s="16"/>
      <c r="K142" s="16"/>
      <c r="L142" s="15"/>
      <c r="M142" s="20"/>
      <c r="N142" s="15"/>
      <c r="O142" s="20"/>
      <c r="P142" s="15"/>
      <c r="Q142" s="15"/>
      <c r="R142" s="17" t="str">
        <f>IF(Q142="","",VLOOKUP(Q142,'References (2)'!C:D,2,0))</f>
        <v/>
      </c>
      <c r="S142" s="17" t="str">
        <f>IF(Q142="","",VLOOKUP(Q142,'References (2)'!C:F,4,0))</f>
        <v/>
      </c>
      <c r="T142" s="16"/>
      <c r="U142" s="20"/>
      <c r="V142" s="15"/>
      <c r="W142" s="22"/>
      <c r="X142" s="16"/>
      <c r="Y142" s="22"/>
      <c r="Z142" s="25" t="str">
        <f t="shared" si="38"/>
        <v/>
      </c>
      <c r="AA142" s="17" t="str">
        <f t="shared" ca="1" si="39"/>
        <v/>
      </c>
      <c r="AB142" s="17" t="str">
        <f t="shared" ca="1" si="40"/>
        <v/>
      </c>
      <c r="AC142" s="17" t="str">
        <f t="shared" ca="1" si="41"/>
        <v/>
      </c>
      <c r="AD142" s="17" t="str">
        <f t="shared" ca="1" si="42"/>
        <v/>
      </c>
      <c r="AE142" s="17" t="str">
        <f t="shared" si="43"/>
        <v/>
      </c>
      <c r="AF142" s="17" t="str">
        <f t="shared" si="44"/>
        <v/>
      </c>
      <c r="AG142" s="17" t="str">
        <f t="shared" si="45"/>
        <v/>
      </c>
      <c r="AH142" s="17">
        <f t="shared" si="46"/>
        <v>0</v>
      </c>
      <c r="AI142" s="17" t="str">
        <f t="shared" ca="1" si="47"/>
        <v/>
      </c>
      <c r="AJ142" s="17" t="str">
        <f t="shared" ca="1" si="48"/>
        <v/>
      </c>
      <c r="AK142" s="17" t="str">
        <f t="shared" si="49"/>
        <v/>
      </c>
      <c r="AL142" s="17" t="str">
        <f t="shared" ca="1" si="50"/>
        <v/>
      </c>
      <c r="AN142" s="24">
        <f t="shared" si="51"/>
        <v>0</v>
      </c>
      <c r="AO142" s="24">
        <f t="shared" si="52"/>
        <v>0</v>
      </c>
      <c r="AP142" s="24">
        <f t="shared" si="53"/>
        <v>0</v>
      </c>
      <c r="AQ142" s="24">
        <f t="shared" si="54"/>
        <v>0</v>
      </c>
      <c r="AR142" s="24">
        <f t="shared" si="55"/>
        <v>0</v>
      </c>
      <c r="AS142" s="24">
        <f t="shared" si="56"/>
        <v>0</v>
      </c>
    </row>
    <row r="143" spans="1:45" x14ac:dyDescent="0.25">
      <c r="A143" s="83"/>
      <c r="B143" s="16"/>
      <c r="C143" s="16"/>
      <c r="D143" s="15"/>
      <c r="E143" s="15"/>
      <c r="F143" s="16"/>
      <c r="G143" s="16"/>
      <c r="H143" s="16"/>
      <c r="I143" s="22"/>
      <c r="J143" s="16"/>
      <c r="K143" s="16"/>
      <c r="L143" s="15"/>
      <c r="M143" s="20"/>
      <c r="N143" s="15"/>
      <c r="O143" s="20"/>
      <c r="P143" s="15"/>
      <c r="Q143" s="15"/>
      <c r="R143" s="17" t="str">
        <f>IF(Q143="","",VLOOKUP(Q143,'References (2)'!C:D,2,0))</f>
        <v/>
      </c>
      <c r="S143" s="17" t="str">
        <f>IF(Q143="","",VLOOKUP(Q143,'References (2)'!C:F,4,0))</f>
        <v/>
      </c>
      <c r="T143" s="16"/>
      <c r="U143" s="20"/>
      <c r="V143" s="15"/>
      <c r="W143" s="22"/>
      <c r="X143" s="16"/>
      <c r="Y143" s="22"/>
      <c r="Z143" s="25" t="str">
        <f t="shared" si="38"/>
        <v/>
      </c>
      <c r="AA143" s="17" t="str">
        <f t="shared" ca="1" si="39"/>
        <v/>
      </c>
      <c r="AB143" s="17" t="str">
        <f t="shared" ca="1" si="40"/>
        <v/>
      </c>
      <c r="AC143" s="17" t="str">
        <f t="shared" ca="1" si="41"/>
        <v/>
      </c>
      <c r="AD143" s="17" t="str">
        <f t="shared" ca="1" si="42"/>
        <v/>
      </c>
      <c r="AE143" s="17" t="str">
        <f t="shared" si="43"/>
        <v/>
      </c>
      <c r="AF143" s="17" t="str">
        <f t="shared" si="44"/>
        <v/>
      </c>
      <c r="AG143" s="17" t="str">
        <f t="shared" si="45"/>
        <v/>
      </c>
      <c r="AH143" s="17">
        <f t="shared" si="46"/>
        <v>0</v>
      </c>
      <c r="AI143" s="17" t="str">
        <f t="shared" ca="1" si="47"/>
        <v/>
      </c>
      <c r="AJ143" s="17" t="str">
        <f t="shared" ca="1" si="48"/>
        <v/>
      </c>
      <c r="AK143" s="17" t="str">
        <f t="shared" si="49"/>
        <v/>
      </c>
      <c r="AL143" s="17" t="str">
        <f t="shared" ca="1" si="50"/>
        <v/>
      </c>
      <c r="AN143" s="24">
        <f t="shared" si="51"/>
        <v>0</v>
      </c>
      <c r="AO143" s="24">
        <f t="shared" si="52"/>
        <v>0</v>
      </c>
      <c r="AP143" s="24">
        <f t="shared" si="53"/>
        <v>0</v>
      </c>
      <c r="AQ143" s="24">
        <f t="shared" si="54"/>
        <v>0</v>
      </c>
      <c r="AR143" s="24">
        <f t="shared" si="55"/>
        <v>0</v>
      </c>
      <c r="AS143" s="24">
        <f t="shared" si="56"/>
        <v>0</v>
      </c>
    </row>
    <row r="144" spans="1:45" x14ac:dyDescent="0.25">
      <c r="A144" s="83"/>
      <c r="B144" s="16"/>
      <c r="C144" s="16"/>
      <c r="D144" s="15"/>
      <c r="E144" s="15"/>
      <c r="F144" s="16"/>
      <c r="G144" s="16"/>
      <c r="H144" s="16"/>
      <c r="I144" s="22"/>
      <c r="J144" s="16"/>
      <c r="K144" s="16"/>
      <c r="L144" s="15"/>
      <c r="M144" s="20"/>
      <c r="N144" s="15"/>
      <c r="O144" s="20"/>
      <c r="P144" s="15"/>
      <c r="Q144" s="15"/>
      <c r="R144" s="17" t="str">
        <f>IF(Q144="","",VLOOKUP(Q144,'References (2)'!C:D,2,0))</f>
        <v/>
      </c>
      <c r="S144" s="17" t="str">
        <f>IF(Q144="","",VLOOKUP(Q144,'References (2)'!C:F,4,0))</f>
        <v/>
      </c>
      <c r="T144" s="16"/>
      <c r="U144" s="20"/>
      <c r="V144" s="15"/>
      <c r="W144" s="22"/>
      <c r="X144" s="16"/>
      <c r="Y144" s="22"/>
      <c r="Z144" s="25" t="str">
        <f t="shared" si="38"/>
        <v/>
      </c>
      <c r="AA144" s="17" t="str">
        <f t="shared" ca="1" si="39"/>
        <v/>
      </c>
      <c r="AB144" s="17" t="str">
        <f t="shared" ca="1" si="40"/>
        <v/>
      </c>
      <c r="AC144" s="17" t="str">
        <f t="shared" ca="1" si="41"/>
        <v/>
      </c>
      <c r="AD144" s="17" t="str">
        <f t="shared" ca="1" si="42"/>
        <v/>
      </c>
      <c r="AE144" s="17" t="str">
        <f t="shared" si="43"/>
        <v/>
      </c>
      <c r="AF144" s="17" t="str">
        <f t="shared" si="44"/>
        <v/>
      </c>
      <c r="AG144" s="17" t="str">
        <f t="shared" si="45"/>
        <v/>
      </c>
      <c r="AH144" s="17">
        <f t="shared" si="46"/>
        <v>0</v>
      </c>
      <c r="AI144" s="17" t="str">
        <f t="shared" ca="1" si="47"/>
        <v/>
      </c>
      <c r="AJ144" s="17" t="str">
        <f t="shared" ca="1" si="48"/>
        <v/>
      </c>
      <c r="AK144" s="17" t="str">
        <f t="shared" si="49"/>
        <v/>
      </c>
      <c r="AL144" s="17" t="str">
        <f t="shared" ca="1" si="50"/>
        <v/>
      </c>
      <c r="AN144" s="24">
        <f t="shared" si="51"/>
        <v>0</v>
      </c>
      <c r="AO144" s="24">
        <f t="shared" si="52"/>
        <v>0</v>
      </c>
      <c r="AP144" s="24">
        <f t="shared" si="53"/>
        <v>0</v>
      </c>
      <c r="AQ144" s="24">
        <f t="shared" si="54"/>
        <v>0</v>
      </c>
      <c r="AR144" s="24">
        <f t="shared" si="55"/>
        <v>0</v>
      </c>
      <c r="AS144" s="24">
        <f t="shared" si="56"/>
        <v>0</v>
      </c>
    </row>
    <row r="145" spans="1:45" x14ac:dyDescent="0.25">
      <c r="A145" s="83"/>
      <c r="B145" s="16"/>
      <c r="C145" s="16"/>
      <c r="D145" s="15"/>
      <c r="E145" s="15"/>
      <c r="F145" s="16"/>
      <c r="G145" s="16"/>
      <c r="H145" s="16"/>
      <c r="I145" s="22"/>
      <c r="J145" s="16"/>
      <c r="K145" s="16"/>
      <c r="L145" s="15"/>
      <c r="M145" s="20"/>
      <c r="N145" s="15"/>
      <c r="O145" s="20"/>
      <c r="P145" s="15"/>
      <c r="Q145" s="15"/>
      <c r="R145" s="17" t="str">
        <f>IF(Q145="","",VLOOKUP(Q145,'References (2)'!C:D,2,0))</f>
        <v/>
      </c>
      <c r="S145" s="17" t="str">
        <f>IF(Q145="","",VLOOKUP(Q145,'References (2)'!C:F,4,0))</f>
        <v/>
      </c>
      <c r="T145" s="16"/>
      <c r="U145" s="20"/>
      <c r="V145" s="15"/>
      <c r="W145" s="22"/>
      <c r="X145" s="16"/>
      <c r="Y145" s="22"/>
      <c r="Z145" s="25" t="str">
        <f t="shared" si="38"/>
        <v/>
      </c>
      <c r="AA145" s="17" t="str">
        <f t="shared" ca="1" si="39"/>
        <v/>
      </c>
      <c r="AB145" s="17" t="str">
        <f t="shared" ca="1" si="40"/>
        <v/>
      </c>
      <c r="AC145" s="17" t="str">
        <f t="shared" ca="1" si="41"/>
        <v/>
      </c>
      <c r="AD145" s="17" t="str">
        <f t="shared" ca="1" si="42"/>
        <v/>
      </c>
      <c r="AE145" s="17" t="str">
        <f t="shared" si="43"/>
        <v/>
      </c>
      <c r="AF145" s="17" t="str">
        <f t="shared" si="44"/>
        <v/>
      </c>
      <c r="AG145" s="17" t="str">
        <f t="shared" si="45"/>
        <v/>
      </c>
      <c r="AH145" s="17">
        <f t="shared" si="46"/>
        <v>0</v>
      </c>
      <c r="AI145" s="17" t="str">
        <f t="shared" ca="1" si="47"/>
        <v/>
      </c>
      <c r="AJ145" s="17" t="str">
        <f t="shared" ca="1" si="48"/>
        <v/>
      </c>
      <c r="AK145" s="17" t="str">
        <f t="shared" si="49"/>
        <v/>
      </c>
      <c r="AL145" s="17" t="str">
        <f t="shared" ca="1" si="50"/>
        <v/>
      </c>
      <c r="AN145" s="24">
        <f t="shared" si="51"/>
        <v>0</v>
      </c>
      <c r="AO145" s="24">
        <f t="shared" si="52"/>
        <v>0</v>
      </c>
      <c r="AP145" s="24">
        <f t="shared" si="53"/>
        <v>0</v>
      </c>
      <c r="AQ145" s="24">
        <f t="shared" si="54"/>
        <v>0</v>
      </c>
      <c r="AR145" s="24">
        <f t="shared" si="55"/>
        <v>0</v>
      </c>
      <c r="AS145" s="24">
        <f t="shared" si="56"/>
        <v>0</v>
      </c>
    </row>
    <row r="146" spans="1:45" x14ac:dyDescent="0.25">
      <c r="A146" s="83"/>
      <c r="B146" s="16"/>
      <c r="C146" s="16"/>
      <c r="D146" s="15"/>
      <c r="E146" s="15"/>
      <c r="F146" s="16"/>
      <c r="G146" s="16"/>
      <c r="H146" s="16"/>
      <c r="I146" s="22"/>
      <c r="J146" s="16"/>
      <c r="K146" s="16"/>
      <c r="L146" s="15"/>
      <c r="M146" s="20"/>
      <c r="N146" s="15"/>
      <c r="O146" s="20"/>
      <c r="P146" s="15"/>
      <c r="Q146" s="15"/>
      <c r="R146" s="17" t="str">
        <f>IF(Q146="","",VLOOKUP(Q146,'References (2)'!C:D,2,0))</f>
        <v/>
      </c>
      <c r="S146" s="17" t="str">
        <f>IF(Q146="","",VLOOKUP(Q146,'References (2)'!C:F,4,0))</f>
        <v/>
      </c>
      <c r="T146" s="16"/>
      <c r="U146" s="20"/>
      <c r="V146" s="15"/>
      <c r="W146" s="22"/>
      <c r="X146" s="16"/>
      <c r="Y146" s="22"/>
      <c r="Z146" s="25" t="str">
        <f t="shared" si="38"/>
        <v/>
      </c>
      <c r="AA146" s="17" t="str">
        <f t="shared" ca="1" si="39"/>
        <v/>
      </c>
      <c r="AB146" s="17" t="str">
        <f t="shared" ca="1" si="40"/>
        <v/>
      </c>
      <c r="AC146" s="17" t="str">
        <f t="shared" ca="1" si="41"/>
        <v/>
      </c>
      <c r="AD146" s="17" t="str">
        <f t="shared" ca="1" si="42"/>
        <v/>
      </c>
      <c r="AE146" s="17" t="str">
        <f t="shared" si="43"/>
        <v/>
      </c>
      <c r="AF146" s="17" t="str">
        <f t="shared" si="44"/>
        <v/>
      </c>
      <c r="AG146" s="17" t="str">
        <f t="shared" si="45"/>
        <v/>
      </c>
      <c r="AH146" s="17">
        <f t="shared" si="46"/>
        <v>0</v>
      </c>
      <c r="AI146" s="17" t="str">
        <f t="shared" ca="1" si="47"/>
        <v/>
      </c>
      <c r="AJ146" s="17" t="str">
        <f t="shared" ca="1" si="48"/>
        <v/>
      </c>
      <c r="AK146" s="17" t="str">
        <f t="shared" si="49"/>
        <v/>
      </c>
      <c r="AL146" s="17" t="str">
        <f t="shared" ca="1" si="50"/>
        <v/>
      </c>
      <c r="AN146" s="24">
        <f t="shared" si="51"/>
        <v>0</v>
      </c>
      <c r="AO146" s="24">
        <f t="shared" si="52"/>
        <v>0</v>
      </c>
      <c r="AP146" s="24">
        <f t="shared" si="53"/>
        <v>0</v>
      </c>
      <c r="AQ146" s="24">
        <f t="shared" si="54"/>
        <v>0</v>
      </c>
      <c r="AR146" s="24">
        <f t="shared" si="55"/>
        <v>0</v>
      </c>
      <c r="AS146" s="24">
        <f t="shared" si="56"/>
        <v>0</v>
      </c>
    </row>
    <row r="147" spans="1:45" x14ac:dyDescent="0.25">
      <c r="A147" s="83"/>
      <c r="B147" s="16"/>
      <c r="C147" s="16"/>
      <c r="D147" s="15"/>
      <c r="E147" s="15"/>
      <c r="F147" s="16"/>
      <c r="G147" s="16"/>
      <c r="H147" s="16"/>
      <c r="I147" s="22"/>
      <c r="J147" s="16"/>
      <c r="K147" s="16"/>
      <c r="L147" s="15"/>
      <c r="M147" s="20"/>
      <c r="N147" s="15"/>
      <c r="O147" s="20"/>
      <c r="P147" s="15"/>
      <c r="Q147" s="15"/>
      <c r="R147" s="17" t="str">
        <f>IF(Q147="","",VLOOKUP(Q147,'References (2)'!C:D,2,0))</f>
        <v/>
      </c>
      <c r="S147" s="17" t="str">
        <f>IF(Q147="","",VLOOKUP(Q147,'References (2)'!C:F,4,0))</f>
        <v/>
      </c>
      <c r="T147" s="16"/>
      <c r="U147" s="20"/>
      <c r="V147" s="15"/>
      <c r="W147" s="22"/>
      <c r="X147" s="16"/>
      <c r="Y147" s="22"/>
      <c r="Z147" s="25" t="str">
        <f t="shared" si="38"/>
        <v/>
      </c>
      <c r="AA147" s="17" t="str">
        <f t="shared" ca="1" si="39"/>
        <v/>
      </c>
      <c r="AB147" s="17" t="str">
        <f t="shared" ca="1" si="40"/>
        <v/>
      </c>
      <c r="AC147" s="17" t="str">
        <f t="shared" ca="1" si="41"/>
        <v/>
      </c>
      <c r="AD147" s="17" t="str">
        <f t="shared" ca="1" si="42"/>
        <v/>
      </c>
      <c r="AE147" s="17" t="str">
        <f t="shared" si="43"/>
        <v/>
      </c>
      <c r="AF147" s="17" t="str">
        <f t="shared" si="44"/>
        <v/>
      </c>
      <c r="AG147" s="17" t="str">
        <f t="shared" si="45"/>
        <v/>
      </c>
      <c r="AH147" s="17">
        <f t="shared" si="46"/>
        <v>0</v>
      </c>
      <c r="AI147" s="17" t="str">
        <f t="shared" ca="1" si="47"/>
        <v/>
      </c>
      <c r="AJ147" s="17" t="str">
        <f t="shared" ca="1" si="48"/>
        <v/>
      </c>
      <c r="AK147" s="17" t="str">
        <f t="shared" si="49"/>
        <v/>
      </c>
      <c r="AL147" s="17" t="str">
        <f t="shared" ca="1" si="50"/>
        <v/>
      </c>
      <c r="AN147" s="24">
        <f t="shared" si="51"/>
        <v>0</v>
      </c>
      <c r="AO147" s="24">
        <f t="shared" si="52"/>
        <v>0</v>
      </c>
      <c r="AP147" s="24">
        <f t="shared" si="53"/>
        <v>0</v>
      </c>
      <c r="AQ147" s="24">
        <f t="shared" si="54"/>
        <v>0</v>
      </c>
      <c r="AR147" s="24">
        <f t="shared" si="55"/>
        <v>0</v>
      </c>
      <c r="AS147" s="24">
        <f t="shared" si="56"/>
        <v>0</v>
      </c>
    </row>
    <row r="148" spans="1:45" x14ac:dyDescent="0.25">
      <c r="A148" s="83"/>
      <c r="B148" s="16"/>
      <c r="C148" s="16"/>
      <c r="D148" s="15"/>
      <c r="E148" s="15"/>
      <c r="F148" s="16"/>
      <c r="G148" s="16"/>
      <c r="H148" s="16"/>
      <c r="I148" s="22"/>
      <c r="J148" s="16"/>
      <c r="K148" s="16"/>
      <c r="L148" s="15"/>
      <c r="M148" s="20"/>
      <c r="N148" s="15"/>
      <c r="O148" s="20"/>
      <c r="P148" s="15"/>
      <c r="Q148" s="15"/>
      <c r="R148" s="17" t="str">
        <f>IF(Q148="","",VLOOKUP(Q148,'References (2)'!C:D,2,0))</f>
        <v/>
      </c>
      <c r="S148" s="17" t="str">
        <f>IF(Q148="","",VLOOKUP(Q148,'References (2)'!C:F,4,0))</f>
        <v/>
      </c>
      <c r="T148" s="16"/>
      <c r="U148" s="20"/>
      <c r="V148" s="15"/>
      <c r="W148" s="22"/>
      <c r="X148" s="16"/>
      <c r="Y148" s="22"/>
      <c r="Z148" s="25" t="str">
        <f t="shared" si="38"/>
        <v/>
      </c>
      <c r="AA148" s="17" t="str">
        <f t="shared" ca="1" si="39"/>
        <v/>
      </c>
      <c r="AB148" s="17" t="str">
        <f t="shared" ca="1" si="40"/>
        <v/>
      </c>
      <c r="AC148" s="17" t="str">
        <f t="shared" ca="1" si="41"/>
        <v/>
      </c>
      <c r="AD148" s="17" t="str">
        <f t="shared" ca="1" si="42"/>
        <v/>
      </c>
      <c r="AE148" s="17" t="str">
        <f t="shared" si="43"/>
        <v/>
      </c>
      <c r="AF148" s="17" t="str">
        <f t="shared" si="44"/>
        <v/>
      </c>
      <c r="AG148" s="17" t="str">
        <f t="shared" si="45"/>
        <v/>
      </c>
      <c r="AH148" s="17">
        <f t="shared" si="46"/>
        <v>0</v>
      </c>
      <c r="AI148" s="17" t="str">
        <f t="shared" ca="1" si="47"/>
        <v/>
      </c>
      <c r="AJ148" s="17" t="str">
        <f t="shared" ca="1" si="48"/>
        <v/>
      </c>
      <c r="AK148" s="17" t="str">
        <f t="shared" si="49"/>
        <v/>
      </c>
      <c r="AL148" s="17" t="str">
        <f t="shared" ca="1" si="50"/>
        <v/>
      </c>
      <c r="AN148" s="24">
        <f t="shared" si="51"/>
        <v>0</v>
      </c>
      <c r="AO148" s="24">
        <f t="shared" si="52"/>
        <v>0</v>
      </c>
      <c r="AP148" s="24">
        <f t="shared" si="53"/>
        <v>0</v>
      </c>
      <c r="AQ148" s="24">
        <f t="shared" si="54"/>
        <v>0</v>
      </c>
      <c r="AR148" s="24">
        <f t="shared" si="55"/>
        <v>0</v>
      </c>
      <c r="AS148" s="24">
        <f t="shared" si="56"/>
        <v>0</v>
      </c>
    </row>
    <row r="149" spans="1:45" x14ac:dyDescent="0.25">
      <c r="A149" s="83"/>
      <c r="B149" s="16"/>
      <c r="C149" s="16"/>
      <c r="D149" s="15"/>
      <c r="E149" s="15"/>
      <c r="F149" s="16"/>
      <c r="G149" s="16"/>
      <c r="H149" s="16"/>
      <c r="I149" s="22"/>
      <c r="J149" s="16"/>
      <c r="K149" s="16"/>
      <c r="L149" s="15"/>
      <c r="M149" s="20"/>
      <c r="N149" s="15"/>
      <c r="O149" s="20"/>
      <c r="P149" s="15"/>
      <c r="Q149" s="15"/>
      <c r="R149" s="17" t="str">
        <f>IF(Q149="","",VLOOKUP(Q149,'References (2)'!C:D,2,0))</f>
        <v/>
      </c>
      <c r="S149" s="17" t="str">
        <f>IF(Q149="","",VLOOKUP(Q149,'References (2)'!C:F,4,0))</f>
        <v/>
      </c>
      <c r="T149" s="16"/>
      <c r="U149" s="20"/>
      <c r="V149" s="15"/>
      <c r="W149" s="22"/>
      <c r="X149" s="16"/>
      <c r="Y149" s="22"/>
      <c r="Z149" s="25" t="str">
        <f t="shared" si="38"/>
        <v/>
      </c>
      <c r="AA149" s="17" t="str">
        <f t="shared" ca="1" si="39"/>
        <v/>
      </c>
      <c r="AB149" s="17" t="str">
        <f t="shared" ca="1" si="40"/>
        <v/>
      </c>
      <c r="AC149" s="17" t="str">
        <f t="shared" ca="1" si="41"/>
        <v/>
      </c>
      <c r="AD149" s="17" t="str">
        <f t="shared" ca="1" si="42"/>
        <v/>
      </c>
      <c r="AE149" s="17" t="str">
        <f t="shared" si="43"/>
        <v/>
      </c>
      <c r="AF149" s="17" t="str">
        <f t="shared" si="44"/>
        <v/>
      </c>
      <c r="AG149" s="17" t="str">
        <f t="shared" si="45"/>
        <v/>
      </c>
      <c r="AH149" s="17">
        <f t="shared" si="46"/>
        <v>0</v>
      </c>
      <c r="AI149" s="17" t="str">
        <f t="shared" ca="1" si="47"/>
        <v/>
      </c>
      <c r="AJ149" s="17" t="str">
        <f t="shared" ca="1" si="48"/>
        <v/>
      </c>
      <c r="AK149" s="17" t="str">
        <f t="shared" si="49"/>
        <v/>
      </c>
      <c r="AL149" s="17" t="str">
        <f t="shared" ca="1" si="50"/>
        <v/>
      </c>
      <c r="AN149" s="24">
        <f t="shared" si="51"/>
        <v>0</v>
      </c>
      <c r="AO149" s="24">
        <f t="shared" si="52"/>
        <v>0</v>
      </c>
      <c r="AP149" s="24">
        <f t="shared" si="53"/>
        <v>0</v>
      </c>
      <c r="AQ149" s="24">
        <f t="shared" si="54"/>
        <v>0</v>
      </c>
      <c r="AR149" s="24">
        <f t="shared" si="55"/>
        <v>0</v>
      </c>
      <c r="AS149" s="24">
        <f t="shared" si="56"/>
        <v>0</v>
      </c>
    </row>
    <row r="150" spans="1:45" x14ac:dyDescent="0.25">
      <c r="A150" s="83"/>
      <c r="B150" s="16"/>
      <c r="C150" s="16"/>
      <c r="D150" s="15"/>
      <c r="E150" s="15"/>
      <c r="F150" s="16"/>
      <c r="G150" s="16"/>
      <c r="H150" s="16"/>
      <c r="I150" s="22"/>
      <c r="J150" s="16"/>
      <c r="K150" s="16"/>
      <c r="L150" s="15"/>
      <c r="M150" s="20"/>
      <c r="N150" s="15"/>
      <c r="O150" s="20"/>
      <c r="P150" s="15"/>
      <c r="Q150" s="15"/>
      <c r="R150" s="17" t="str">
        <f>IF(Q150="","",VLOOKUP(Q150,'References (2)'!C:D,2,0))</f>
        <v/>
      </c>
      <c r="S150" s="17" t="str">
        <f>IF(Q150="","",VLOOKUP(Q150,'References (2)'!C:F,4,0))</f>
        <v/>
      </c>
      <c r="T150" s="16"/>
      <c r="U150" s="20"/>
      <c r="V150" s="15"/>
      <c r="W150" s="22"/>
      <c r="X150" s="16"/>
      <c r="Y150" s="22"/>
      <c r="Z150" s="25" t="str">
        <f t="shared" si="38"/>
        <v/>
      </c>
      <c r="AA150" s="17" t="str">
        <f t="shared" ca="1" si="39"/>
        <v/>
      </c>
      <c r="AB150" s="17" t="str">
        <f t="shared" ca="1" si="40"/>
        <v/>
      </c>
      <c r="AC150" s="17" t="str">
        <f t="shared" ca="1" si="41"/>
        <v/>
      </c>
      <c r="AD150" s="17" t="str">
        <f t="shared" ca="1" si="42"/>
        <v/>
      </c>
      <c r="AE150" s="17" t="str">
        <f t="shared" si="43"/>
        <v/>
      </c>
      <c r="AF150" s="17" t="str">
        <f t="shared" si="44"/>
        <v/>
      </c>
      <c r="AG150" s="17" t="str">
        <f t="shared" si="45"/>
        <v/>
      </c>
      <c r="AH150" s="17">
        <f t="shared" si="46"/>
        <v>0</v>
      </c>
      <c r="AI150" s="17" t="str">
        <f t="shared" ca="1" si="47"/>
        <v/>
      </c>
      <c r="AJ150" s="17" t="str">
        <f t="shared" ca="1" si="48"/>
        <v/>
      </c>
      <c r="AK150" s="17" t="str">
        <f t="shared" si="49"/>
        <v/>
      </c>
      <c r="AL150" s="17" t="str">
        <f t="shared" ca="1" si="50"/>
        <v/>
      </c>
      <c r="AN150" s="24">
        <f t="shared" si="51"/>
        <v>0</v>
      </c>
      <c r="AO150" s="24">
        <f t="shared" si="52"/>
        <v>0</v>
      </c>
      <c r="AP150" s="24">
        <f t="shared" si="53"/>
        <v>0</v>
      </c>
      <c r="AQ150" s="24">
        <f t="shared" si="54"/>
        <v>0</v>
      </c>
      <c r="AR150" s="24">
        <f t="shared" si="55"/>
        <v>0</v>
      </c>
      <c r="AS150" s="24">
        <f t="shared" si="56"/>
        <v>0</v>
      </c>
    </row>
    <row r="151" spans="1:45" x14ac:dyDescent="0.25">
      <c r="A151" s="83"/>
      <c r="B151" s="16"/>
      <c r="C151" s="16"/>
      <c r="D151" s="15"/>
      <c r="E151" s="15"/>
      <c r="F151" s="16"/>
      <c r="G151" s="16"/>
      <c r="H151" s="16"/>
      <c r="I151" s="22"/>
      <c r="J151" s="16"/>
      <c r="K151" s="16"/>
      <c r="L151" s="15"/>
      <c r="M151" s="20"/>
      <c r="N151" s="15"/>
      <c r="O151" s="20"/>
      <c r="P151" s="15"/>
      <c r="Q151" s="15"/>
      <c r="R151" s="17" t="str">
        <f>IF(Q151="","",VLOOKUP(Q151,'References (2)'!C:D,2,0))</f>
        <v/>
      </c>
      <c r="S151" s="17" t="str">
        <f>IF(Q151="","",VLOOKUP(Q151,'References (2)'!C:F,4,0))</f>
        <v/>
      </c>
      <c r="T151" s="16"/>
      <c r="U151" s="20"/>
      <c r="V151" s="15"/>
      <c r="W151" s="22"/>
      <c r="X151" s="16"/>
      <c r="Y151" s="22"/>
      <c r="Z151" s="25" t="str">
        <f t="shared" si="38"/>
        <v/>
      </c>
      <c r="AA151" s="17" t="str">
        <f t="shared" ca="1" si="39"/>
        <v/>
      </c>
      <c r="AB151" s="17" t="str">
        <f t="shared" ca="1" si="40"/>
        <v/>
      </c>
      <c r="AC151" s="17" t="str">
        <f t="shared" ca="1" si="41"/>
        <v/>
      </c>
      <c r="AD151" s="17" t="str">
        <f t="shared" ca="1" si="42"/>
        <v/>
      </c>
      <c r="AE151" s="17" t="str">
        <f t="shared" si="43"/>
        <v/>
      </c>
      <c r="AF151" s="17" t="str">
        <f t="shared" si="44"/>
        <v/>
      </c>
      <c r="AG151" s="17" t="str">
        <f t="shared" si="45"/>
        <v/>
      </c>
      <c r="AH151" s="17">
        <f t="shared" si="46"/>
        <v>0</v>
      </c>
      <c r="AI151" s="17" t="str">
        <f t="shared" ca="1" si="47"/>
        <v/>
      </c>
      <c r="AJ151" s="17" t="str">
        <f t="shared" ca="1" si="48"/>
        <v/>
      </c>
      <c r="AK151" s="17" t="str">
        <f t="shared" si="49"/>
        <v/>
      </c>
      <c r="AL151" s="17" t="str">
        <f t="shared" ca="1" si="50"/>
        <v/>
      </c>
      <c r="AN151" s="24">
        <f t="shared" si="51"/>
        <v>0</v>
      </c>
      <c r="AO151" s="24">
        <f t="shared" si="52"/>
        <v>0</v>
      </c>
      <c r="AP151" s="24">
        <f t="shared" si="53"/>
        <v>0</v>
      </c>
      <c r="AQ151" s="24">
        <f t="shared" si="54"/>
        <v>0</v>
      </c>
      <c r="AR151" s="24">
        <f t="shared" si="55"/>
        <v>0</v>
      </c>
      <c r="AS151" s="24">
        <f t="shared" si="56"/>
        <v>0</v>
      </c>
    </row>
    <row r="152" spans="1:45" x14ac:dyDescent="0.25">
      <c r="A152" s="83"/>
      <c r="B152" s="16"/>
      <c r="C152" s="16"/>
      <c r="D152" s="15"/>
      <c r="E152" s="15"/>
      <c r="F152" s="16"/>
      <c r="G152" s="16"/>
      <c r="H152" s="16"/>
      <c r="I152" s="22"/>
      <c r="J152" s="16"/>
      <c r="K152" s="16"/>
      <c r="L152" s="15"/>
      <c r="M152" s="20"/>
      <c r="N152" s="15"/>
      <c r="O152" s="20"/>
      <c r="P152" s="15"/>
      <c r="Q152" s="15"/>
      <c r="R152" s="17" t="str">
        <f>IF(Q152="","",VLOOKUP(Q152,'References (2)'!C:D,2,0))</f>
        <v/>
      </c>
      <c r="S152" s="17" t="str">
        <f>IF(Q152="","",VLOOKUP(Q152,'References (2)'!C:F,4,0))</f>
        <v/>
      </c>
      <c r="T152" s="16"/>
      <c r="U152" s="20"/>
      <c r="V152" s="15"/>
      <c r="W152" s="22"/>
      <c r="X152" s="16"/>
      <c r="Y152" s="22"/>
      <c r="Z152" s="25" t="str">
        <f t="shared" si="38"/>
        <v/>
      </c>
      <c r="AA152" s="17" t="str">
        <f t="shared" ca="1" si="39"/>
        <v/>
      </c>
      <c r="AB152" s="17" t="str">
        <f t="shared" ca="1" si="40"/>
        <v/>
      </c>
      <c r="AC152" s="17" t="str">
        <f t="shared" ca="1" si="41"/>
        <v/>
      </c>
      <c r="AD152" s="17" t="str">
        <f t="shared" ca="1" si="42"/>
        <v/>
      </c>
      <c r="AE152" s="17" t="str">
        <f t="shared" si="43"/>
        <v/>
      </c>
      <c r="AF152" s="17" t="str">
        <f t="shared" si="44"/>
        <v/>
      </c>
      <c r="AG152" s="17" t="str">
        <f t="shared" si="45"/>
        <v/>
      </c>
      <c r="AH152" s="17">
        <f t="shared" si="46"/>
        <v>0</v>
      </c>
      <c r="AI152" s="17" t="str">
        <f t="shared" ca="1" si="47"/>
        <v/>
      </c>
      <c r="AJ152" s="17" t="str">
        <f t="shared" ca="1" si="48"/>
        <v/>
      </c>
      <c r="AK152" s="17" t="str">
        <f t="shared" si="49"/>
        <v/>
      </c>
      <c r="AL152" s="17" t="str">
        <f t="shared" ca="1" si="50"/>
        <v/>
      </c>
      <c r="AN152" s="24">
        <f t="shared" si="51"/>
        <v>0</v>
      </c>
      <c r="AO152" s="24">
        <f t="shared" si="52"/>
        <v>0</v>
      </c>
      <c r="AP152" s="24">
        <f t="shared" si="53"/>
        <v>0</v>
      </c>
      <c r="AQ152" s="24">
        <f t="shared" si="54"/>
        <v>0</v>
      </c>
      <c r="AR152" s="24">
        <f t="shared" si="55"/>
        <v>0</v>
      </c>
      <c r="AS152" s="24">
        <f t="shared" si="56"/>
        <v>0</v>
      </c>
    </row>
    <row r="153" spans="1:45" x14ac:dyDescent="0.25">
      <c r="A153" s="83"/>
      <c r="B153" s="16"/>
      <c r="C153" s="16"/>
      <c r="D153" s="15"/>
      <c r="E153" s="15"/>
      <c r="F153" s="16"/>
      <c r="G153" s="16"/>
      <c r="H153" s="16"/>
      <c r="I153" s="22"/>
      <c r="J153" s="16"/>
      <c r="K153" s="16"/>
      <c r="L153" s="15"/>
      <c r="M153" s="20"/>
      <c r="N153" s="15"/>
      <c r="O153" s="20"/>
      <c r="P153" s="15"/>
      <c r="Q153" s="15"/>
      <c r="R153" s="17" t="str">
        <f>IF(Q153="","",VLOOKUP(Q153,'References (2)'!C:D,2,0))</f>
        <v/>
      </c>
      <c r="S153" s="17" t="str">
        <f>IF(Q153="","",VLOOKUP(Q153,'References (2)'!C:F,4,0))</f>
        <v/>
      </c>
      <c r="T153" s="16"/>
      <c r="U153" s="20"/>
      <c r="V153" s="15"/>
      <c r="W153" s="22"/>
      <c r="X153" s="16"/>
      <c r="Y153" s="22"/>
      <c r="Z153" s="25" t="str">
        <f t="shared" si="38"/>
        <v/>
      </c>
      <c r="AA153" s="17" t="str">
        <f t="shared" ca="1" si="39"/>
        <v/>
      </c>
      <c r="AB153" s="17" t="str">
        <f t="shared" ca="1" si="40"/>
        <v/>
      </c>
      <c r="AC153" s="17" t="str">
        <f t="shared" ca="1" si="41"/>
        <v/>
      </c>
      <c r="AD153" s="17" t="str">
        <f t="shared" ca="1" si="42"/>
        <v/>
      </c>
      <c r="AE153" s="17" t="str">
        <f t="shared" si="43"/>
        <v/>
      </c>
      <c r="AF153" s="17" t="str">
        <f t="shared" si="44"/>
        <v/>
      </c>
      <c r="AG153" s="17" t="str">
        <f t="shared" si="45"/>
        <v/>
      </c>
      <c r="AH153" s="17">
        <f t="shared" si="46"/>
        <v>0</v>
      </c>
      <c r="AI153" s="17" t="str">
        <f t="shared" ca="1" si="47"/>
        <v/>
      </c>
      <c r="AJ153" s="17" t="str">
        <f t="shared" ca="1" si="48"/>
        <v/>
      </c>
      <c r="AK153" s="17" t="str">
        <f t="shared" si="49"/>
        <v/>
      </c>
      <c r="AL153" s="17" t="str">
        <f t="shared" ca="1" si="50"/>
        <v/>
      </c>
      <c r="AN153" s="24">
        <f t="shared" si="51"/>
        <v>0</v>
      </c>
      <c r="AO153" s="24">
        <f t="shared" si="52"/>
        <v>0</v>
      </c>
      <c r="AP153" s="24">
        <f t="shared" si="53"/>
        <v>0</v>
      </c>
      <c r="AQ153" s="24">
        <f t="shared" si="54"/>
        <v>0</v>
      </c>
      <c r="AR153" s="24">
        <f t="shared" si="55"/>
        <v>0</v>
      </c>
      <c r="AS153" s="24">
        <f t="shared" si="56"/>
        <v>0</v>
      </c>
    </row>
    <row r="154" spans="1:45" x14ac:dyDescent="0.25">
      <c r="A154" s="83"/>
      <c r="B154" s="16"/>
      <c r="C154" s="16"/>
      <c r="D154" s="15"/>
      <c r="E154" s="15"/>
      <c r="F154" s="16"/>
      <c r="G154" s="16"/>
      <c r="H154" s="16"/>
      <c r="I154" s="22"/>
      <c r="J154" s="16"/>
      <c r="K154" s="16"/>
      <c r="L154" s="15"/>
      <c r="M154" s="20"/>
      <c r="N154" s="15"/>
      <c r="O154" s="20"/>
      <c r="P154" s="15"/>
      <c r="Q154" s="15"/>
      <c r="R154" s="17" t="str">
        <f>IF(Q154="","",VLOOKUP(Q154,'References (2)'!C:D,2,0))</f>
        <v/>
      </c>
      <c r="S154" s="17" t="str">
        <f>IF(Q154="","",VLOOKUP(Q154,'References (2)'!C:F,4,0))</f>
        <v/>
      </c>
      <c r="T154" s="16"/>
      <c r="U154" s="20"/>
      <c r="V154" s="15"/>
      <c r="W154" s="22"/>
      <c r="X154" s="16"/>
      <c r="Y154" s="22"/>
      <c r="Z154" s="25" t="str">
        <f t="shared" si="38"/>
        <v/>
      </c>
      <c r="AA154" s="17" t="str">
        <f t="shared" ca="1" si="39"/>
        <v/>
      </c>
      <c r="AB154" s="17" t="str">
        <f t="shared" ca="1" si="40"/>
        <v/>
      </c>
      <c r="AC154" s="17" t="str">
        <f t="shared" ca="1" si="41"/>
        <v/>
      </c>
      <c r="AD154" s="17" t="str">
        <f t="shared" ca="1" si="42"/>
        <v/>
      </c>
      <c r="AE154" s="17" t="str">
        <f t="shared" si="43"/>
        <v/>
      </c>
      <c r="AF154" s="17" t="str">
        <f t="shared" si="44"/>
        <v/>
      </c>
      <c r="AG154" s="17" t="str">
        <f t="shared" si="45"/>
        <v/>
      </c>
      <c r="AH154" s="17">
        <f t="shared" si="46"/>
        <v>0</v>
      </c>
      <c r="AI154" s="17" t="str">
        <f t="shared" ca="1" si="47"/>
        <v/>
      </c>
      <c r="AJ154" s="17" t="str">
        <f t="shared" ca="1" si="48"/>
        <v/>
      </c>
      <c r="AK154" s="17" t="str">
        <f t="shared" si="49"/>
        <v/>
      </c>
      <c r="AL154" s="17" t="str">
        <f t="shared" ca="1" si="50"/>
        <v/>
      </c>
      <c r="AN154" s="24">
        <f t="shared" si="51"/>
        <v>0</v>
      </c>
      <c r="AO154" s="24">
        <f t="shared" si="52"/>
        <v>0</v>
      </c>
      <c r="AP154" s="24">
        <f t="shared" si="53"/>
        <v>0</v>
      </c>
      <c r="AQ154" s="24">
        <f t="shared" si="54"/>
        <v>0</v>
      </c>
      <c r="AR154" s="24">
        <f t="shared" si="55"/>
        <v>0</v>
      </c>
      <c r="AS154" s="24">
        <f t="shared" si="56"/>
        <v>0</v>
      </c>
    </row>
    <row r="155" spans="1:45" x14ac:dyDescent="0.25">
      <c r="A155" s="83"/>
      <c r="B155" s="16"/>
      <c r="C155" s="16"/>
      <c r="D155" s="15"/>
      <c r="E155" s="15"/>
      <c r="F155" s="16"/>
      <c r="G155" s="16"/>
      <c r="H155" s="16"/>
      <c r="I155" s="22"/>
      <c r="J155" s="16"/>
      <c r="K155" s="16"/>
      <c r="L155" s="15"/>
      <c r="M155" s="20"/>
      <c r="N155" s="15"/>
      <c r="O155" s="20"/>
      <c r="P155" s="15"/>
      <c r="Q155" s="15"/>
      <c r="R155" s="17" t="str">
        <f>IF(Q155="","",VLOOKUP(Q155,'References (2)'!C:D,2,0))</f>
        <v/>
      </c>
      <c r="S155" s="17" t="str">
        <f>IF(Q155="","",VLOOKUP(Q155,'References (2)'!C:F,4,0))</f>
        <v/>
      </c>
      <c r="T155" s="16"/>
      <c r="U155" s="20"/>
      <c r="V155" s="15"/>
      <c r="W155" s="22"/>
      <c r="X155" s="16"/>
      <c r="Y155" s="22"/>
      <c r="Z155" s="25" t="str">
        <f t="shared" si="38"/>
        <v/>
      </c>
      <c r="AA155" s="17" t="str">
        <f t="shared" ca="1" si="39"/>
        <v/>
      </c>
      <c r="AB155" s="17" t="str">
        <f t="shared" ca="1" si="40"/>
        <v/>
      </c>
      <c r="AC155" s="17" t="str">
        <f t="shared" ca="1" si="41"/>
        <v/>
      </c>
      <c r="AD155" s="17" t="str">
        <f t="shared" ca="1" si="42"/>
        <v/>
      </c>
      <c r="AE155" s="17" t="str">
        <f t="shared" si="43"/>
        <v/>
      </c>
      <c r="AF155" s="17" t="str">
        <f t="shared" si="44"/>
        <v/>
      </c>
      <c r="AG155" s="17" t="str">
        <f t="shared" si="45"/>
        <v/>
      </c>
      <c r="AH155" s="17">
        <f t="shared" si="46"/>
        <v>0</v>
      </c>
      <c r="AI155" s="17" t="str">
        <f t="shared" ca="1" si="47"/>
        <v/>
      </c>
      <c r="AJ155" s="17" t="str">
        <f t="shared" ca="1" si="48"/>
        <v/>
      </c>
      <c r="AK155" s="17" t="str">
        <f t="shared" si="49"/>
        <v/>
      </c>
      <c r="AL155" s="17" t="str">
        <f t="shared" ca="1" si="50"/>
        <v/>
      </c>
      <c r="AN155" s="24">
        <f t="shared" si="51"/>
        <v>0</v>
      </c>
      <c r="AO155" s="24">
        <f t="shared" si="52"/>
        <v>0</v>
      </c>
      <c r="AP155" s="24">
        <f t="shared" si="53"/>
        <v>0</v>
      </c>
      <c r="AQ155" s="24">
        <f t="shared" si="54"/>
        <v>0</v>
      </c>
      <c r="AR155" s="24">
        <f t="shared" si="55"/>
        <v>0</v>
      </c>
      <c r="AS155" s="24">
        <f t="shared" si="56"/>
        <v>0</v>
      </c>
    </row>
    <row r="156" spans="1:45" x14ac:dyDescent="0.25">
      <c r="A156" s="83"/>
      <c r="B156" s="16"/>
      <c r="C156" s="16"/>
      <c r="D156" s="15"/>
      <c r="E156" s="15"/>
      <c r="F156" s="16"/>
      <c r="G156" s="16"/>
      <c r="H156" s="16"/>
      <c r="I156" s="22"/>
      <c r="J156" s="16"/>
      <c r="K156" s="16"/>
      <c r="L156" s="15"/>
      <c r="M156" s="20"/>
      <c r="N156" s="15"/>
      <c r="O156" s="20"/>
      <c r="P156" s="15"/>
      <c r="Q156" s="15"/>
      <c r="R156" s="17" t="str">
        <f>IF(Q156="","",VLOOKUP(Q156,'References (2)'!C:D,2,0))</f>
        <v/>
      </c>
      <c r="S156" s="17" t="str">
        <f>IF(Q156="","",VLOOKUP(Q156,'References (2)'!C:F,4,0))</f>
        <v/>
      </c>
      <c r="T156" s="16"/>
      <c r="U156" s="20"/>
      <c r="V156" s="15"/>
      <c r="W156" s="22"/>
      <c r="X156" s="16"/>
      <c r="Y156" s="22"/>
      <c r="Z156" s="25" t="str">
        <f t="shared" si="38"/>
        <v/>
      </c>
      <c r="AA156" s="17" t="str">
        <f t="shared" ca="1" si="39"/>
        <v/>
      </c>
      <c r="AB156" s="17" t="str">
        <f t="shared" ca="1" si="40"/>
        <v/>
      </c>
      <c r="AC156" s="17" t="str">
        <f t="shared" ca="1" si="41"/>
        <v/>
      </c>
      <c r="AD156" s="17" t="str">
        <f t="shared" ca="1" si="42"/>
        <v/>
      </c>
      <c r="AE156" s="17" t="str">
        <f t="shared" si="43"/>
        <v/>
      </c>
      <c r="AF156" s="17" t="str">
        <f t="shared" si="44"/>
        <v/>
      </c>
      <c r="AG156" s="17" t="str">
        <f t="shared" si="45"/>
        <v/>
      </c>
      <c r="AH156" s="17">
        <f t="shared" si="46"/>
        <v>0</v>
      </c>
      <c r="AI156" s="17" t="str">
        <f t="shared" ca="1" si="47"/>
        <v/>
      </c>
      <c r="AJ156" s="17" t="str">
        <f t="shared" ca="1" si="48"/>
        <v/>
      </c>
      <c r="AK156" s="17" t="str">
        <f t="shared" si="49"/>
        <v/>
      </c>
      <c r="AL156" s="17" t="str">
        <f t="shared" ca="1" si="50"/>
        <v/>
      </c>
      <c r="AN156" s="24">
        <f t="shared" si="51"/>
        <v>0</v>
      </c>
      <c r="AO156" s="24">
        <f t="shared" si="52"/>
        <v>0</v>
      </c>
      <c r="AP156" s="24">
        <f t="shared" si="53"/>
        <v>0</v>
      </c>
      <c r="AQ156" s="24">
        <f t="shared" si="54"/>
        <v>0</v>
      </c>
      <c r="AR156" s="24">
        <f t="shared" si="55"/>
        <v>0</v>
      </c>
      <c r="AS156" s="24">
        <f t="shared" si="56"/>
        <v>0</v>
      </c>
    </row>
    <row r="157" spans="1:45" x14ac:dyDescent="0.25">
      <c r="A157" s="83"/>
      <c r="B157" s="16"/>
      <c r="C157" s="16"/>
      <c r="D157" s="15"/>
      <c r="E157" s="15"/>
      <c r="F157" s="16"/>
      <c r="G157" s="16"/>
      <c r="H157" s="16"/>
      <c r="I157" s="22"/>
      <c r="J157" s="16"/>
      <c r="K157" s="16"/>
      <c r="L157" s="15"/>
      <c r="M157" s="20"/>
      <c r="N157" s="15"/>
      <c r="O157" s="20"/>
      <c r="P157" s="15"/>
      <c r="Q157" s="15"/>
      <c r="R157" s="17" t="str">
        <f>IF(Q157="","",VLOOKUP(Q157,'References (2)'!C:D,2,0))</f>
        <v/>
      </c>
      <c r="S157" s="17" t="str">
        <f>IF(Q157="","",VLOOKUP(Q157,'References (2)'!C:F,4,0))</f>
        <v/>
      </c>
      <c r="T157" s="16"/>
      <c r="U157" s="20"/>
      <c r="V157" s="15"/>
      <c r="W157" s="22"/>
      <c r="X157" s="16"/>
      <c r="Y157" s="22"/>
      <c r="Z157" s="25" t="str">
        <f t="shared" si="38"/>
        <v/>
      </c>
      <c r="AA157" s="17" t="str">
        <f t="shared" ca="1" si="39"/>
        <v/>
      </c>
      <c r="AB157" s="17" t="str">
        <f t="shared" ca="1" si="40"/>
        <v/>
      </c>
      <c r="AC157" s="17" t="str">
        <f t="shared" ca="1" si="41"/>
        <v/>
      </c>
      <c r="AD157" s="17" t="str">
        <f t="shared" ca="1" si="42"/>
        <v/>
      </c>
      <c r="AE157" s="17" t="str">
        <f t="shared" si="43"/>
        <v/>
      </c>
      <c r="AF157" s="17" t="str">
        <f t="shared" si="44"/>
        <v/>
      </c>
      <c r="AG157" s="17" t="str">
        <f t="shared" si="45"/>
        <v/>
      </c>
      <c r="AH157" s="17">
        <f t="shared" si="46"/>
        <v>0</v>
      </c>
      <c r="AI157" s="17" t="str">
        <f t="shared" ca="1" si="47"/>
        <v/>
      </c>
      <c r="AJ157" s="17" t="str">
        <f t="shared" ca="1" si="48"/>
        <v/>
      </c>
      <c r="AK157" s="17" t="str">
        <f t="shared" si="49"/>
        <v/>
      </c>
      <c r="AL157" s="17" t="str">
        <f t="shared" ca="1" si="50"/>
        <v/>
      </c>
      <c r="AN157" s="24">
        <f t="shared" si="51"/>
        <v>0</v>
      </c>
      <c r="AO157" s="24">
        <f t="shared" si="52"/>
        <v>0</v>
      </c>
      <c r="AP157" s="24">
        <f t="shared" si="53"/>
        <v>0</v>
      </c>
      <c r="AQ157" s="24">
        <f t="shared" si="54"/>
        <v>0</v>
      </c>
      <c r="AR157" s="24">
        <f t="shared" si="55"/>
        <v>0</v>
      </c>
      <c r="AS157" s="24">
        <f t="shared" si="56"/>
        <v>0</v>
      </c>
    </row>
    <row r="158" spans="1:45" x14ac:dyDescent="0.25">
      <c r="A158" s="83"/>
      <c r="B158" s="16"/>
      <c r="C158" s="16"/>
      <c r="D158" s="15"/>
      <c r="E158" s="15"/>
      <c r="F158" s="16"/>
      <c r="G158" s="16"/>
      <c r="H158" s="16"/>
      <c r="I158" s="22"/>
      <c r="J158" s="16"/>
      <c r="K158" s="16"/>
      <c r="L158" s="15"/>
      <c r="M158" s="20"/>
      <c r="N158" s="15"/>
      <c r="O158" s="20"/>
      <c r="P158" s="15"/>
      <c r="Q158" s="15"/>
      <c r="R158" s="17" t="str">
        <f>IF(Q158="","",VLOOKUP(Q158,'References (2)'!C:D,2,0))</f>
        <v/>
      </c>
      <c r="S158" s="17" t="str">
        <f>IF(Q158="","",VLOOKUP(Q158,'References (2)'!C:F,4,0))</f>
        <v/>
      </c>
      <c r="T158" s="16"/>
      <c r="U158" s="20"/>
      <c r="V158" s="15"/>
      <c r="W158" s="22"/>
      <c r="X158" s="16"/>
      <c r="Y158" s="22"/>
      <c r="Z158" s="25" t="str">
        <f t="shared" si="38"/>
        <v/>
      </c>
      <c r="AA158" s="17" t="str">
        <f t="shared" ca="1" si="39"/>
        <v/>
      </c>
      <c r="AB158" s="17" t="str">
        <f t="shared" ca="1" si="40"/>
        <v/>
      </c>
      <c r="AC158" s="17" t="str">
        <f t="shared" ca="1" si="41"/>
        <v/>
      </c>
      <c r="AD158" s="17" t="str">
        <f t="shared" ca="1" si="42"/>
        <v/>
      </c>
      <c r="AE158" s="17" t="str">
        <f t="shared" si="43"/>
        <v/>
      </c>
      <c r="AF158" s="17" t="str">
        <f t="shared" si="44"/>
        <v/>
      </c>
      <c r="AG158" s="17" t="str">
        <f t="shared" si="45"/>
        <v/>
      </c>
      <c r="AH158" s="17">
        <f t="shared" si="46"/>
        <v>0</v>
      </c>
      <c r="AI158" s="17" t="str">
        <f t="shared" ca="1" si="47"/>
        <v/>
      </c>
      <c r="AJ158" s="17" t="str">
        <f t="shared" ca="1" si="48"/>
        <v/>
      </c>
      <c r="AK158" s="17" t="str">
        <f t="shared" si="49"/>
        <v/>
      </c>
      <c r="AL158" s="17" t="str">
        <f t="shared" ca="1" si="50"/>
        <v/>
      </c>
      <c r="AN158" s="24">
        <f t="shared" si="51"/>
        <v>0</v>
      </c>
      <c r="AO158" s="24">
        <f t="shared" si="52"/>
        <v>0</v>
      </c>
      <c r="AP158" s="24">
        <f t="shared" si="53"/>
        <v>0</v>
      </c>
      <c r="AQ158" s="24">
        <f t="shared" si="54"/>
        <v>0</v>
      </c>
      <c r="AR158" s="24">
        <f t="shared" si="55"/>
        <v>0</v>
      </c>
      <c r="AS158" s="24">
        <f t="shared" si="56"/>
        <v>0</v>
      </c>
    </row>
    <row r="159" spans="1:45" x14ac:dyDescent="0.25">
      <c r="A159" s="83"/>
      <c r="B159" s="16"/>
      <c r="C159" s="16"/>
      <c r="D159" s="15"/>
      <c r="E159" s="15"/>
      <c r="F159" s="16"/>
      <c r="G159" s="16"/>
      <c r="H159" s="16"/>
      <c r="I159" s="22"/>
      <c r="J159" s="16"/>
      <c r="K159" s="16"/>
      <c r="L159" s="15"/>
      <c r="M159" s="20"/>
      <c r="N159" s="15"/>
      <c r="O159" s="20"/>
      <c r="P159" s="15"/>
      <c r="Q159" s="15"/>
      <c r="R159" s="17" t="str">
        <f>IF(Q159="","",VLOOKUP(Q159,'References (2)'!C:D,2,0))</f>
        <v/>
      </c>
      <c r="S159" s="17" t="str">
        <f>IF(Q159="","",VLOOKUP(Q159,'References (2)'!C:F,4,0))</f>
        <v/>
      </c>
      <c r="T159" s="16"/>
      <c r="U159" s="20"/>
      <c r="V159" s="15"/>
      <c r="W159" s="22"/>
      <c r="X159" s="16"/>
      <c r="Y159" s="22"/>
      <c r="Z159" s="25" t="str">
        <f t="shared" si="38"/>
        <v/>
      </c>
      <c r="AA159" s="17" t="str">
        <f t="shared" ca="1" si="39"/>
        <v/>
      </c>
      <c r="AB159" s="17" t="str">
        <f t="shared" ca="1" si="40"/>
        <v/>
      </c>
      <c r="AC159" s="17" t="str">
        <f t="shared" ca="1" si="41"/>
        <v/>
      </c>
      <c r="AD159" s="17" t="str">
        <f t="shared" ca="1" si="42"/>
        <v/>
      </c>
      <c r="AE159" s="17" t="str">
        <f t="shared" si="43"/>
        <v/>
      </c>
      <c r="AF159" s="17" t="str">
        <f t="shared" si="44"/>
        <v/>
      </c>
      <c r="AG159" s="17" t="str">
        <f t="shared" si="45"/>
        <v/>
      </c>
      <c r="AH159" s="17">
        <f t="shared" si="46"/>
        <v>0</v>
      </c>
      <c r="AI159" s="17" t="str">
        <f t="shared" ca="1" si="47"/>
        <v/>
      </c>
      <c r="AJ159" s="17" t="str">
        <f t="shared" ca="1" si="48"/>
        <v/>
      </c>
      <c r="AK159" s="17" t="str">
        <f t="shared" si="49"/>
        <v/>
      </c>
      <c r="AL159" s="17" t="str">
        <f t="shared" ca="1" si="50"/>
        <v/>
      </c>
      <c r="AN159" s="24">
        <f t="shared" si="51"/>
        <v>0</v>
      </c>
      <c r="AO159" s="24">
        <f t="shared" si="52"/>
        <v>0</v>
      </c>
      <c r="AP159" s="24">
        <f t="shared" si="53"/>
        <v>0</v>
      </c>
      <c r="AQ159" s="24">
        <f t="shared" si="54"/>
        <v>0</v>
      </c>
      <c r="AR159" s="24">
        <f t="shared" si="55"/>
        <v>0</v>
      </c>
      <c r="AS159" s="24">
        <f t="shared" si="56"/>
        <v>0</v>
      </c>
    </row>
    <row r="160" spans="1:45" x14ac:dyDescent="0.25">
      <c r="A160" s="83"/>
      <c r="B160" s="16"/>
      <c r="C160" s="16"/>
      <c r="D160" s="15"/>
      <c r="E160" s="15"/>
      <c r="F160" s="16"/>
      <c r="G160" s="16"/>
      <c r="H160" s="16"/>
      <c r="I160" s="22"/>
      <c r="J160" s="16"/>
      <c r="K160" s="16"/>
      <c r="L160" s="15"/>
      <c r="M160" s="20"/>
      <c r="N160" s="15"/>
      <c r="O160" s="20"/>
      <c r="P160" s="15"/>
      <c r="Q160" s="15"/>
      <c r="R160" s="17" t="str">
        <f>IF(Q160="","",VLOOKUP(Q160,'References (2)'!C:D,2,0))</f>
        <v/>
      </c>
      <c r="S160" s="17" t="str">
        <f>IF(Q160="","",VLOOKUP(Q160,'References (2)'!C:F,4,0))</f>
        <v/>
      </c>
      <c r="T160" s="16"/>
      <c r="U160" s="20"/>
      <c r="V160" s="15"/>
      <c r="W160" s="22"/>
      <c r="X160" s="16"/>
      <c r="Y160" s="22"/>
      <c r="Z160" s="25" t="str">
        <f t="shared" si="38"/>
        <v/>
      </c>
      <c r="AA160" s="17" t="str">
        <f t="shared" ca="1" si="39"/>
        <v/>
      </c>
      <c r="AB160" s="17" t="str">
        <f t="shared" ca="1" si="40"/>
        <v/>
      </c>
      <c r="AC160" s="17" t="str">
        <f t="shared" ca="1" si="41"/>
        <v/>
      </c>
      <c r="AD160" s="17" t="str">
        <f t="shared" ca="1" si="42"/>
        <v/>
      </c>
      <c r="AE160" s="17" t="str">
        <f t="shared" si="43"/>
        <v/>
      </c>
      <c r="AF160" s="17" t="str">
        <f t="shared" si="44"/>
        <v/>
      </c>
      <c r="AG160" s="17" t="str">
        <f t="shared" si="45"/>
        <v/>
      </c>
      <c r="AH160" s="17">
        <f t="shared" si="46"/>
        <v>0</v>
      </c>
      <c r="AI160" s="17" t="str">
        <f t="shared" ca="1" si="47"/>
        <v/>
      </c>
      <c r="AJ160" s="17" t="str">
        <f t="shared" ca="1" si="48"/>
        <v/>
      </c>
      <c r="AK160" s="17" t="str">
        <f t="shared" si="49"/>
        <v/>
      </c>
      <c r="AL160" s="17" t="str">
        <f t="shared" ca="1" si="50"/>
        <v/>
      </c>
      <c r="AN160" s="24">
        <f t="shared" si="51"/>
        <v>0</v>
      </c>
      <c r="AO160" s="24">
        <f t="shared" si="52"/>
        <v>0</v>
      </c>
      <c r="AP160" s="24">
        <f t="shared" si="53"/>
        <v>0</v>
      </c>
      <c r="AQ160" s="24">
        <f t="shared" si="54"/>
        <v>0</v>
      </c>
      <c r="AR160" s="24">
        <f t="shared" si="55"/>
        <v>0</v>
      </c>
      <c r="AS160" s="24">
        <f t="shared" si="56"/>
        <v>0</v>
      </c>
    </row>
    <row r="161" spans="1:45" x14ac:dyDescent="0.25">
      <c r="A161" s="83"/>
      <c r="B161" s="16"/>
      <c r="C161" s="16"/>
      <c r="D161" s="15"/>
      <c r="E161" s="15"/>
      <c r="F161" s="16"/>
      <c r="G161" s="16"/>
      <c r="H161" s="16"/>
      <c r="I161" s="22"/>
      <c r="J161" s="16"/>
      <c r="K161" s="16"/>
      <c r="L161" s="15"/>
      <c r="M161" s="20"/>
      <c r="N161" s="15"/>
      <c r="O161" s="20"/>
      <c r="P161" s="15"/>
      <c r="Q161" s="15"/>
      <c r="R161" s="17" t="str">
        <f>IF(Q161="","",VLOOKUP(Q161,'References (2)'!C:D,2,0))</f>
        <v/>
      </c>
      <c r="S161" s="17" t="str">
        <f>IF(Q161="","",VLOOKUP(Q161,'References (2)'!C:F,4,0))</f>
        <v/>
      </c>
      <c r="T161" s="16"/>
      <c r="U161" s="20"/>
      <c r="V161" s="15"/>
      <c r="W161" s="22"/>
      <c r="X161" s="16"/>
      <c r="Y161" s="22"/>
      <c r="Z161" s="25" t="str">
        <f t="shared" si="38"/>
        <v/>
      </c>
      <c r="AA161" s="17" t="str">
        <f t="shared" ca="1" si="39"/>
        <v/>
      </c>
      <c r="AB161" s="17" t="str">
        <f t="shared" ca="1" si="40"/>
        <v/>
      </c>
      <c r="AC161" s="17" t="str">
        <f t="shared" ca="1" si="41"/>
        <v/>
      </c>
      <c r="AD161" s="17" t="str">
        <f t="shared" ca="1" si="42"/>
        <v/>
      </c>
      <c r="AE161" s="17" t="str">
        <f t="shared" si="43"/>
        <v/>
      </c>
      <c r="AF161" s="17" t="str">
        <f t="shared" si="44"/>
        <v/>
      </c>
      <c r="AG161" s="17" t="str">
        <f t="shared" si="45"/>
        <v/>
      </c>
      <c r="AH161" s="17">
        <f t="shared" si="46"/>
        <v>0</v>
      </c>
      <c r="AI161" s="17" t="str">
        <f t="shared" ca="1" si="47"/>
        <v/>
      </c>
      <c r="AJ161" s="17" t="str">
        <f t="shared" ca="1" si="48"/>
        <v/>
      </c>
      <c r="AK161" s="17" t="str">
        <f t="shared" si="49"/>
        <v/>
      </c>
      <c r="AL161" s="17" t="str">
        <f t="shared" ca="1" si="50"/>
        <v/>
      </c>
      <c r="AN161" s="24">
        <f t="shared" si="51"/>
        <v>0</v>
      </c>
      <c r="AO161" s="24">
        <f t="shared" si="52"/>
        <v>0</v>
      </c>
      <c r="AP161" s="24">
        <f t="shared" si="53"/>
        <v>0</v>
      </c>
      <c r="AQ161" s="24">
        <f t="shared" si="54"/>
        <v>0</v>
      </c>
      <c r="AR161" s="24">
        <f t="shared" si="55"/>
        <v>0</v>
      </c>
      <c r="AS161" s="24">
        <f t="shared" si="56"/>
        <v>0</v>
      </c>
    </row>
    <row r="162" spans="1:45" x14ac:dyDescent="0.25">
      <c r="A162" s="83"/>
      <c r="B162" s="16"/>
      <c r="C162" s="16"/>
      <c r="D162" s="15"/>
      <c r="E162" s="15"/>
      <c r="F162" s="16"/>
      <c r="G162" s="16"/>
      <c r="H162" s="16"/>
      <c r="I162" s="22"/>
      <c r="J162" s="16"/>
      <c r="K162" s="16"/>
      <c r="L162" s="15"/>
      <c r="M162" s="20"/>
      <c r="N162" s="15"/>
      <c r="O162" s="20"/>
      <c r="P162" s="15"/>
      <c r="Q162" s="15"/>
      <c r="R162" s="17" t="str">
        <f>IF(Q162="","",VLOOKUP(Q162,'References (2)'!C:D,2,0))</f>
        <v/>
      </c>
      <c r="S162" s="17" t="str">
        <f>IF(Q162="","",VLOOKUP(Q162,'References (2)'!C:F,4,0))</f>
        <v/>
      </c>
      <c r="T162" s="16"/>
      <c r="U162" s="20"/>
      <c r="V162" s="15"/>
      <c r="W162" s="22"/>
      <c r="X162" s="16"/>
      <c r="Y162" s="22"/>
      <c r="Z162" s="25" t="str">
        <f t="shared" si="38"/>
        <v/>
      </c>
      <c r="AA162" s="17" t="str">
        <f t="shared" ca="1" si="39"/>
        <v/>
      </c>
      <c r="AB162" s="17" t="str">
        <f t="shared" ca="1" si="40"/>
        <v/>
      </c>
      <c r="AC162" s="17" t="str">
        <f t="shared" ca="1" si="41"/>
        <v/>
      </c>
      <c r="AD162" s="17" t="str">
        <f t="shared" ca="1" si="42"/>
        <v/>
      </c>
      <c r="AE162" s="17" t="str">
        <f t="shared" si="43"/>
        <v/>
      </c>
      <c r="AF162" s="17" t="str">
        <f t="shared" si="44"/>
        <v/>
      </c>
      <c r="AG162" s="17" t="str">
        <f t="shared" si="45"/>
        <v/>
      </c>
      <c r="AH162" s="17">
        <f t="shared" si="46"/>
        <v>0</v>
      </c>
      <c r="AI162" s="17" t="str">
        <f t="shared" ca="1" si="47"/>
        <v/>
      </c>
      <c r="AJ162" s="17" t="str">
        <f t="shared" ca="1" si="48"/>
        <v/>
      </c>
      <c r="AK162" s="17" t="str">
        <f t="shared" si="49"/>
        <v/>
      </c>
      <c r="AL162" s="17" t="str">
        <f t="shared" ca="1" si="50"/>
        <v/>
      </c>
      <c r="AN162" s="24">
        <f t="shared" si="51"/>
        <v>0</v>
      </c>
      <c r="AO162" s="24">
        <f t="shared" si="52"/>
        <v>0</v>
      </c>
      <c r="AP162" s="24">
        <f t="shared" si="53"/>
        <v>0</v>
      </c>
      <c r="AQ162" s="24">
        <f t="shared" si="54"/>
        <v>0</v>
      </c>
      <c r="AR162" s="24">
        <f t="shared" si="55"/>
        <v>0</v>
      </c>
      <c r="AS162" s="24">
        <f t="shared" si="56"/>
        <v>0</v>
      </c>
    </row>
    <row r="163" spans="1:45" x14ac:dyDescent="0.25">
      <c r="A163" s="83"/>
      <c r="B163" s="16"/>
      <c r="C163" s="16"/>
      <c r="D163" s="15"/>
      <c r="E163" s="15"/>
      <c r="F163" s="16"/>
      <c r="G163" s="16"/>
      <c r="H163" s="16"/>
      <c r="I163" s="22"/>
      <c r="J163" s="16"/>
      <c r="K163" s="16"/>
      <c r="L163" s="15"/>
      <c r="M163" s="20"/>
      <c r="N163" s="15"/>
      <c r="O163" s="20"/>
      <c r="P163" s="15"/>
      <c r="Q163" s="15"/>
      <c r="R163" s="17" t="str">
        <f>IF(Q163="","",VLOOKUP(Q163,'References (2)'!C:D,2,0))</f>
        <v/>
      </c>
      <c r="S163" s="17" t="str">
        <f>IF(Q163="","",VLOOKUP(Q163,'References (2)'!C:F,4,0))</f>
        <v/>
      </c>
      <c r="T163" s="16"/>
      <c r="U163" s="20"/>
      <c r="V163" s="15"/>
      <c r="W163" s="22"/>
      <c r="X163" s="16"/>
      <c r="Y163" s="22"/>
      <c r="Z163" s="25" t="str">
        <f t="shared" si="38"/>
        <v/>
      </c>
      <c r="AA163" s="17" t="str">
        <f t="shared" ca="1" si="39"/>
        <v/>
      </c>
      <c r="AB163" s="17" t="str">
        <f t="shared" ca="1" si="40"/>
        <v/>
      </c>
      <c r="AC163" s="17" t="str">
        <f t="shared" ca="1" si="41"/>
        <v/>
      </c>
      <c r="AD163" s="17" t="str">
        <f t="shared" ca="1" si="42"/>
        <v/>
      </c>
      <c r="AE163" s="17" t="str">
        <f t="shared" si="43"/>
        <v/>
      </c>
      <c r="AF163" s="17" t="str">
        <f t="shared" si="44"/>
        <v/>
      </c>
      <c r="AG163" s="17" t="str">
        <f t="shared" si="45"/>
        <v/>
      </c>
      <c r="AH163" s="17">
        <f t="shared" si="46"/>
        <v>0</v>
      </c>
      <c r="AI163" s="17" t="str">
        <f t="shared" ca="1" si="47"/>
        <v/>
      </c>
      <c r="AJ163" s="17" t="str">
        <f t="shared" ca="1" si="48"/>
        <v/>
      </c>
      <c r="AK163" s="17" t="str">
        <f t="shared" si="49"/>
        <v/>
      </c>
      <c r="AL163" s="17" t="str">
        <f t="shared" ca="1" si="50"/>
        <v/>
      </c>
      <c r="AN163" s="24">
        <f t="shared" si="51"/>
        <v>0</v>
      </c>
      <c r="AO163" s="24">
        <f t="shared" si="52"/>
        <v>0</v>
      </c>
      <c r="AP163" s="24">
        <f t="shared" si="53"/>
        <v>0</v>
      </c>
      <c r="AQ163" s="24">
        <f t="shared" si="54"/>
        <v>0</v>
      </c>
      <c r="AR163" s="24">
        <f t="shared" si="55"/>
        <v>0</v>
      </c>
      <c r="AS163" s="24">
        <f t="shared" si="56"/>
        <v>0</v>
      </c>
    </row>
    <row r="164" spans="1:45" x14ac:dyDescent="0.25">
      <c r="A164" s="83"/>
      <c r="B164" s="16"/>
      <c r="C164" s="16"/>
      <c r="D164" s="15"/>
      <c r="E164" s="15"/>
      <c r="F164" s="16"/>
      <c r="G164" s="16"/>
      <c r="H164" s="16"/>
      <c r="I164" s="22"/>
      <c r="J164" s="16"/>
      <c r="K164" s="16"/>
      <c r="L164" s="15"/>
      <c r="M164" s="20"/>
      <c r="N164" s="15"/>
      <c r="O164" s="20"/>
      <c r="P164" s="15"/>
      <c r="Q164" s="15"/>
      <c r="R164" s="17" t="str">
        <f>IF(Q164="","",VLOOKUP(Q164,'References (2)'!C:D,2,0))</f>
        <v/>
      </c>
      <c r="S164" s="17" t="str">
        <f>IF(Q164="","",VLOOKUP(Q164,'References (2)'!C:F,4,0))</f>
        <v/>
      </c>
      <c r="T164" s="16"/>
      <c r="U164" s="20"/>
      <c r="V164" s="15"/>
      <c r="W164" s="22"/>
      <c r="X164" s="16"/>
      <c r="Y164" s="22"/>
      <c r="Z164" s="25" t="str">
        <f t="shared" si="38"/>
        <v/>
      </c>
      <c r="AA164" s="17" t="str">
        <f t="shared" ca="1" si="39"/>
        <v/>
      </c>
      <c r="AB164" s="17" t="str">
        <f t="shared" ca="1" si="40"/>
        <v/>
      </c>
      <c r="AC164" s="17" t="str">
        <f t="shared" ca="1" si="41"/>
        <v/>
      </c>
      <c r="AD164" s="17" t="str">
        <f t="shared" ca="1" si="42"/>
        <v/>
      </c>
      <c r="AE164" s="17" t="str">
        <f t="shared" si="43"/>
        <v/>
      </c>
      <c r="AF164" s="17" t="str">
        <f t="shared" si="44"/>
        <v/>
      </c>
      <c r="AG164" s="17" t="str">
        <f t="shared" si="45"/>
        <v/>
      </c>
      <c r="AH164" s="17">
        <f t="shared" si="46"/>
        <v>0</v>
      </c>
      <c r="AI164" s="17" t="str">
        <f t="shared" ca="1" si="47"/>
        <v/>
      </c>
      <c r="AJ164" s="17" t="str">
        <f t="shared" ca="1" si="48"/>
        <v/>
      </c>
      <c r="AK164" s="17" t="str">
        <f t="shared" si="49"/>
        <v/>
      </c>
      <c r="AL164" s="17" t="str">
        <f t="shared" ca="1" si="50"/>
        <v/>
      </c>
      <c r="AN164" s="24">
        <f t="shared" si="51"/>
        <v>0</v>
      </c>
      <c r="AO164" s="24">
        <f t="shared" si="52"/>
        <v>0</v>
      </c>
      <c r="AP164" s="24">
        <f t="shared" si="53"/>
        <v>0</v>
      </c>
      <c r="AQ164" s="24">
        <f t="shared" si="54"/>
        <v>0</v>
      </c>
      <c r="AR164" s="24">
        <f t="shared" si="55"/>
        <v>0</v>
      </c>
      <c r="AS164" s="24">
        <f t="shared" si="56"/>
        <v>0</v>
      </c>
    </row>
    <row r="165" spans="1:45" x14ac:dyDescent="0.25">
      <c r="A165" s="83"/>
      <c r="B165" s="16"/>
      <c r="C165" s="16"/>
      <c r="D165" s="15"/>
      <c r="E165" s="15"/>
      <c r="F165" s="16"/>
      <c r="G165" s="16"/>
      <c r="H165" s="16"/>
      <c r="I165" s="22"/>
      <c r="J165" s="16"/>
      <c r="K165" s="16"/>
      <c r="L165" s="15"/>
      <c r="M165" s="20"/>
      <c r="N165" s="15"/>
      <c r="O165" s="20"/>
      <c r="P165" s="15"/>
      <c r="Q165" s="15"/>
      <c r="R165" s="17" t="str">
        <f>IF(Q165="","",VLOOKUP(Q165,'References (2)'!C:D,2,0))</f>
        <v/>
      </c>
      <c r="S165" s="17" t="str">
        <f>IF(Q165="","",VLOOKUP(Q165,'References (2)'!C:F,4,0))</f>
        <v/>
      </c>
      <c r="T165" s="16"/>
      <c r="U165" s="20"/>
      <c r="V165" s="15"/>
      <c r="W165" s="22"/>
      <c r="X165" s="16"/>
      <c r="Y165" s="22"/>
      <c r="Z165" s="25" t="str">
        <f t="shared" si="38"/>
        <v/>
      </c>
      <c r="AA165" s="17" t="str">
        <f t="shared" ca="1" si="39"/>
        <v/>
      </c>
      <c r="AB165" s="17" t="str">
        <f t="shared" ca="1" si="40"/>
        <v/>
      </c>
      <c r="AC165" s="17" t="str">
        <f t="shared" ca="1" si="41"/>
        <v/>
      </c>
      <c r="AD165" s="17" t="str">
        <f t="shared" ca="1" si="42"/>
        <v/>
      </c>
      <c r="AE165" s="17" t="str">
        <f t="shared" si="43"/>
        <v/>
      </c>
      <c r="AF165" s="17" t="str">
        <f t="shared" si="44"/>
        <v/>
      </c>
      <c r="AG165" s="17" t="str">
        <f t="shared" si="45"/>
        <v/>
      </c>
      <c r="AH165" s="17">
        <f t="shared" si="46"/>
        <v>0</v>
      </c>
      <c r="AI165" s="17" t="str">
        <f t="shared" ca="1" si="47"/>
        <v/>
      </c>
      <c r="AJ165" s="17" t="str">
        <f t="shared" ca="1" si="48"/>
        <v/>
      </c>
      <c r="AK165" s="17" t="str">
        <f t="shared" si="49"/>
        <v/>
      </c>
      <c r="AL165" s="17" t="str">
        <f t="shared" ca="1" si="50"/>
        <v/>
      </c>
      <c r="AN165" s="24">
        <f t="shared" si="51"/>
        <v>0</v>
      </c>
      <c r="AO165" s="24">
        <f t="shared" si="52"/>
        <v>0</v>
      </c>
      <c r="AP165" s="24">
        <f t="shared" si="53"/>
        <v>0</v>
      </c>
      <c r="AQ165" s="24">
        <f t="shared" si="54"/>
        <v>0</v>
      </c>
      <c r="AR165" s="24">
        <f t="shared" si="55"/>
        <v>0</v>
      </c>
      <c r="AS165" s="24">
        <f t="shared" si="56"/>
        <v>0</v>
      </c>
    </row>
    <row r="166" spans="1:45" x14ac:dyDescent="0.25">
      <c r="A166" s="83"/>
      <c r="B166" s="16"/>
      <c r="C166" s="16"/>
      <c r="D166" s="15"/>
      <c r="E166" s="15"/>
      <c r="F166" s="16"/>
      <c r="G166" s="16"/>
      <c r="H166" s="16"/>
      <c r="I166" s="22"/>
      <c r="J166" s="16"/>
      <c r="K166" s="16"/>
      <c r="L166" s="15"/>
      <c r="M166" s="20"/>
      <c r="N166" s="15"/>
      <c r="O166" s="20"/>
      <c r="P166" s="15"/>
      <c r="Q166" s="15"/>
      <c r="R166" s="17" t="str">
        <f>IF(Q166="","",VLOOKUP(Q166,'References (2)'!C:D,2,0))</f>
        <v/>
      </c>
      <c r="S166" s="17" t="str">
        <f>IF(Q166="","",VLOOKUP(Q166,'References (2)'!C:F,4,0))</f>
        <v/>
      </c>
      <c r="T166" s="16"/>
      <c r="U166" s="20"/>
      <c r="V166" s="15"/>
      <c r="W166" s="22"/>
      <c r="X166" s="16"/>
      <c r="Y166" s="22"/>
      <c r="Z166" s="25" t="str">
        <f t="shared" si="38"/>
        <v/>
      </c>
      <c r="AA166" s="17" t="str">
        <f t="shared" ca="1" si="39"/>
        <v/>
      </c>
      <c r="AB166" s="17" t="str">
        <f t="shared" ca="1" si="40"/>
        <v/>
      </c>
      <c r="AC166" s="17" t="str">
        <f t="shared" ca="1" si="41"/>
        <v/>
      </c>
      <c r="AD166" s="17" t="str">
        <f t="shared" ca="1" si="42"/>
        <v/>
      </c>
      <c r="AE166" s="17" t="str">
        <f t="shared" si="43"/>
        <v/>
      </c>
      <c r="AF166" s="17" t="str">
        <f t="shared" si="44"/>
        <v/>
      </c>
      <c r="AG166" s="17" t="str">
        <f t="shared" si="45"/>
        <v/>
      </c>
      <c r="AH166" s="17">
        <f t="shared" si="46"/>
        <v>0</v>
      </c>
      <c r="AI166" s="17" t="str">
        <f t="shared" ca="1" si="47"/>
        <v/>
      </c>
      <c r="AJ166" s="17" t="str">
        <f t="shared" ca="1" si="48"/>
        <v/>
      </c>
      <c r="AK166" s="17" t="str">
        <f t="shared" si="49"/>
        <v/>
      </c>
      <c r="AL166" s="17" t="str">
        <f t="shared" ca="1" si="50"/>
        <v/>
      </c>
      <c r="AN166" s="24">
        <f t="shared" si="51"/>
        <v>0</v>
      </c>
      <c r="AO166" s="24">
        <f t="shared" si="52"/>
        <v>0</v>
      </c>
      <c r="AP166" s="24">
        <f t="shared" si="53"/>
        <v>0</v>
      </c>
      <c r="AQ166" s="24">
        <f t="shared" si="54"/>
        <v>0</v>
      </c>
      <c r="AR166" s="24">
        <f t="shared" si="55"/>
        <v>0</v>
      </c>
      <c r="AS166" s="24">
        <f t="shared" si="56"/>
        <v>0</v>
      </c>
    </row>
    <row r="167" spans="1:45" x14ac:dyDescent="0.25">
      <c r="A167" s="83"/>
      <c r="B167" s="16"/>
      <c r="C167" s="16"/>
      <c r="D167" s="15"/>
      <c r="E167" s="15"/>
      <c r="F167" s="16"/>
      <c r="G167" s="16"/>
      <c r="H167" s="16"/>
      <c r="I167" s="22"/>
      <c r="J167" s="16"/>
      <c r="K167" s="16"/>
      <c r="L167" s="15"/>
      <c r="M167" s="20"/>
      <c r="N167" s="15"/>
      <c r="O167" s="20"/>
      <c r="P167" s="15"/>
      <c r="Q167" s="15"/>
      <c r="R167" s="17" t="str">
        <f>IF(Q167="","",VLOOKUP(Q167,'References (2)'!C:D,2,0))</f>
        <v/>
      </c>
      <c r="S167" s="17" t="str">
        <f>IF(Q167="","",VLOOKUP(Q167,'References (2)'!C:F,4,0))</f>
        <v/>
      </c>
      <c r="T167" s="16"/>
      <c r="U167" s="20"/>
      <c r="V167" s="15"/>
      <c r="W167" s="22"/>
      <c r="X167" s="16"/>
      <c r="Y167" s="22"/>
      <c r="Z167" s="25" t="str">
        <f t="shared" si="38"/>
        <v/>
      </c>
      <c r="AA167" s="17" t="str">
        <f t="shared" ca="1" si="39"/>
        <v/>
      </c>
      <c r="AB167" s="17" t="str">
        <f t="shared" ca="1" si="40"/>
        <v/>
      </c>
      <c r="AC167" s="17" t="str">
        <f t="shared" ca="1" si="41"/>
        <v/>
      </c>
      <c r="AD167" s="17" t="str">
        <f t="shared" ca="1" si="42"/>
        <v/>
      </c>
      <c r="AE167" s="17" t="str">
        <f t="shared" si="43"/>
        <v/>
      </c>
      <c r="AF167" s="17" t="str">
        <f t="shared" si="44"/>
        <v/>
      </c>
      <c r="AG167" s="17" t="str">
        <f t="shared" si="45"/>
        <v/>
      </c>
      <c r="AH167" s="17">
        <f t="shared" si="46"/>
        <v>0</v>
      </c>
      <c r="AI167" s="17" t="str">
        <f t="shared" ca="1" si="47"/>
        <v/>
      </c>
      <c r="AJ167" s="17" t="str">
        <f t="shared" ca="1" si="48"/>
        <v/>
      </c>
      <c r="AK167" s="17" t="str">
        <f t="shared" si="49"/>
        <v/>
      </c>
      <c r="AL167" s="17" t="str">
        <f t="shared" ca="1" si="50"/>
        <v/>
      </c>
      <c r="AN167" s="24">
        <f t="shared" si="51"/>
        <v>0</v>
      </c>
      <c r="AO167" s="24">
        <f t="shared" si="52"/>
        <v>0</v>
      </c>
      <c r="AP167" s="24">
        <f t="shared" si="53"/>
        <v>0</v>
      </c>
      <c r="AQ167" s="24">
        <f t="shared" si="54"/>
        <v>0</v>
      </c>
      <c r="AR167" s="24">
        <f t="shared" si="55"/>
        <v>0</v>
      </c>
      <c r="AS167" s="24">
        <f t="shared" si="56"/>
        <v>0</v>
      </c>
    </row>
    <row r="168" spans="1:45" x14ac:dyDescent="0.25">
      <c r="A168" s="83"/>
      <c r="B168" s="16"/>
      <c r="C168" s="16"/>
      <c r="D168" s="15"/>
      <c r="E168" s="15"/>
      <c r="F168" s="16"/>
      <c r="G168" s="16"/>
      <c r="H168" s="16"/>
      <c r="I168" s="22"/>
      <c r="J168" s="16"/>
      <c r="K168" s="16"/>
      <c r="L168" s="15"/>
      <c r="M168" s="20"/>
      <c r="N168" s="15"/>
      <c r="O168" s="20"/>
      <c r="P168" s="15"/>
      <c r="Q168" s="15"/>
      <c r="R168" s="17" t="str">
        <f>IF(Q168="","",VLOOKUP(Q168,'References (2)'!C:D,2,0))</f>
        <v/>
      </c>
      <c r="S168" s="17" t="str">
        <f>IF(Q168="","",VLOOKUP(Q168,'References (2)'!C:F,4,0))</f>
        <v/>
      </c>
      <c r="T168" s="16"/>
      <c r="U168" s="20"/>
      <c r="V168" s="15"/>
      <c r="W168" s="22"/>
      <c r="X168" s="16"/>
      <c r="Y168" s="22"/>
      <c r="Z168" s="25" t="str">
        <f t="shared" si="38"/>
        <v/>
      </c>
      <c r="AA168" s="17" t="str">
        <f t="shared" ca="1" si="39"/>
        <v/>
      </c>
      <c r="AB168" s="17" t="str">
        <f t="shared" ca="1" si="40"/>
        <v/>
      </c>
      <c r="AC168" s="17" t="str">
        <f t="shared" ca="1" si="41"/>
        <v/>
      </c>
      <c r="AD168" s="17" t="str">
        <f t="shared" ca="1" si="42"/>
        <v/>
      </c>
      <c r="AE168" s="17" t="str">
        <f t="shared" si="43"/>
        <v/>
      </c>
      <c r="AF168" s="17" t="str">
        <f t="shared" si="44"/>
        <v/>
      </c>
      <c r="AG168" s="17" t="str">
        <f t="shared" si="45"/>
        <v/>
      </c>
      <c r="AH168" s="17">
        <f t="shared" si="46"/>
        <v>0</v>
      </c>
      <c r="AI168" s="17" t="str">
        <f t="shared" ca="1" si="47"/>
        <v/>
      </c>
      <c r="AJ168" s="17" t="str">
        <f t="shared" ca="1" si="48"/>
        <v/>
      </c>
      <c r="AK168" s="17" t="str">
        <f t="shared" si="49"/>
        <v/>
      </c>
      <c r="AL168" s="17" t="str">
        <f t="shared" ca="1" si="50"/>
        <v/>
      </c>
      <c r="AN168" s="24">
        <f t="shared" si="51"/>
        <v>0</v>
      </c>
      <c r="AO168" s="24">
        <f t="shared" si="52"/>
        <v>0</v>
      </c>
      <c r="AP168" s="24">
        <f t="shared" si="53"/>
        <v>0</v>
      </c>
      <c r="AQ168" s="24">
        <f t="shared" si="54"/>
        <v>0</v>
      </c>
      <c r="AR168" s="24">
        <f t="shared" si="55"/>
        <v>0</v>
      </c>
      <c r="AS168" s="24">
        <f t="shared" si="56"/>
        <v>0</v>
      </c>
    </row>
    <row r="169" spans="1:45" x14ac:dyDescent="0.25">
      <c r="A169" s="83"/>
      <c r="B169" s="16"/>
      <c r="C169" s="16"/>
      <c r="D169" s="15"/>
      <c r="E169" s="15"/>
      <c r="F169" s="16"/>
      <c r="G169" s="16"/>
      <c r="H169" s="16"/>
      <c r="I169" s="22"/>
      <c r="J169" s="16"/>
      <c r="K169" s="16"/>
      <c r="L169" s="15"/>
      <c r="M169" s="20"/>
      <c r="N169" s="15"/>
      <c r="O169" s="20"/>
      <c r="P169" s="15"/>
      <c r="Q169" s="15"/>
      <c r="R169" s="17" t="str">
        <f>IF(Q169="","",VLOOKUP(Q169,'References (2)'!C:D,2,0))</f>
        <v/>
      </c>
      <c r="S169" s="17" t="str">
        <f>IF(Q169="","",VLOOKUP(Q169,'References (2)'!C:F,4,0))</f>
        <v/>
      </c>
      <c r="T169" s="16"/>
      <c r="U169" s="20"/>
      <c r="V169" s="15"/>
      <c r="W169" s="22"/>
      <c r="X169" s="16"/>
      <c r="Y169" s="22"/>
      <c r="Z169" s="25" t="str">
        <f t="shared" si="38"/>
        <v/>
      </c>
      <c r="AA169" s="17" t="str">
        <f t="shared" ca="1" si="39"/>
        <v/>
      </c>
      <c r="AB169" s="17" t="str">
        <f t="shared" ca="1" si="40"/>
        <v/>
      </c>
      <c r="AC169" s="17" t="str">
        <f t="shared" ca="1" si="41"/>
        <v/>
      </c>
      <c r="AD169" s="17" t="str">
        <f t="shared" ca="1" si="42"/>
        <v/>
      </c>
      <c r="AE169" s="17" t="str">
        <f t="shared" si="43"/>
        <v/>
      </c>
      <c r="AF169" s="17" t="str">
        <f t="shared" si="44"/>
        <v/>
      </c>
      <c r="AG169" s="17" t="str">
        <f t="shared" si="45"/>
        <v/>
      </c>
      <c r="AH169" s="17">
        <f t="shared" si="46"/>
        <v>0</v>
      </c>
      <c r="AI169" s="17" t="str">
        <f t="shared" ca="1" si="47"/>
        <v/>
      </c>
      <c r="AJ169" s="17" t="str">
        <f t="shared" ca="1" si="48"/>
        <v/>
      </c>
      <c r="AK169" s="17" t="str">
        <f t="shared" si="49"/>
        <v/>
      </c>
      <c r="AL169" s="17" t="str">
        <f t="shared" ca="1" si="50"/>
        <v/>
      </c>
      <c r="AN169" s="24">
        <f t="shared" si="51"/>
        <v>0</v>
      </c>
      <c r="AO169" s="24">
        <f t="shared" si="52"/>
        <v>0</v>
      </c>
      <c r="AP169" s="24">
        <f t="shared" si="53"/>
        <v>0</v>
      </c>
      <c r="AQ169" s="24">
        <f t="shared" si="54"/>
        <v>0</v>
      </c>
      <c r="AR169" s="24">
        <f t="shared" si="55"/>
        <v>0</v>
      </c>
      <c r="AS169" s="24">
        <f t="shared" si="56"/>
        <v>0</v>
      </c>
    </row>
    <row r="170" spans="1:45" x14ac:dyDescent="0.25">
      <c r="A170" s="83"/>
      <c r="B170" s="16"/>
      <c r="C170" s="16"/>
      <c r="D170" s="15"/>
      <c r="E170" s="15"/>
      <c r="F170" s="16"/>
      <c r="G170" s="16"/>
      <c r="H170" s="16"/>
      <c r="I170" s="22"/>
      <c r="J170" s="16"/>
      <c r="K170" s="16"/>
      <c r="L170" s="15"/>
      <c r="M170" s="20"/>
      <c r="N170" s="15"/>
      <c r="O170" s="20"/>
      <c r="P170" s="15"/>
      <c r="Q170" s="15"/>
      <c r="R170" s="17" t="str">
        <f>IF(Q170="","",VLOOKUP(Q170,'References (2)'!C:D,2,0))</f>
        <v/>
      </c>
      <c r="S170" s="17" t="str">
        <f>IF(Q170="","",VLOOKUP(Q170,'References (2)'!C:F,4,0))</f>
        <v/>
      </c>
      <c r="T170" s="16"/>
      <c r="U170" s="20"/>
      <c r="V170" s="15"/>
      <c r="W170" s="22"/>
      <c r="X170" s="16"/>
      <c r="Y170" s="22"/>
      <c r="Z170" s="25" t="str">
        <f t="shared" si="38"/>
        <v/>
      </c>
      <c r="AA170" s="17" t="str">
        <f t="shared" ca="1" si="39"/>
        <v/>
      </c>
      <c r="AB170" s="17" t="str">
        <f t="shared" ca="1" si="40"/>
        <v/>
      </c>
      <c r="AC170" s="17" t="str">
        <f t="shared" ca="1" si="41"/>
        <v/>
      </c>
      <c r="AD170" s="17" t="str">
        <f t="shared" ca="1" si="42"/>
        <v/>
      </c>
      <c r="AE170" s="17" t="str">
        <f t="shared" si="43"/>
        <v/>
      </c>
      <c r="AF170" s="17" t="str">
        <f t="shared" si="44"/>
        <v/>
      </c>
      <c r="AG170" s="17" t="str">
        <f t="shared" si="45"/>
        <v/>
      </c>
      <c r="AH170" s="17">
        <f t="shared" si="46"/>
        <v>0</v>
      </c>
      <c r="AI170" s="17" t="str">
        <f t="shared" ca="1" si="47"/>
        <v/>
      </c>
      <c r="AJ170" s="17" t="str">
        <f t="shared" ca="1" si="48"/>
        <v/>
      </c>
      <c r="AK170" s="17" t="str">
        <f t="shared" si="49"/>
        <v/>
      </c>
      <c r="AL170" s="17" t="str">
        <f t="shared" ca="1" si="50"/>
        <v/>
      </c>
      <c r="AN170" s="24">
        <f t="shared" si="51"/>
        <v>0</v>
      </c>
      <c r="AO170" s="24">
        <f t="shared" si="52"/>
        <v>0</v>
      </c>
      <c r="AP170" s="24">
        <f t="shared" si="53"/>
        <v>0</v>
      </c>
      <c r="AQ170" s="24">
        <f t="shared" si="54"/>
        <v>0</v>
      </c>
      <c r="AR170" s="24">
        <f t="shared" si="55"/>
        <v>0</v>
      </c>
      <c r="AS170" s="24">
        <f t="shared" si="56"/>
        <v>0</v>
      </c>
    </row>
    <row r="171" spans="1:45" x14ac:dyDescent="0.25">
      <c r="A171" s="83"/>
      <c r="B171" s="16"/>
      <c r="C171" s="16"/>
      <c r="D171" s="15"/>
      <c r="E171" s="15"/>
      <c r="F171" s="16"/>
      <c r="G171" s="16"/>
      <c r="H171" s="16"/>
      <c r="I171" s="22"/>
      <c r="J171" s="16"/>
      <c r="K171" s="16"/>
      <c r="L171" s="15"/>
      <c r="M171" s="20"/>
      <c r="N171" s="15"/>
      <c r="O171" s="20"/>
      <c r="P171" s="15"/>
      <c r="Q171" s="15"/>
      <c r="R171" s="17" t="str">
        <f>IF(Q171="","",VLOOKUP(Q171,'References (2)'!C:D,2,0))</f>
        <v/>
      </c>
      <c r="S171" s="17" t="str">
        <f>IF(Q171="","",VLOOKUP(Q171,'References (2)'!C:F,4,0))</f>
        <v/>
      </c>
      <c r="T171" s="16"/>
      <c r="U171" s="20"/>
      <c r="V171" s="15"/>
      <c r="W171" s="22"/>
      <c r="X171" s="16"/>
      <c r="Y171" s="22"/>
      <c r="Z171" s="25" t="str">
        <f t="shared" si="38"/>
        <v/>
      </c>
      <c r="AA171" s="17" t="str">
        <f t="shared" ca="1" si="39"/>
        <v/>
      </c>
      <c r="AB171" s="17" t="str">
        <f t="shared" ca="1" si="40"/>
        <v/>
      </c>
      <c r="AC171" s="17" t="str">
        <f t="shared" ca="1" si="41"/>
        <v/>
      </c>
      <c r="AD171" s="17" t="str">
        <f t="shared" ca="1" si="42"/>
        <v/>
      </c>
      <c r="AE171" s="17" t="str">
        <f t="shared" si="43"/>
        <v/>
      </c>
      <c r="AF171" s="17" t="str">
        <f t="shared" si="44"/>
        <v/>
      </c>
      <c r="AG171" s="17" t="str">
        <f t="shared" si="45"/>
        <v/>
      </c>
      <c r="AH171" s="17">
        <f t="shared" si="46"/>
        <v>0</v>
      </c>
      <c r="AI171" s="17" t="str">
        <f t="shared" ca="1" si="47"/>
        <v/>
      </c>
      <c r="AJ171" s="17" t="str">
        <f t="shared" ca="1" si="48"/>
        <v/>
      </c>
      <c r="AK171" s="17" t="str">
        <f t="shared" si="49"/>
        <v/>
      </c>
      <c r="AL171" s="17" t="str">
        <f t="shared" ca="1" si="50"/>
        <v/>
      </c>
      <c r="AN171" s="24">
        <f t="shared" si="51"/>
        <v>0</v>
      </c>
      <c r="AO171" s="24">
        <f t="shared" si="52"/>
        <v>0</v>
      </c>
      <c r="AP171" s="24">
        <f t="shared" si="53"/>
        <v>0</v>
      </c>
      <c r="AQ171" s="24">
        <f t="shared" si="54"/>
        <v>0</v>
      </c>
      <c r="AR171" s="24">
        <f t="shared" si="55"/>
        <v>0</v>
      </c>
      <c r="AS171" s="24">
        <f t="shared" si="56"/>
        <v>0</v>
      </c>
    </row>
    <row r="172" spans="1:45" x14ac:dyDescent="0.25">
      <c r="A172" s="83"/>
      <c r="B172" s="16"/>
      <c r="C172" s="16"/>
      <c r="D172" s="15"/>
      <c r="E172" s="15"/>
      <c r="F172" s="16"/>
      <c r="G172" s="16"/>
      <c r="H172" s="16"/>
      <c r="I172" s="22"/>
      <c r="J172" s="16"/>
      <c r="K172" s="16"/>
      <c r="L172" s="15"/>
      <c r="M172" s="20"/>
      <c r="N172" s="15"/>
      <c r="O172" s="20"/>
      <c r="P172" s="15"/>
      <c r="Q172" s="15"/>
      <c r="R172" s="17" t="str">
        <f>IF(Q172="","",VLOOKUP(Q172,'References (2)'!C:D,2,0))</f>
        <v/>
      </c>
      <c r="S172" s="17" t="str">
        <f>IF(Q172="","",VLOOKUP(Q172,'References (2)'!C:F,4,0))</f>
        <v/>
      </c>
      <c r="T172" s="16"/>
      <c r="U172" s="20"/>
      <c r="V172" s="15"/>
      <c r="W172" s="22"/>
      <c r="X172" s="16"/>
      <c r="Y172" s="22"/>
      <c r="Z172" s="25" t="str">
        <f t="shared" si="38"/>
        <v/>
      </c>
      <c r="AA172" s="17" t="str">
        <f t="shared" ca="1" si="39"/>
        <v/>
      </c>
      <c r="AB172" s="17" t="str">
        <f t="shared" ca="1" si="40"/>
        <v/>
      </c>
      <c r="AC172" s="17" t="str">
        <f t="shared" ca="1" si="41"/>
        <v/>
      </c>
      <c r="AD172" s="17" t="str">
        <f t="shared" ca="1" si="42"/>
        <v/>
      </c>
      <c r="AE172" s="17" t="str">
        <f t="shared" si="43"/>
        <v/>
      </c>
      <c r="AF172" s="17" t="str">
        <f t="shared" si="44"/>
        <v/>
      </c>
      <c r="AG172" s="17" t="str">
        <f t="shared" si="45"/>
        <v/>
      </c>
      <c r="AH172" s="17">
        <f t="shared" si="46"/>
        <v>0</v>
      </c>
      <c r="AI172" s="17" t="str">
        <f t="shared" ca="1" si="47"/>
        <v/>
      </c>
      <c r="AJ172" s="17" t="str">
        <f t="shared" ca="1" si="48"/>
        <v/>
      </c>
      <c r="AK172" s="17" t="str">
        <f t="shared" si="49"/>
        <v/>
      </c>
      <c r="AL172" s="17" t="str">
        <f t="shared" ca="1" si="50"/>
        <v/>
      </c>
      <c r="AN172" s="24">
        <f t="shared" si="51"/>
        <v>0</v>
      </c>
      <c r="AO172" s="24">
        <f t="shared" si="52"/>
        <v>0</v>
      </c>
      <c r="AP172" s="24">
        <f t="shared" si="53"/>
        <v>0</v>
      </c>
      <c r="AQ172" s="24">
        <f t="shared" si="54"/>
        <v>0</v>
      </c>
      <c r="AR172" s="24">
        <f t="shared" si="55"/>
        <v>0</v>
      </c>
      <c r="AS172" s="24">
        <f t="shared" si="56"/>
        <v>0</v>
      </c>
    </row>
    <row r="173" spans="1:45" x14ac:dyDescent="0.25">
      <c r="A173" s="83"/>
      <c r="B173" s="16"/>
      <c r="C173" s="16"/>
      <c r="D173" s="15"/>
      <c r="E173" s="15"/>
      <c r="F173" s="16"/>
      <c r="G173" s="16"/>
      <c r="H173" s="16"/>
      <c r="I173" s="22"/>
      <c r="J173" s="16"/>
      <c r="K173" s="16"/>
      <c r="L173" s="15"/>
      <c r="M173" s="20"/>
      <c r="N173" s="15"/>
      <c r="O173" s="20"/>
      <c r="P173" s="15"/>
      <c r="Q173" s="15"/>
      <c r="R173" s="17" t="str">
        <f>IF(Q173="","",VLOOKUP(Q173,'References (2)'!C:D,2,0))</f>
        <v/>
      </c>
      <c r="S173" s="17" t="str">
        <f>IF(Q173="","",VLOOKUP(Q173,'References (2)'!C:F,4,0))</f>
        <v/>
      </c>
      <c r="T173" s="16"/>
      <c r="U173" s="20"/>
      <c r="V173" s="15"/>
      <c r="W173" s="22"/>
      <c r="X173" s="16"/>
      <c r="Y173" s="22"/>
      <c r="Z173" s="25" t="str">
        <f t="shared" si="38"/>
        <v/>
      </c>
      <c r="AA173" s="17" t="str">
        <f t="shared" ca="1" si="39"/>
        <v/>
      </c>
      <c r="AB173" s="17" t="str">
        <f t="shared" ca="1" si="40"/>
        <v/>
      </c>
      <c r="AC173" s="17" t="str">
        <f t="shared" ca="1" si="41"/>
        <v/>
      </c>
      <c r="AD173" s="17" t="str">
        <f t="shared" ca="1" si="42"/>
        <v/>
      </c>
      <c r="AE173" s="17" t="str">
        <f t="shared" si="43"/>
        <v/>
      </c>
      <c r="AF173" s="17" t="str">
        <f t="shared" si="44"/>
        <v/>
      </c>
      <c r="AG173" s="17" t="str">
        <f t="shared" si="45"/>
        <v/>
      </c>
      <c r="AH173" s="17">
        <f t="shared" si="46"/>
        <v>0</v>
      </c>
      <c r="AI173" s="17" t="str">
        <f t="shared" ca="1" si="47"/>
        <v/>
      </c>
      <c r="AJ173" s="17" t="str">
        <f t="shared" ca="1" si="48"/>
        <v/>
      </c>
      <c r="AK173" s="17" t="str">
        <f t="shared" si="49"/>
        <v/>
      </c>
      <c r="AL173" s="17" t="str">
        <f t="shared" ca="1" si="50"/>
        <v/>
      </c>
      <c r="AN173" s="24">
        <f t="shared" si="51"/>
        <v>0</v>
      </c>
      <c r="AO173" s="24">
        <f t="shared" si="52"/>
        <v>0</v>
      </c>
      <c r="AP173" s="24">
        <f t="shared" si="53"/>
        <v>0</v>
      </c>
      <c r="AQ173" s="24">
        <f t="shared" si="54"/>
        <v>0</v>
      </c>
      <c r="AR173" s="24">
        <f t="shared" si="55"/>
        <v>0</v>
      </c>
      <c r="AS173" s="24">
        <f t="shared" si="56"/>
        <v>0</v>
      </c>
    </row>
    <row r="174" spans="1:45" x14ac:dyDescent="0.25">
      <c r="A174" s="83"/>
      <c r="B174" s="16"/>
      <c r="C174" s="16"/>
      <c r="D174" s="15"/>
      <c r="E174" s="15"/>
      <c r="F174" s="16"/>
      <c r="G174" s="16"/>
      <c r="H174" s="16"/>
      <c r="I174" s="22"/>
      <c r="J174" s="16"/>
      <c r="K174" s="16"/>
      <c r="L174" s="15"/>
      <c r="M174" s="20"/>
      <c r="N174" s="15"/>
      <c r="O174" s="20"/>
      <c r="P174" s="15"/>
      <c r="Q174" s="15"/>
      <c r="R174" s="17" t="str">
        <f>IF(Q174="","",VLOOKUP(Q174,'References (2)'!C:D,2,0))</f>
        <v/>
      </c>
      <c r="S174" s="17" t="str">
        <f>IF(Q174="","",VLOOKUP(Q174,'References (2)'!C:F,4,0))</f>
        <v/>
      </c>
      <c r="T174" s="16"/>
      <c r="U174" s="20"/>
      <c r="V174" s="15"/>
      <c r="W174" s="22"/>
      <c r="X174" s="16"/>
      <c r="Y174" s="22"/>
      <c r="Z174" s="25" t="str">
        <f t="shared" si="38"/>
        <v/>
      </c>
      <c r="AA174" s="17" t="str">
        <f t="shared" ca="1" si="39"/>
        <v/>
      </c>
      <c r="AB174" s="17" t="str">
        <f t="shared" ca="1" si="40"/>
        <v/>
      </c>
      <c r="AC174" s="17" t="str">
        <f t="shared" ca="1" si="41"/>
        <v/>
      </c>
      <c r="AD174" s="17" t="str">
        <f t="shared" ca="1" si="42"/>
        <v/>
      </c>
      <c r="AE174" s="17" t="str">
        <f t="shared" si="43"/>
        <v/>
      </c>
      <c r="AF174" s="17" t="str">
        <f t="shared" si="44"/>
        <v/>
      </c>
      <c r="AG174" s="17" t="str">
        <f t="shared" si="45"/>
        <v/>
      </c>
      <c r="AH174" s="17">
        <f t="shared" si="46"/>
        <v>0</v>
      </c>
      <c r="AI174" s="17" t="str">
        <f t="shared" ca="1" si="47"/>
        <v/>
      </c>
      <c r="AJ174" s="17" t="str">
        <f t="shared" ca="1" si="48"/>
        <v/>
      </c>
      <c r="AK174" s="17" t="str">
        <f t="shared" si="49"/>
        <v/>
      </c>
      <c r="AL174" s="17" t="str">
        <f t="shared" ca="1" si="50"/>
        <v/>
      </c>
      <c r="AN174" s="24">
        <f t="shared" si="51"/>
        <v>0</v>
      </c>
      <c r="AO174" s="24">
        <f t="shared" si="52"/>
        <v>0</v>
      </c>
      <c r="AP174" s="24">
        <f t="shared" si="53"/>
        <v>0</v>
      </c>
      <c r="AQ174" s="24">
        <f t="shared" si="54"/>
        <v>0</v>
      </c>
      <c r="AR174" s="24">
        <f t="shared" si="55"/>
        <v>0</v>
      </c>
      <c r="AS174" s="24">
        <f t="shared" si="56"/>
        <v>0</v>
      </c>
    </row>
    <row r="175" spans="1:45" x14ac:dyDescent="0.25">
      <c r="A175" s="83"/>
      <c r="B175" s="16"/>
      <c r="C175" s="16"/>
      <c r="D175" s="15"/>
      <c r="E175" s="15"/>
      <c r="F175" s="16"/>
      <c r="G175" s="16"/>
      <c r="H175" s="16"/>
      <c r="I175" s="22"/>
      <c r="J175" s="16"/>
      <c r="K175" s="16"/>
      <c r="L175" s="15"/>
      <c r="M175" s="20"/>
      <c r="N175" s="15"/>
      <c r="O175" s="20"/>
      <c r="P175" s="15"/>
      <c r="Q175" s="15"/>
      <c r="R175" s="17" t="str">
        <f>IF(Q175="","",VLOOKUP(Q175,'References (2)'!C:D,2,0))</f>
        <v/>
      </c>
      <c r="S175" s="17" t="str">
        <f>IF(Q175="","",VLOOKUP(Q175,'References (2)'!C:F,4,0))</f>
        <v/>
      </c>
      <c r="T175" s="16"/>
      <c r="U175" s="20"/>
      <c r="V175" s="15"/>
      <c r="W175" s="22"/>
      <c r="X175" s="16"/>
      <c r="Y175" s="22"/>
      <c r="Z175" s="25" t="str">
        <f t="shared" si="38"/>
        <v/>
      </c>
      <c r="AA175" s="17" t="str">
        <f t="shared" ca="1" si="39"/>
        <v/>
      </c>
      <c r="AB175" s="17" t="str">
        <f t="shared" ca="1" si="40"/>
        <v/>
      </c>
      <c r="AC175" s="17" t="str">
        <f t="shared" ca="1" si="41"/>
        <v/>
      </c>
      <c r="AD175" s="17" t="str">
        <f t="shared" ca="1" si="42"/>
        <v/>
      </c>
      <c r="AE175" s="17" t="str">
        <f t="shared" si="43"/>
        <v/>
      </c>
      <c r="AF175" s="17" t="str">
        <f t="shared" si="44"/>
        <v/>
      </c>
      <c r="AG175" s="17" t="str">
        <f t="shared" si="45"/>
        <v/>
      </c>
      <c r="AH175" s="17">
        <f t="shared" si="46"/>
        <v>0</v>
      </c>
      <c r="AI175" s="17" t="str">
        <f t="shared" ca="1" si="47"/>
        <v/>
      </c>
      <c r="AJ175" s="17" t="str">
        <f t="shared" ca="1" si="48"/>
        <v/>
      </c>
      <c r="AK175" s="17" t="str">
        <f t="shared" si="49"/>
        <v/>
      </c>
      <c r="AL175" s="17" t="str">
        <f t="shared" ca="1" si="50"/>
        <v/>
      </c>
      <c r="AN175" s="24">
        <f t="shared" si="51"/>
        <v>0</v>
      </c>
      <c r="AO175" s="24">
        <f t="shared" si="52"/>
        <v>0</v>
      </c>
      <c r="AP175" s="24">
        <f t="shared" si="53"/>
        <v>0</v>
      </c>
      <c r="AQ175" s="24">
        <f t="shared" si="54"/>
        <v>0</v>
      </c>
      <c r="AR175" s="24">
        <f t="shared" si="55"/>
        <v>0</v>
      </c>
      <c r="AS175" s="24">
        <f t="shared" si="56"/>
        <v>0</v>
      </c>
    </row>
    <row r="176" spans="1:45" x14ac:dyDescent="0.25">
      <c r="A176" s="83"/>
      <c r="B176" s="16"/>
      <c r="C176" s="16"/>
      <c r="D176" s="15"/>
      <c r="E176" s="15"/>
      <c r="F176" s="16"/>
      <c r="G176" s="16"/>
      <c r="H176" s="16"/>
      <c r="I176" s="22"/>
      <c r="J176" s="16"/>
      <c r="K176" s="16"/>
      <c r="L176" s="15"/>
      <c r="M176" s="20"/>
      <c r="N176" s="15"/>
      <c r="O176" s="20"/>
      <c r="P176" s="15"/>
      <c r="Q176" s="15"/>
      <c r="R176" s="17" t="str">
        <f>IF(Q176="","",VLOOKUP(Q176,'References (2)'!C:D,2,0))</f>
        <v/>
      </c>
      <c r="S176" s="17" t="str">
        <f>IF(Q176="","",VLOOKUP(Q176,'References (2)'!C:F,4,0))</f>
        <v/>
      </c>
      <c r="T176" s="16"/>
      <c r="U176" s="20"/>
      <c r="V176" s="15"/>
      <c r="W176" s="22"/>
      <c r="X176" s="16"/>
      <c r="Y176" s="22"/>
      <c r="Z176" s="25" t="str">
        <f t="shared" si="38"/>
        <v/>
      </c>
      <c r="AA176" s="17" t="str">
        <f t="shared" ca="1" si="39"/>
        <v/>
      </c>
      <c r="AB176" s="17" t="str">
        <f t="shared" ca="1" si="40"/>
        <v/>
      </c>
      <c r="AC176" s="17" t="str">
        <f t="shared" ca="1" si="41"/>
        <v/>
      </c>
      <c r="AD176" s="17" t="str">
        <f t="shared" ca="1" si="42"/>
        <v/>
      </c>
      <c r="AE176" s="17" t="str">
        <f t="shared" si="43"/>
        <v/>
      </c>
      <c r="AF176" s="17" t="str">
        <f t="shared" si="44"/>
        <v/>
      </c>
      <c r="AG176" s="17" t="str">
        <f t="shared" si="45"/>
        <v/>
      </c>
      <c r="AH176" s="17">
        <f t="shared" si="46"/>
        <v>0</v>
      </c>
      <c r="AI176" s="17" t="str">
        <f t="shared" ca="1" si="47"/>
        <v/>
      </c>
      <c r="AJ176" s="17" t="str">
        <f t="shared" ca="1" si="48"/>
        <v/>
      </c>
      <c r="AK176" s="17" t="str">
        <f t="shared" si="49"/>
        <v/>
      </c>
      <c r="AL176" s="17" t="str">
        <f t="shared" ca="1" si="50"/>
        <v/>
      </c>
      <c r="AN176" s="24">
        <f t="shared" si="51"/>
        <v>0</v>
      </c>
      <c r="AO176" s="24">
        <f t="shared" si="52"/>
        <v>0</v>
      </c>
      <c r="AP176" s="24">
        <f t="shared" si="53"/>
        <v>0</v>
      </c>
      <c r="AQ176" s="24">
        <f t="shared" si="54"/>
        <v>0</v>
      </c>
      <c r="AR176" s="24">
        <f t="shared" si="55"/>
        <v>0</v>
      </c>
      <c r="AS176" s="24">
        <f t="shared" si="56"/>
        <v>0</v>
      </c>
    </row>
    <row r="177" spans="1:45" x14ac:dyDescent="0.25">
      <c r="A177" s="83"/>
      <c r="B177" s="16"/>
      <c r="C177" s="16"/>
      <c r="D177" s="15"/>
      <c r="E177" s="15"/>
      <c r="F177" s="16"/>
      <c r="G177" s="16"/>
      <c r="H177" s="16"/>
      <c r="I177" s="22"/>
      <c r="J177" s="16"/>
      <c r="K177" s="16"/>
      <c r="L177" s="15"/>
      <c r="M177" s="20"/>
      <c r="N177" s="15"/>
      <c r="O177" s="20"/>
      <c r="P177" s="15"/>
      <c r="Q177" s="15"/>
      <c r="R177" s="17" t="str">
        <f>IF(Q177="","",VLOOKUP(Q177,'References (2)'!C:D,2,0))</f>
        <v/>
      </c>
      <c r="S177" s="17" t="str">
        <f>IF(Q177="","",VLOOKUP(Q177,'References (2)'!C:F,4,0))</f>
        <v/>
      </c>
      <c r="T177" s="16"/>
      <c r="U177" s="20"/>
      <c r="V177" s="15"/>
      <c r="W177" s="22"/>
      <c r="X177" s="16"/>
      <c r="Y177" s="22"/>
      <c r="Z177" s="25" t="str">
        <f t="shared" si="38"/>
        <v/>
      </c>
      <c r="AA177" s="17" t="str">
        <f t="shared" ca="1" si="39"/>
        <v/>
      </c>
      <c r="AB177" s="17" t="str">
        <f t="shared" ca="1" si="40"/>
        <v/>
      </c>
      <c r="AC177" s="17" t="str">
        <f t="shared" ca="1" si="41"/>
        <v/>
      </c>
      <c r="AD177" s="17" t="str">
        <f t="shared" ca="1" si="42"/>
        <v/>
      </c>
      <c r="AE177" s="17" t="str">
        <f t="shared" si="43"/>
        <v/>
      </c>
      <c r="AF177" s="17" t="str">
        <f t="shared" si="44"/>
        <v/>
      </c>
      <c r="AG177" s="17" t="str">
        <f t="shared" si="45"/>
        <v/>
      </c>
      <c r="AH177" s="17">
        <f t="shared" si="46"/>
        <v>0</v>
      </c>
      <c r="AI177" s="17" t="str">
        <f t="shared" ca="1" si="47"/>
        <v/>
      </c>
      <c r="AJ177" s="17" t="str">
        <f t="shared" ca="1" si="48"/>
        <v/>
      </c>
      <c r="AK177" s="17" t="str">
        <f t="shared" si="49"/>
        <v/>
      </c>
      <c r="AL177" s="17" t="str">
        <f t="shared" ca="1" si="50"/>
        <v/>
      </c>
      <c r="AN177" s="24">
        <f t="shared" si="51"/>
        <v>0</v>
      </c>
      <c r="AO177" s="24">
        <f t="shared" si="52"/>
        <v>0</v>
      </c>
      <c r="AP177" s="24">
        <f t="shared" si="53"/>
        <v>0</v>
      </c>
      <c r="AQ177" s="24">
        <f t="shared" si="54"/>
        <v>0</v>
      </c>
      <c r="AR177" s="24">
        <f t="shared" si="55"/>
        <v>0</v>
      </c>
      <c r="AS177" s="24">
        <f t="shared" si="56"/>
        <v>0</v>
      </c>
    </row>
    <row r="178" spans="1:45" x14ac:dyDescent="0.25">
      <c r="A178" s="83"/>
      <c r="B178" s="16"/>
      <c r="C178" s="16"/>
      <c r="D178" s="15"/>
      <c r="E178" s="15"/>
      <c r="F178" s="16"/>
      <c r="G178" s="16"/>
      <c r="H178" s="16"/>
      <c r="I178" s="22"/>
      <c r="J178" s="16"/>
      <c r="K178" s="16"/>
      <c r="L178" s="15"/>
      <c r="M178" s="20"/>
      <c r="N178" s="15"/>
      <c r="O178" s="20"/>
      <c r="P178" s="15"/>
      <c r="Q178" s="15"/>
      <c r="R178" s="17" t="str">
        <f>IF(Q178="","",VLOOKUP(Q178,'References (2)'!C:D,2,0))</f>
        <v/>
      </c>
      <c r="S178" s="17" t="str">
        <f>IF(Q178="","",VLOOKUP(Q178,'References (2)'!C:F,4,0))</f>
        <v/>
      </c>
      <c r="T178" s="16"/>
      <c r="U178" s="20"/>
      <c r="V178" s="15"/>
      <c r="W178" s="22"/>
      <c r="X178" s="16"/>
      <c r="Y178" s="22"/>
      <c r="Z178" s="25" t="str">
        <f t="shared" si="38"/>
        <v/>
      </c>
      <c r="AA178" s="17" t="str">
        <f t="shared" ca="1" si="39"/>
        <v/>
      </c>
      <c r="AB178" s="17" t="str">
        <f t="shared" ca="1" si="40"/>
        <v/>
      </c>
      <c r="AC178" s="17" t="str">
        <f t="shared" ca="1" si="41"/>
        <v/>
      </c>
      <c r="AD178" s="17" t="str">
        <f t="shared" ca="1" si="42"/>
        <v/>
      </c>
      <c r="AE178" s="17" t="str">
        <f t="shared" si="43"/>
        <v/>
      </c>
      <c r="AF178" s="17" t="str">
        <f t="shared" si="44"/>
        <v/>
      </c>
      <c r="AG178" s="17" t="str">
        <f t="shared" si="45"/>
        <v/>
      </c>
      <c r="AH178" s="17">
        <f t="shared" si="46"/>
        <v>0</v>
      </c>
      <c r="AI178" s="17" t="str">
        <f t="shared" ca="1" si="47"/>
        <v/>
      </c>
      <c r="AJ178" s="17" t="str">
        <f t="shared" ca="1" si="48"/>
        <v/>
      </c>
      <c r="AK178" s="17" t="str">
        <f t="shared" si="49"/>
        <v/>
      </c>
      <c r="AL178" s="17" t="str">
        <f t="shared" ca="1" si="50"/>
        <v/>
      </c>
      <c r="AN178" s="24">
        <f t="shared" si="51"/>
        <v>0</v>
      </c>
      <c r="AO178" s="24">
        <f t="shared" si="52"/>
        <v>0</v>
      </c>
      <c r="AP178" s="24">
        <f t="shared" si="53"/>
        <v>0</v>
      </c>
      <c r="AQ178" s="24">
        <f t="shared" si="54"/>
        <v>0</v>
      </c>
      <c r="AR178" s="24">
        <f t="shared" si="55"/>
        <v>0</v>
      </c>
      <c r="AS178" s="24">
        <f t="shared" si="56"/>
        <v>0</v>
      </c>
    </row>
    <row r="179" spans="1:45" x14ac:dyDescent="0.25">
      <c r="A179" s="83"/>
      <c r="B179" s="16"/>
      <c r="C179" s="16"/>
      <c r="D179" s="15"/>
      <c r="E179" s="15"/>
      <c r="F179" s="16"/>
      <c r="G179" s="16"/>
      <c r="H179" s="16"/>
      <c r="I179" s="22"/>
      <c r="J179" s="16"/>
      <c r="K179" s="16"/>
      <c r="L179" s="15"/>
      <c r="M179" s="20"/>
      <c r="N179" s="15"/>
      <c r="O179" s="20"/>
      <c r="P179" s="15"/>
      <c r="Q179" s="15"/>
      <c r="R179" s="17" t="str">
        <f>IF(Q179="","",VLOOKUP(Q179,'References (2)'!C:D,2,0))</f>
        <v/>
      </c>
      <c r="S179" s="17" t="str">
        <f>IF(Q179="","",VLOOKUP(Q179,'References (2)'!C:F,4,0))</f>
        <v/>
      </c>
      <c r="T179" s="16"/>
      <c r="U179" s="20"/>
      <c r="V179" s="15"/>
      <c r="W179" s="22"/>
      <c r="X179" s="16"/>
      <c r="Y179" s="22"/>
      <c r="Z179" s="25" t="str">
        <f t="shared" si="38"/>
        <v/>
      </c>
      <c r="AA179" s="17" t="str">
        <f t="shared" ca="1" si="39"/>
        <v/>
      </c>
      <c r="AB179" s="17" t="str">
        <f t="shared" ca="1" si="40"/>
        <v/>
      </c>
      <c r="AC179" s="17" t="str">
        <f t="shared" ca="1" si="41"/>
        <v/>
      </c>
      <c r="AD179" s="17" t="str">
        <f t="shared" ca="1" si="42"/>
        <v/>
      </c>
      <c r="AE179" s="17" t="str">
        <f t="shared" si="43"/>
        <v/>
      </c>
      <c r="AF179" s="17" t="str">
        <f t="shared" si="44"/>
        <v/>
      </c>
      <c r="AG179" s="17" t="str">
        <f t="shared" si="45"/>
        <v/>
      </c>
      <c r="AH179" s="17">
        <f t="shared" si="46"/>
        <v>0</v>
      </c>
      <c r="AI179" s="17" t="str">
        <f t="shared" ca="1" si="47"/>
        <v/>
      </c>
      <c r="AJ179" s="17" t="str">
        <f t="shared" ca="1" si="48"/>
        <v/>
      </c>
      <c r="AK179" s="17" t="str">
        <f t="shared" si="49"/>
        <v/>
      </c>
      <c r="AL179" s="17" t="str">
        <f t="shared" ca="1" si="50"/>
        <v/>
      </c>
      <c r="AN179" s="24">
        <f t="shared" si="51"/>
        <v>0</v>
      </c>
      <c r="AO179" s="24">
        <f t="shared" si="52"/>
        <v>0</v>
      </c>
      <c r="AP179" s="24">
        <f t="shared" si="53"/>
        <v>0</v>
      </c>
      <c r="AQ179" s="24">
        <f t="shared" si="54"/>
        <v>0</v>
      </c>
      <c r="AR179" s="24">
        <f t="shared" si="55"/>
        <v>0</v>
      </c>
      <c r="AS179" s="24">
        <f t="shared" si="56"/>
        <v>0</v>
      </c>
    </row>
    <row r="180" spans="1:45" x14ac:dyDescent="0.25">
      <c r="A180" s="83"/>
      <c r="B180" s="16"/>
      <c r="C180" s="16"/>
      <c r="D180" s="15"/>
      <c r="E180" s="15"/>
      <c r="F180" s="16"/>
      <c r="G180" s="16"/>
      <c r="H180" s="16"/>
      <c r="I180" s="22"/>
      <c r="J180" s="16"/>
      <c r="K180" s="16"/>
      <c r="L180" s="15"/>
      <c r="M180" s="20"/>
      <c r="N180" s="15"/>
      <c r="O180" s="20"/>
      <c r="P180" s="15"/>
      <c r="Q180" s="15"/>
      <c r="R180" s="17" t="str">
        <f>IF(Q180="","",VLOOKUP(Q180,'References (2)'!C:D,2,0))</f>
        <v/>
      </c>
      <c r="S180" s="17" t="str">
        <f>IF(Q180="","",VLOOKUP(Q180,'References (2)'!C:F,4,0))</f>
        <v/>
      </c>
      <c r="T180" s="16"/>
      <c r="U180" s="20"/>
      <c r="V180" s="15"/>
      <c r="W180" s="22"/>
      <c r="X180" s="16"/>
      <c r="Y180" s="22"/>
      <c r="Z180" s="25" t="str">
        <f t="shared" si="38"/>
        <v/>
      </c>
      <c r="AA180" s="17" t="str">
        <f t="shared" ca="1" si="39"/>
        <v/>
      </c>
      <c r="AB180" s="17" t="str">
        <f t="shared" ca="1" si="40"/>
        <v/>
      </c>
      <c r="AC180" s="17" t="str">
        <f t="shared" ca="1" si="41"/>
        <v/>
      </c>
      <c r="AD180" s="17" t="str">
        <f t="shared" ca="1" si="42"/>
        <v/>
      </c>
      <c r="AE180" s="17" t="str">
        <f t="shared" si="43"/>
        <v/>
      </c>
      <c r="AF180" s="17" t="str">
        <f t="shared" si="44"/>
        <v/>
      </c>
      <c r="AG180" s="17" t="str">
        <f t="shared" si="45"/>
        <v/>
      </c>
      <c r="AH180" s="17">
        <f t="shared" si="46"/>
        <v>0</v>
      </c>
      <c r="AI180" s="17" t="str">
        <f t="shared" ca="1" si="47"/>
        <v/>
      </c>
      <c r="AJ180" s="17" t="str">
        <f t="shared" ca="1" si="48"/>
        <v/>
      </c>
      <c r="AK180" s="17" t="str">
        <f t="shared" si="49"/>
        <v/>
      </c>
      <c r="AL180" s="17" t="str">
        <f t="shared" ca="1" si="50"/>
        <v/>
      </c>
      <c r="AN180" s="24">
        <f t="shared" si="51"/>
        <v>0</v>
      </c>
      <c r="AO180" s="24">
        <f t="shared" si="52"/>
        <v>0</v>
      </c>
      <c r="AP180" s="24">
        <f t="shared" si="53"/>
        <v>0</v>
      </c>
      <c r="AQ180" s="24">
        <f t="shared" si="54"/>
        <v>0</v>
      </c>
      <c r="AR180" s="24">
        <f t="shared" si="55"/>
        <v>0</v>
      </c>
      <c r="AS180" s="24">
        <f t="shared" si="56"/>
        <v>0</v>
      </c>
    </row>
    <row r="181" spans="1:45" x14ac:dyDescent="0.25">
      <c r="A181" s="83"/>
      <c r="B181" s="16"/>
      <c r="C181" s="16"/>
      <c r="D181" s="15"/>
      <c r="E181" s="15"/>
      <c r="F181" s="16"/>
      <c r="G181" s="16"/>
      <c r="H181" s="16"/>
      <c r="I181" s="22"/>
      <c r="J181" s="16"/>
      <c r="K181" s="16"/>
      <c r="L181" s="15"/>
      <c r="M181" s="20"/>
      <c r="N181" s="15"/>
      <c r="O181" s="20"/>
      <c r="P181" s="15"/>
      <c r="Q181" s="15"/>
      <c r="R181" s="17" t="str">
        <f>IF(Q181="","",VLOOKUP(Q181,'References (2)'!C:D,2,0))</f>
        <v/>
      </c>
      <c r="S181" s="17" t="str">
        <f>IF(Q181="","",VLOOKUP(Q181,'References (2)'!C:F,4,0))</f>
        <v/>
      </c>
      <c r="T181" s="16"/>
      <c r="U181" s="20"/>
      <c r="V181" s="15"/>
      <c r="W181" s="22"/>
      <c r="X181" s="16"/>
      <c r="Y181" s="22"/>
      <c r="Z181" s="25" t="str">
        <f t="shared" si="38"/>
        <v/>
      </c>
      <c r="AA181" s="17" t="str">
        <f t="shared" ca="1" si="39"/>
        <v/>
      </c>
      <c r="AB181" s="17" t="str">
        <f t="shared" ca="1" si="40"/>
        <v/>
      </c>
      <c r="AC181" s="17" t="str">
        <f t="shared" ca="1" si="41"/>
        <v/>
      </c>
      <c r="AD181" s="17" t="str">
        <f t="shared" ca="1" si="42"/>
        <v/>
      </c>
      <c r="AE181" s="17" t="str">
        <f t="shared" si="43"/>
        <v/>
      </c>
      <c r="AF181" s="17" t="str">
        <f t="shared" si="44"/>
        <v/>
      </c>
      <c r="AG181" s="17" t="str">
        <f t="shared" si="45"/>
        <v/>
      </c>
      <c r="AH181" s="17">
        <f t="shared" si="46"/>
        <v>0</v>
      </c>
      <c r="AI181" s="17" t="str">
        <f t="shared" ca="1" si="47"/>
        <v/>
      </c>
      <c r="AJ181" s="17" t="str">
        <f t="shared" ca="1" si="48"/>
        <v/>
      </c>
      <c r="AK181" s="17" t="str">
        <f t="shared" si="49"/>
        <v/>
      </c>
      <c r="AL181" s="17" t="str">
        <f t="shared" ca="1" si="50"/>
        <v/>
      </c>
      <c r="AN181" s="24">
        <f t="shared" si="51"/>
        <v>0</v>
      </c>
      <c r="AO181" s="24">
        <f t="shared" si="52"/>
        <v>0</v>
      </c>
      <c r="AP181" s="24">
        <f t="shared" si="53"/>
        <v>0</v>
      </c>
      <c r="AQ181" s="24">
        <f t="shared" si="54"/>
        <v>0</v>
      </c>
      <c r="AR181" s="24">
        <f t="shared" si="55"/>
        <v>0</v>
      </c>
      <c r="AS181" s="24">
        <f t="shared" si="56"/>
        <v>0</v>
      </c>
    </row>
    <row r="182" spans="1:45" x14ac:dyDescent="0.25">
      <c r="A182" s="83"/>
      <c r="B182" s="16"/>
      <c r="C182" s="16"/>
      <c r="D182" s="15"/>
      <c r="E182" s="15"/>
      <c r="F182" s="16"/>
      <c r="G182" s="16"/>
      <c r="H182" s="16"/>
      <c r="I182" s="22"/>
      <c r="J182" s="16"/>
      <c r="K182" s="16"/>
      <c r="L182" s="15"/>
      <c r="M182" s="20"/>
      <c r="N182" s="15"/>
      <c r="O182" s="20"/>
      <c r="P182" s="15"/>
      <c r="Q182" s="15"/>
      <c r="R182" s="17" t="str">
        <f>IF(Q182="","",VLOOKUP(Q182,'References (2)'!C:D,2,0))</f>
        <v/>
      </c>
      <c r="S182" s="17" t="str">
        <f>IF(Q182="","",VLOOKUP(Q182,'References (2)'!C:F,4,0))</f>
        <v/>
      </c>
      <c r="T182" s="16"/>
      <c r="U182" s="20"/>
      <c r="V182" s="15"/>
      <c r="W182" s="22"/>
      <c r="X182" s="16"/>
      <c r="Y182" s="22"/>
      <c r="Z182" s="25" t="str">
        <f t="shared" si="38"/>
        <v/>
      </c>
      <c r="AA182" s="17" t="str">
        <f t="shared" ca="1" si="39"/>
        <v/>
      </c>
      <c r="AB182" s="17" t="str">
        <f t="shared" ca="1" si="40"/>
        <v/>
      </c>
      <c r="AC182" s="17" t="str">
        <f t="shared" ca="1" si="41"/>
        <v/>
      </c>
      <c r="AD182" s="17" t="str">
        <f t="shared" ca="1" si="42"/>
        <v/>
      </c>
      <c r="AE182" s="17" t="str">
        <f t="shared" si="43"/>
        <v/>
      </c>
      <c r="AF182" s="17" t="str">
        <f t="shared" si="44"/>
        <v/>
      </c>
      <c r="AG182" s="17" t="str">
        <f t="shared" si="45"/>
        <v/>
      </c>
      <c r="AH182" s="17">
        <f t="shared" si="46"/>
        <v>0</v>
      </c>
      <c r="AI182" s="17" t="str">
        <f t="shared" ca="1" si="47"/>
        <v/>
      </c>
      <c r="AJ182" s="17" t="str">
        <f t="shared" ca="1" si="48"/>
        <v/>
      </c>
      <c r="AK182" s="17" t="str">
        <f t="shared" si="49"/>
        <v/>
      </c>
      <c r="AL182" s="17" t="str">
        <f t="shared" ca="1" si="50"/>
        <v/>
      </c>
      <c r="AN182" s="24">
        <f t="shared" si="51"/>
        <v>0</v>
      </c>
      <c r="AO182" s="24">
        <f t="shared" si="52"/>
        <v>0</v>
      </c>
      <c r="AP182" s="24">
        <f t="shared" si="53"/>
        <v>0</v>
      </c>
      <c r="AQ182" s="24">
        <f t="shared" si="54"/>
        <v>0</v>
      </c>
      <c r="AR182" s="24">
        <f t="shared" si="55"/>
        <v>0</v>
      </c>
      <c r="AS182" s="24">
        <f t="shared" si="56"/>
        <v>0</v>
      </c>
    </row>
    <row r="183" spans="1:45" x14ac:dyDescent="0.25">
      <c r="A183" s="83"/>
      <c r="B183" s="16"/>
      <c r="C183" s="16"/>
      <c r="D183" s="15"/>
      <c r="E183" s="15"/>
      <c r="F183" s="16"/>
      <c r="G183" s="16"/>
      <c r="H183" s="16"/>
      <c r="I183" s="22"/>
      <c r="J183" s="16"/>
      <c r="K183" s="16"/>
      <c r="L183" s="15"/>
      <c r="M183" s="20"/>
      <c r="N183" s="15"/>
      <c r="O183" s="20"/>
      <c r="P183" s="15"/>
      <c r="Q183" s="15"/>
      <c r="R183" s="17" t="str">
        <f>IF(Q183="","",VLOOKUP(Q183,'References (2)'!C:D,2,0))</f>
        <v/>
      </c>
      <c r="S183" s="17" t="str">
        <f>IF(Q183="","",VLOOKUP(Q183,'References (2)'!C:F,4,0))</f>
        <v/>
      </c>
      <c r="T183" s="16"/>
      <c r="U183" s="20"/>
      <c r="V183" s="15"/>
      <c r="W183" s="22"/>
      <c r="X183" s="16"/>
      <c r="Y183" s="22"/>
      <c r="Z183" s="25" t="str">
        <f t="shared" si="38"/>
        <v/>
      </c>
      <c r="AA183" s="17" t="str">
        <f t="shared" ca="1" si="39"/>
        <v/>
      </c>
      <c r="AB183" s="17" t="str">
        <f t="shared" ca="1" si="40"/>
        <v/>
      </c>
      <c r="AC183" s="17" t="str">
        <f t="shared" ca="1" si="41"/>
        <v/>
      </c>
      <c r="AD183" s="17" t="str">
        <f t="shared" ca="1" si="42"/>
        <v/>
      </c>
      <c r="AE183" s="17" t="str">
        <f t="shared" si="43"/>
        <v/>
      </c>
      <c r="AF183" s="17" t="str">
        <f t="shared" si="44"/>
        <v/>
      </c>
      <c r="AG183" s="17" t="str">
        <f t="shared" si="45"/>
        <v/>
      </c>
      <c r="AH183" s="17">
        <f t="shared" si="46"/>
        <v>0</v>
      </c>
      <c r="AI183" s="17" t="str">
        <f t="shared" ca="1" si="47"/>
        <v/>
      </c>
      <c r="AJ183" s="17" t="str">
        <f t="shared" ca="1" si="48"/>
        <v/>
      </c>
      <c r="AK183" s="17" t="str">
        <f t="shared" si="49"/>
        <v/>
      </c>
      <c r="AL183" s="17" t="str">
        <f t="shared" ca="1" si="50"/>
        <v/>
      </c>
      <c r="AN183" s="24">
        <f t="shared" si="51"/>
        <v>0</v>
      </c>
      <c r="AO183" s="24">
        <f t="shared" si="52"/>
        <v>0</v>
      </c>
      <c r="AP183" s="24">
        <f t="shared" si="53"/>
        <v>0</v>
      </c>
      <c r="AQ183" s="24">
        <f t="shared" si="54"/>
        <v>0</v>
      </c>
      <c r="AR183" s="24">
        <f t="shared" si="55"/>
        <v>0</v>
      </c>
      <c r="AS183" s="24">
        <f t="shared" si="56"/>
        <v>0</v>
      </c>
    </row>
    <row r="184" spans="1:45" x14ac:dyDescent="0.25">
      <c r="A184" s="83"/>
      <c r="B184" s="16"/>
      <c r="C184" s="16"/>
      <c r="D184" s="15"/>
      <c r="E184" s="15"/>
      <c r="F184" s="16"/>
      <c r="G184" s="16"/>
      <c r="H184" s="16"/>
      <c r="I184" s="22"/>
      <c r="J184" s="16"/>
      <c r="K184" s="16"/>
      <c r="L184" s="15"/>
      <c r="M184" s="20"/>
      <c r="N184" s="15"/>
      <c r="O184" s="20"/>
      <c r="P184" s="15"/>
      <c r="Q184" s="15"/>
      <c r="R184" s="17" t="str">
        <f>IF(Q184="","",VLOOKUP(Q184,'References (2)'!C:D,2,0))</f>
        <v/>
      </c>
      <c r="S184" s="17" t="str">
        <f>IF(Q184="","",VLOOKUP(Q184,'References (2)'!C:F,4,0))</f>
        <v/>
      </c>
      <c r="T184" s="16"/>
      <c r="U184" s="20"/>
      <c r="V184" s="15"/>
      <c r="W184" s="22"/>
      <c r="X184" s="16"/>
      <c r="Y184" s="22"/>
      <c r="Z184" s="25" t="str">
        <f t="shared" si="38"/>
        <v/>
      </c>
      <c r="AA184" s="17" t="str">
        <f t="shared" ca="1" si="39"/>
        <v/>
      </c>
      <c r="AB184" s="17" t="str">
        <f t="shared" ca="1" si="40"/>
        <v/>
      </c>
      <c r="AC184" s="17" t="str">
        <f t="shared" ca="1" si="41"/>
        <v/>
      </c>
      <c r="AD184" s="17" t="str">
        <f t="shared" ca="1" si="42"/>
        <v/>
      </c>
      <c r="AE184" s="17" t="str">
        <f t="shared" si="43"/>
        <v/>
      </c>
      <c r="AF184" s="17" t="str">
        <f t="shared" si="44"/>
        <v/>
      </c>
      <c r="AG184" s="17" t="str">
        <f t="shared" si="45"/>
        <v/>
      </c>
      <c r="AH184" s="17">
        <f t="shared" si="46"/>
        <v>0</v>
      </c>
      <c r="AI184" s="17" t="str">
        <f t="shared" ca="1" si="47"/>
        <v/>
      </c>
      <c r="AJ184" s="17" t="str">
        <f t="shared" ca="1" si="48"/>
        <v/>
      </c>
      <c r="AK184" s="17" t="str">
        <f t="shared" si="49"/>
        <v/>
      </c>
      <c r="AL184" s="17" t="str">
        <f t="shared" ca="1" si="50"/>
        <v/>
      </c>
      <c r="AN184" s="24">
        <f t="shared" si="51"/>
        <v>0</v>
      </c>
      <c r="AO184" s="24">
        <f t="shared" si="52"/>
        <v>0</v>
      </c>
      <c r="AP184" s="24">
        <f t="shared" si="53"/>
        <v>0</v>
      </c>
      <c r="AQ184" s="24">
        <f t="shared" si="54"/>
        <v>0</v>
      </c>
      <c r="AR184" s="24">
        <f t="shared" si="55"/>
        <v>0</v>
      </c>
      <c r="AS184" s="24">
        <f t="shared" si="56"/>
        <v>0</v>
      </c>
    </row>
    <row r="185" spans="1:45" x14ac:dyDescent="0.25">
      <c r="A185" s="83"/>
      <c r="B185" s="16"/>
      <c r="C185" s="16"/>
      <c r="D185" s="15"/>
      <c r="E185" s="15"/>
      <c r="F185" s="16"/>
      <c r="G185" s="16"/>
      <c r="H185" s="16"/>
      <c r="I185" s="22"/>
      <c r="J185" s="16"/>
      <c r="K185" s="16"/>
      <c r="L185" s="15"/>
      <c r="M185" s="20"/>
      <c r="N185" s="15"/>
      <c r="O185" s="20"/>
      <c r="P185" s="15"/>
      <c r="Q185" s="15"/>
      <c r="R185" s="17" t="str">
        <f>IF(Q185="","",VLOOKUP(Q185,'References (2)'!C:D,2,0))</f>
        <v/>
      </c>
      <c r="S185" s="17" t="str">
        <f>IF(Q185="","",VLOOKUP(Q185,'References (2)'!C:F,4,0))</f>
        <v/>
      </c>
      <c r="T185" s="16"/>
      <c r="U185" s="20"/>
      <c r="V185" s="15"/>
      <c r="W185" s="22"/>
      <c r="X185" s="16"/>
      <c r="Y185" s="22"/>
      <c r="Z185" s="25" t="str">
        <f t="shared" si="38"/>
        <v/>
      </c>
      <c r="AA185" s="17" t="str">
        <f t="shared" ca="1" si="39"/>
        <v/>
      </c>
      <c r="AB185" s="17" t="str">
        <f t="shared" ca="1" si="40"/>
        <v/>
      </c>
      <c r="AC185" s="17" t="str">
        <f t="shared" ca="1" si="41"/>
        <v/>
      </c>
      <c r="AD185" s="17" t="str">
        <f t="shared" ca="1" si="42"/>
        <v/>
      </c>
      <c r="AE185" s="17" t="str">
        <f t="shared" si="43"/>
        <v/>
      </c>
      <c r="AF185" s="17" t="str">
        <f t="shared" si="44"/>
        <v/>
      </c>
      <c r="AG185" s="17" t="str">
        <f t="shared" si="45"/>
        <v/>
      </c>
      <c r="AH185" s="17">
        <f t="shared" si="46"/>
        <v>0</v>
      </c>
      <c r="AI185" s="17" t="str">
        <f t="shared" ca="1" si="47"/>
        <v/>
      </c>
      <c r="AJ185" s="17" t="str">
        <f t="shared" ca="1" si="48"/>
        <v/>
      </c>
      <c r="AK185" s="17" t="str">
        <f t="shared" si="49"/>
        <v/>
      </c>
      <c r="AL185" s="17" t="str">
        <f t="shared" ca="1" si="50"/>
        <v/>
      </c>
      <c r="AN185" s="24">
        <f t="shared" si="51"/>
        <v>0</v>
      </c>
      <c r="AO185" s="24">
        <f t="shared" si="52"/>
        <v>0</v>
      </c>
      <c r="AP185" s="24">
        <f t="shared" si="53"/>
        <v>0</v>
      </c>
      <c r="AQ185" s="24">
        <f t="shared" si="54"/>
        <v>0</v>
      </c>
      <c r="AR185" s="24">
        <f t="shared" si="55"/>
        <v>0</v>
      </c>
      <c r="AS185" s="24">
        <f t="shared" si="56"/>
        <v>0</v>
      </c>
    </row>
    <row r="186" spans="1:45" x14ac:dyDescent="0.25">
      <c r="A186" s="83"/>
      <c r="B186" s="16"/>
      <c r="C186" s="16"/>
      <c r="D186" s="15"/>
      <c r="E186" s="15"/>
      <c r="F186" s="16"/>
      <c r="G186" s="16"/>
      <c r="H186" s="16"/>
      <c r="I186" s="22"/>
      <c r="J186" s="16"/>
      <c r="K186" s="16"/>
      <c r="L186" s="15"/>
      <c r="M186" s="20"/>
      <c r="N186" s="15"/>
      <c r="O186" s="20"/>
      <c r="P186" s="15"/>
      <c r="Q186" s="15"/>
      <c r="R186" s="17" t="str">
        <f>IF(Q186="","",VLOOKUP(Q186,'References (2)'!C:D,2,0))</f>
        <v/>
      </c>
      <c r="S186" s="17" t="str">
        <f>IF(Q186="","",VLOOKUP(Q186,'References (2)'!C:F,4,0))</f>
        <v/>
      </c>
      <c r="T186" s="16"/>
      <c r="U186" s="20"/>
      <c r="V186" s="15"/>
      <c r="W186" s="22"/>
      <c r="X186" s="16"/>
      <c r="Y186" s="22"/>
      <c r="Z186" s="25" t="str">
        <f t="shared" si="38"/>
        <v/>
      </c>
      <c r="AA186" s="17" t="str">
        <f t="shared" ca="1" si="39"/>
        <v/>
      </c>
      <c r="AB186" s="17" t="str">
        <f t="shared" ca="1" si="40"/>
        <v/>
      </c>
      <c r="AC186" s="17" t="str">
        <f t="shared" ca="1" si="41"/>
        <v/>
      </c>
      <c r="AD186" s="17" t="str">
        <f t="shared" ca="1" si="42"/>
        <v/>
      </c>
      <c r="AE186" s="17" t="str">
        <f t="shared" si="43"/>
        <v/>
      </c>
      <c r="AF186" s="17" t="str">
        <f t="shared" si="44"/>
        <v/>
      </c>
      <c r="AG186" s="17" t="str">
        <f t="shared" si="45"/>
        <v/>
      </c>
      <c r="AH186" s="17">
        <f t="shared" si="46"/>
        <v>0</v>
      </c>
      <c r="AI186" s="17" t="str">
        <f t="shared" ca="1" si="47"/>
        <v/>
      </c>
      <c r="AJ186" s="17" t="str">
        <f t="shared" ca="1" si="48"/>
        <v/>
      </c>
      <c r="AK186" s="17" t="str">
        <f t="shared" si="49"/>
        <v/>
      </c>
      <c r="AL186" s="17" t="str">
        <f t="shared" ca="1" si="50"/>
        <v/>
      </c>
      <c r="AN186" s="24">
        <f t="shared" si="51"/>
        <v>0</v>
      </c>
      <c r="AO186" s="24">
        <f t="shared" si="52"/>
        <v>0</v>
      </c>
      <c r="AP186" s="24">
        <f t="shared" si="53"/>
        <v>0</v>
      </c>
      <c r="AQ186" s="24">
        <f t="shared" si="54"/>
        <v>0</v>
      </c>
      <c r="AR186" s="24">
        <f t="shared" si="55"/>
        <v>0</v>
      </c>
      <c r="AS186" s="24">
        <f t="shared" si="56"/>
        <v>0</v>
      </c>
    </row>
    <row r="187" spans="1:45" x14ac:dyDescent="0.25">
      <c r="A187" s="83"/>
      <c r="B187" s="16"/>
      <c r="C187" s="16"/>
      <c r="D187" s="15"/>
      <c r="E187" s="15"/>
      <c r="F187" s="16"/>
      <c r="G187" s="16"/>
      <c r="H187" s="16"/>
      <c r="I187" s="22"/>
      <c r="J187" s="16"/>
      <c r="K187" s="16"/>
      <c r="L187" s="15"/>
      <c r="M187" s="20"/>
      <c r="N187" s="15"/>
      <c r="O187" s="20"/>
      <c r="P187" s="15"/>
      <c r="Q187" s="15"/>
      <c r="R187" s="17" t="str">
        <f>IF(Q187="","",VLOOKUP(Q187,'References (2)'!C:D,2,0))</f>
        <v/>
      </c>
      <c r="S187" s="17" t="str">
        <f>IF(Q187="","",VLOOKUP(Q187,'References (2)'!C:F,4,0))</f>
        <v/>
      </c>
      <c r="T187" s="16"/>
      <c r="U187" s="20"/>
      <c r="V187" s="15"/>
      <c r="W187" s="22"/>
      <c r="X187" s="16"/>
      <c r="Y187" s="22"/>
      <c r="Z187" s="25" t="str">
        <f t="shared" si="38"/>
        <v/>
      </c>
      <c r="AA187" s="17" t="str">
        <f t="shared" ca="1" si="39"/>
        <v/>
      </c>
      <c r="AB187" s="17" t="str">
        <f t="shared" ca="1" si="40"/>
        <v/>
      </c>
      <c r="AC187" s="17" t="str">
        <f t="shared" ca="1" si="41"/>
        <v/>
      </c>
      <c r="AD187" s="17" t="str">
        <f t="shared" ca="1" si="42"/>
        <v/>
      </c>
      <c r="AE187" s="17" t="str">
        <f t="shared" si="43"/>
        <v/>
      </c>
      <c r="AF187" s="17" t="str">
        <f t="shared" si="44"/>
        <v/>
      </c>
      <c r="AG187" s="17" t="str">
        <f t="shared" si="45"/>
        <v/>
      </c>
      <c r="AH187" s="17">
        <f t="shared" si="46"/>
        <v>0</v>
      </c>
      <c r="AI187" s="17" t="str">
        <f t="shared" ca="1" si="47"/>
        <v/>
      </c>
      <c r="AJ187" s="17" t="str">
        <f t="shared" ca="1" si="48"/>
        <v/>
      </c>
      <c r="AK187" s="17" t="str">
        <f t="shared" si="49"/>
        <v/>
      </c>
      <c r="AL187" s="17" t="str">
        <f t="shared" ca="1" si="50"/>
        <v/>
      </c>
      <c r="AN187" s="24">
        <f t="shared" si="51"/>
        <v>0</v>
      </c>
      <c r="AO187" s="24">
        <f t="shared" si="52"/>
        <v>0</v>
      </c>
      <c r="AP187" s="24">
        <f t="shared" si="53"/>
        <v>0</v>
      </c>
      <c r="AQ187" s="24">
        <f t="shared" si="54"/>
        <v>0</v>
      </c>
      <c r="AR187" s="24">
        <f t="shared" si="55"/>
        <v>0</v>
      </c>
      <c r="AS187" s="24">
        <f t="shared" si="56"/>
        <v>0</v>
      </c>
    </row>
    <row r="188" spans="1:45" x14ac:dyDescent="0.25">
      <c r="A188" s="83"/>
      <c r="B188" s="16"/>
      <c r="C188" s="16"/>
      <c r="D188" s="15"/>
      <c r="E188" s="15"/>
      <c r="F188" s="16"/>
      <c r="G188" s="16"/>
      <c r="H188" s="16"/>
      <c r="I188" s="22"/>
      <c r="J188" s="16"/>
      <c r="K188" s="16"/>
      <c r="L188" s="15"/>
      <c r="M188" s="20"/>
      <c r="N188" s="15"/>
      <c r="O188" s="20"/>
      <c r="P188" s="15"/>
      <c r="Q188" s="15"/>
      <c r="R188" s="17" t="str">
        <f>IF(Q188="","",VLOOKUP(Q188,'References (2)'!C:D,2,0))</f>
        <v/>
      </c>
      <c r="S188" s="17" t="str">
        <f>IF(Q188="","",VLOOKUP(Q188,'References (2)'!C:F,4,0))</f>
        <v/>
      </c>
      <c r="T188" s="16"/>
      <c r="U188" s="20"/>
      <c r="V188" s="15"/>
      <c r="W188" s="22"/>
      <c r="X188" s="16"/>
      <c r="Y188" s="22"/>
      <c r="Z188" s="25" t="str">
        <f t="shared" si="38"/>
        <v/>
      </c>
      <c r="AA188" s="17" t="str">
        <f t="shared" ca="1" si="39"/>
        <v/>
      </c>
      <c r="AB188" s="17" t="str">
        <f t="shared" ca="1" si="40"/>
        <v/>
      </c>
      <c r="AC188" s="17" t="str">
        <f t="shared" ca="1" si="41"/>
        <v/>
      </c>
      <c r="AD188" s="17" t="str">
        <f t="shared" ca="1" si="42"/>
        <v/>
      </c>
      <c r="AE188" s="17" t="str">
        <f t="shared" si="43"/>
        <v/>
      </c>
      <c r="AF188" s="17" t="str">
        <f t="shared" si="44"/>
        <v/>
      </c>
      <c r="AG188" s="17" t="str">
        <f t="shared" si="45"/>
        <v/>
      </c>
      <c r="AH188" s="17">
        <f t="shared" si="46"/>
        <v>0</v>
      </c>
      <c r="AI188" s="17" t="str">
        <f t="shared" ca="1" si="47"/>
        <v/>
      </c>
      <c r="AJ188" s="17" t="str">
        <f t="shared" ca="1" si="48"/>
        <v/>
      </c>
      <c r="AK188" s="17" t="str">
        <f t="shared" si="49"/>
        <v/>
      </c>
      <c r="AL188" s="17" t="str">
        <f t="shared" ca="1" si="50"/>
        <v/>
      </c>
      <c r="AN188" s="24">
        <f t="shared" si="51"/>
        <v>0</v>
      </c>
      <c r="AO188" s="24">
        <f t="shared" si="52"/>
        <v>0</v>
      </c>
      <c r="AP188" s="24">
        <f t="shared" si="53"/>
        <v>0</v>
      </c>
      <c r="AQ188" s="24">
        <f t="shared" si="54"/>
        <v>0</v>
      </c>
      <c r="AR188" s="24">
        <f t="shared" si="55"/>
        <v>0</v>
      </c>
      <c r="AS188" s="24">
        <f t="shared" si="56"/>
        <v>0</v>
      </c>
    </row>
    <row r="189" spans="1:45" x14ac:dyDescent="0.25">
      <c r="A189" s="83"/>
      <c r="B189" s="16"/>
      <c r="C189" s="16"/>
      <c r="D189" s="15"/>
      <c r="E189" s="15"/>
      <c r="F189" s="16"/>
      <c r="G189" s="16"/>
      <c r="H189" s="16"/>
      <c r="I189" s="22"/>
      <c r="J189" s="16"/>
      <c r="K189" s="16"/>
      <c r="L189" s="15"/>
      <c r="M189" s="20"/>
      <c r="N189" s="15"/>
      <c r="O189" s="20"/>
      <c r="P189" s="15"/>
      <c r="Q189" s="15"/>
      <c r="R189" s="17" t="str">
        <f>IF(Q189="","",VLOOKUP(Q189,'References (2)'!C:D,2,0))</f>
        <v/>
      </c>
      <c r="S189" s="17" t="str">
        <f>IF(Q189="","",VLOOKUP(Q189,'References (2)'!C:F,4,0))</f>
        <v/>
      </c>
      <c r="T189" s="16"/>
      <c r="U189" s="20"/>
      <c r="V189" s="15"/>
      <c r="W189" s="22"/>
      <c r="X189" s="16"/>
      <c r="Y189" s="22"/>
      <c r="Z189" s="25" t="str">
        <f t="shared" si="38"/>
        <v/>
      </c>
      <c r="AA189" s="17" t="str">
        <f t="shared" ca="1" si="39"/>
        <v/>
      </c>
      <c r="AB189" s="17" t="str">
        <f t="shared" ca="1" si="40"/>
        <v/>
      </c>
      <c r="AC189" s="17" t="str">
        <f t="shared" ca="1" si="41"/>
        <v/>
      </c>
      <c r="AD189" s="17" t="str">
        <f t="shared" ca="1" si="42"/>
        <v/>
      </c>
      <c r="AE189" s="17" t="str">
        <f t="shared" si="43"/>
        <v/>
      </c>
      <c r="AF189" s="17" t="str">
        <f t="shared" si="44"/>
        <v/>
      </c>
      <c r="AG189" s="17" t="str">
        <f t="shared" si="45"/>
        <v/>
      </c>
      <c r="AH189" s="17">
        <f t="shared" si="46"/>
        <v>0</v>
      </c>
      <c r="AI189" s="17" t="str">
        <f t="shared" ca="1" si="47"/>
        <v/>
      </c>
      <c r="AJ189" s="17" t="str">
        <f t="shared" ca="1" si="48"/>
        <v/>
      </c>
      <c r="AK189" s="17" t="str">
        <f t="shared" si="49"/>
        <v/>
      </c>
      <c r="AL189" s="17" t="str">
        <f t="shared" ca="1" si="50"/>
        <v/>
      </c>
      <c r="AN189" s="24">
        <f t="shared" si="51"/>
        <v>0</v>
      </c>
      <c r="AO189" s="24">
        <f t="shared" si="52"/>
        <v>0</v>
      </c>
      <c r="AP189" s="24">
        <f t="shared" si="53"/>
        <v>0</v>
      </c>
      <c r="AQ189" s="24">
        <f t="shared" si="54"/>
        <v>0</v>
      </c>
      <c r="AR189" s="24">
        <f t="shared" si="55"/>
        <v>0</v>
      </c>
      <c r="AS189" s="24">
        <f t="shared" si="56"/>
        <v>0</v>
      </c>
    </row>
    <row r="190" spans="1:45" x14ac:dyDescent="0.25">
      <c r="A190" s="83"/>
      <c r="B190" s="16"/>
      <c r="C190" s="16"/>
      <c r="D190" s="15"/>
      <c r="E190" s="15"/>
      <c r="F190" s="16"/>
      <c r="G190" s="16"/>
      <c r="H190" s="16"/>
      <c r="I190" s="22"/>
      <c r="J190" s="16"/>
      <c r="K190" s="16"/>
      <c r="L190" s="15"/>
      <c r="M190" s="20"/>
      <c r="N190" s="15"/>
      <c r="O190" s="20"/>
      <c r="P190" s="15"/>
      <c r="Q190" s="15"/>
      <c r="R190" s="17" t="str">
        <f>IF(Q190="","",VLOOKUP(Q190,'References (2)'!C:D,2,0))</f>
        <v/>
      </c>
      <c r="S190" s="17" t="str">
        <f>IF(Q190="","",VLOOKUP(Q190,'References (2)'!C:F,4,0))</f>
        <v/>
      </c>
      <c r="T190" s="16"/>
      <c r="U190" s="20"/>
      <c r="V190" s="15"/>
      <c r="W190" s="22"/>
      <c r="X190" s="16"/>
      <c r="Y190" s="22"/>
      <c r="Z190" s="25" t="str">
        <f t="shared" si="38"/>
        <v/>
      </c>
      <c r="AA190" s="17" t="str">
        <f t="shared" ca="1" si="39"/>
        <v/>
      </c>
      <c r="AB190" s="17" t="str">
        <f t="shared" ca="1" si="40"/>
        <v/>
      </c>
      <c r="AC190" s="17" t="str">
        <f t="shared" ca="1" si="41"/>
        <v/>
      </c>
      <c r="AD190" s="17" t="str">
        <f t="shared" ca="1" si="42"/>
        <v/>
      </c>
      <c r="AE190" s="17" t="str">
        <f t="shared" si="43"/>
        <v/>
      </c>
      <c r="AF190" s="17" t="str">
        <f t="shared" si="44"/>
        <v/>
      </c>
      <c r="AG190" s="17" t="str">
        <f t="shared" si="45"/>
        <v/>
      </c>
      <c r="AH190" s="17">
        <f t="shared" si="46"/>
        <v>0</v>
      </c>
      <c r="AI190" s="17" t="str">
        <f t="shared" ca="1" si="47"/>
        <v/>
      </c>
      <c r="AJ190" s="17" t="str">
        <f t="shared" ca="1" si="48"/>
        <v/>
      </c>
      <c r="AK190" s="17" t="str">
        <f t="shared" si="49"/>
        <v/>
      </c>
      <c r="AL190" s="17" t="str">
        <f t="shared" ca="1" si="50"/>
        <v/>
      </c>
      <c r="AN190" s="24">
        <f t="shared" si="51"/>
        <v>0</v>
      </c>
      <c r="AO190" s="24">
        <f t="shared" si="52"/>
        <v>0</v>
      </c>
      <c r="AP190" s="24">
        <f t="shared" si="53"/>
        <v>0</v>
      </c>
      <c r="AQ190" s="24">
        <f t="shared" si="54"/>
        <v>0</v>
      </c>
      <c r="AR190" s="24">
        <f t="shared" si="55"/>
        <v>0</v>
      </c>
      <c r="AS190" s="24">
        <f t="shared" si="56"/>
        <v>0</v>
      </c>
    </row>
    <row r="191" spans="1:45" x14ac:dyDescent="0.25">
      <c r="A191" s="83"/>
      <c r="B191" s="16"/>
      <c r="C191" s="16"/>
      <c r="D191" s="15"/>
      <c r="E191" s="15"/>
      <c r="F191" s="16"/>
      <c r="G191" s="16"/>
      <c r="H191" s="16"/>
      <c r="I191" s="22"/>
      <c r="J191" s="16"/>
      <c r="K191" s="16"/>
      <c r="L191" s="15"/>
      <c r="M191" s="20"/>
      <c r="N191" s="15"/>
      <c r="O191" s="20"/>
      <c r="P191" s="15"/>
      <c r="Q191" s="15"/>
      <c r="R191" s="17" t="str">
        <f>IF(Q191="","",VLOOKUP(Q191,'References (2)'!C:D,2,0))</f>
        <v/>
      </c>
      <c r="S191" s="17" t="str">
        <f>IF(Q191="","",VLOOKUP(Q191,'References (2)'!C:F,4,0))</f>
        <v/>
      </c>
      <c r="T191" s="16"/>
      <c r="U191" s="20"/>
      <c r="V191" s="15"/>
      <c r="W191" s="22"/>
      <c r="X191" s="16"/>
      <c r="Y191" s="22"/>
      <c r="Z191" s="25" t="str">
        <f t="shared" si="38"/>
        <v/>
      </c>
      <c r="AA191" s="17" t="str">
        <f t="shared" ca="1" si="39"/>
        <v/>
      </c>
      <c r="AB191" s="17" t="str">
        <f t="shared" ca="1" si="40"/>
        <v/>
      </c>
      <c r="AC191" s="17" t="str">
        <f t="shared" ca="1" si="41"/>
        <v/>
      </c>
      <c r="AD191" s="17" t="str">
        <f t="shared" ca="1" si="42"/>
        <v/>
      </c>
      <c r="AE191" s="17" t="str">
        <f t="shared" si="43"/>
        <v/>
      </c>
      <c r="AF191" s="17" t="str">
        <f t="shared" si="44"/>
        <v/>
      </c>
      <c r="AG191" s="17" t="str">
        <f t="shared" si="45"/>
        <v/>
      </c>
      <c r="AH191" s="17">
        <f t="shared" si="46"/>
        <v>0</v>
      </c>
      <c r="AI191" s="17" t="str">
        <f t="shared" ca="1" si="47"/>
        <v/>
      </c>
      <c r="AJ191" s="17" t="str">
        <f t="shared" ca="1" si="48"/>
        <v/>
      </c>
      <c r="AK191" s="17" t="str">
        <f t="shared" si="49"/>
        <v/>
      </c>
      <c r="AL191" s="17" t="str">
        <f t="shared" ca="1" si="50"/>
        <v/>
      </c>
      <c r="AN191" s="24">
        <f t="shared" si="51"/>
        <v>0</v>
      </c>
      <c r="AO191" s="24">
        <f t="shared" si="52"/>
        <v>0</v>
      </c>
      <c r="AP191" s="24">
        <f t="shared" si="53"/>
        <v>0</v>
      </c>
      <c r="AQ191" s="24">
        <f t="shared" si="54"/>
        <v>0</v>
      </c>
      <c r="AR191" s="24">
        <f t="shared" si="55"/>
        <v>0</v>
      </c>
      <c r="AS191" s="24">
        <f t="shared" si="56"/>
        <v>0</v>
      </c>
    </row>
    <row r="192" spans="1:45" x14ac:dyDescent="0.25">
      <c r="A192" s="83"/>
      <c r="B192" s="16"/>
      <c r="C192" s="16"/>
      <c r="D192" s="15"/>
      <c r="E192" s="15"/>
      <c r="F192" s="16"/>
      <c r="G192" s="16"/>
      <c r="H192" s="16"/>
      <c r="I192" s="22"/>
      <c r="J192" s="16"/>
      <c r="K192" s="16"/>
      <c r="L192" s="15"/>
      <c r="M192" s="20"/>
      <c r="N192" s="15"/>
      <c r="O192" s="20"/>
      <c r="P192" s="15"/>
      <c r="Q192" s="15"/>
      <c r="R192" s="17" t="str">
        <f>IF(Q192="","",VLOOKUP(Q192,'References (2)'!C:D,2,0))</f>
        <v/>
      </c>
      <c r="S192" s="17" t="str">
        <f>IF(Q192="","",VLOOKUP(Q192,'References (2)'!C:F,4,0))</f>
        <v/>
      </c>
      <c r="T192" s="16"/>
      <c r="U192" s="20"/>
      <c r="V192" s="15"/>
      <c r="W192" s="22"/>
      <c r="X192" s="16"/>
      <c r="Y192" s="22"/>
      <c r="Z192" s="25" t="str">
        <f t="shared" si="38"/>
        <v/>
      </c>
      <c r="AA192" s="17" t="str">
        <f t="shared" ca="1" si="39"/>
        <v/>
      </c>
      <c r="AB192" s="17" t="str">
        <f t="shared" ca="1" si="40"/>
        <v/>
      </c>
      <c r="AC192" s="17" t="str">
        <f t="shared" ca="1" si="41"/>
        <v/>
      </c>
      <c r="AD192" s="17" t="str">
        <f t="shared" ca="1" si="42"/>
        <v/>
      </c>
      <c r="AE192" s="17" t="str">
        <f t="shared" si="43"/>
        <v/>
      </c>
      <c r="AF192" s="17" t="str">
        <f t="shared" si="44"/>
        <v/>
      </c>
      <c r="AG192" s="17" t="str">
        <f t="shared" si="45"/>
        <v/>
      </c>
      <c r="AH192" s="17">
        <f t="shared" si="46"/>
        <v>0</v>
      </c>
      <c r="AI192" s="17" t="str">
        <f t="shared" ca="1" si="47"/>
        <v/>
      </c>
      <c r="AJ192" s="17" t="str">
        <f t="shared" ca="1" si="48"/>
        <v/>
      </c>
      <c r="AK192" s="17" t="str">
        <f t="shared" si="49"/>
        <v/>
      </c>
      <c r="AL192" s="17" t="str">
        <f t="shared" ca="1" si="50"/>
        <v/>
      </c>
      <c r="AN192" s="24">
        <f t="shared" si="51"/>
        <v>0</v>
      </c>
      <c r="AO192" s="24">
        <f t="shared" si="52"/>
        <v>0</v>
      </c>
      <c r="AP192" s="24">
        <f t="shared" si="53"/>
        <v>0</v>
      </c>
      <c r="AQ192" s="24">
        <f t="shared" si="54"/>
        <v>0</v>
      </c>
      <c r="AR192" s="24">
        <f t="shared" si="55"/>
        <v>0</v>
      </c>
      <c r="AS192" s="24">
        <f t="shared" si="56"/>
        <v>0</v>
      </c>
    </row>
    <row r="193" spans="1:45" x14ac:dyDescent="0.25">
      <c r="A193" s="83"/>
      <c r="B193" s="16"/>
      <c r="C193" s="16"/>
      <c r="D193" s="15"/>
      <c r="E193" s="15"/>
      <c r="F193" s="16"/>
      <c r="G193" s="16"/>
      <c r="H193" s="16"/>
      <c r="I193" s="22"/>
      <c r="J193" s="16"/>
      <c r="K193" s="16"/>
      <c r="L193" s="15"/>
      <c r="M193" s="20"/>
      <c r="N193" s="15"/>
      <c r="O193" s="20"/>
      <c r="P193" s="15"/>
      <c r="Q193" s="15"/>
      <c r="R193" s="17" t="str">
        <f>IF(Q193="","",VLOOKUP(Q193,'References (2)'!C:D,2,0))</f>
        <v/>
      </c>
      <c r="S193" s="17" t="str">
        <f>IF(Q193="","",VLOOKUP(Q193,'References (2)'!C:F,4,0))</f>
        <v/>
      </c>
      <c r="T193" s="16"/>
      <c r="U193" s="20"/>
      <c r="V193" s="15"/>
      <c r="W193" s="22"/>
      <c r="X193" s="16"/>
      <c r="Y193" s="22"/>
      <c r="Z193" s="25" t="str">
        <f t="shared" si="38"/>
        <v/>
      </c>
      <c r="AA193" s="17" t="str">
        <f t="shared" ca="1" si="39"/>
        <v/>
      </c>
      <c r="AB193" s="17" t="str">
        <f t="shared" ca="1" si="40"/>
        <v/>
      </c>
      <c r="AC193" s="17" t="str">
        <f t="shared" ca="1" si="41"/>
        <v/>
      </c>
      <c r="AD193" s="17" t="str">
        <f t="shared" ca="1" si="42"/>
        <v/>
      </c>
      <c r="AE193" s="17" t="str">
        <f t="shared" si="43"/>
        <v/>
      </c>
      <c r="AF193" s="17" t="str">
        <f t="shared" si="44"/>
        <v/>
      </c>
      <c r="AG193" s="17" t="str">
        <f t="shared" si="45"/>
        <v/>
      </c>
      <c r="AH193" s="17">
        <f t="shared" si="46"/>
        <v>0</v>
      </c>
      <c r="AI193" s="17" t="str">
        <f t="shared" ca="1" si="47"/>
        <v/>
      </c>
      <c r="AJ193" s="17" t="str">
        <f t="shared" ca="1" si="48"/>
        <v/>
      </c>
      <c r="AK193" s="17" t="str">
        <f t="shared" si="49"/>
        <v/>
      </c>
      <c r="AL193" s="17" t="str">
        <f t="shared" ca="1" si="50"/>
        <v/>
      </c>
      <c r="AN193" s="24">
        <f t="shared" si="51"/>
        <v>0</v>
      </c>
      <c r="AO193" s="24">
        <f t="shared" si="52"/>
        <v>0</v>
      </c>
      <c r="AP193" s="24">
        <f t="shared" si="53"/>
        <v>0</v>
      </c>
      <c r="AQ193" s="24">
        <f t="shared" si="54"/>
        <v>0</v>
      </c>
      <c r="AR193" s="24">
        <f t="shared" si="55"/>
        <v>0</v>
      </c>
      <c r="AS193" s="24">
        <f t="shared" si="56"/>
        <v>0</v>
      </c>
    </row>
    <row r="194" spans="1:45" x14ac:dyDescent="0.25">
      <c r="A194" s="83"/>
      <c r="B194" s="16"/>
      <c r="C194" s="16"/>
      <c r="D194" s="15"/>
      <c r="E194" s="15"/>
      <c r="F194" s="16"/>
      <c r="G194" s="16"/>
      <c r="H194" s="16"/>
      <c r="I194" s="22"/>
      <c r="J194" s="16"/>
      <c r="K194" s="16"/>
      <c r="L194" s="15"/>
      <c r="M194" s="20"/>
      <c r="N194" s="15"/>
      <c r="O194" s="20"/>
      <c r="P194" s="15"/>
      <c r="Q194" s="15"/>
      <c r="R194" s="17" t="str">
        <f>IF(Q194="","",VLOOKUP(Q194,'References (2)'!C:D,2,0))</f>
        <v/>
      </c>
      <c r="S194" s="17" t="str">
        <f>IF(Q194="","",VLOOKUP(Q194,'References (2)'!C:F,4,0))</f>
        <v/>
      </c>
      <c r="T194" s="16"/>
      <c r="U194" s="20"/>
      <c r="V194" s="15"/>
      <c r="W194" s="22"/>
      <c r="X194" s="16"/>
      <c r="Y194" s="22"/>
      <c r="Z194" s="25" t="str">
        <f t="shared" si="38"/>
        <v/>
      </c>
      <c r="AA194" s="17" t="str">
        <f t="shared" ca="1" si="39"/>
        <v/>
      </c>
      <c r="AB194" s="17" t="str">
        <f t="shared" ca="1" si="40"/>
        <v/>
      </c>
      <c r="AC194" s="17" t="str">
        <f t="shared" ca="1" si="41"/>
        <v/>
      </c>
      <c r="AD194" s="17" t="str">
        <f t="shared" ca="1" si="42"/>
        <v/>
      </c>
      <c r="AE194" s="17" t="str">
        <f t="shared" si="43"/>
        <v/>
      </c>
      <c r="AF194" s="17" t="str">
        <f t="shared" si="44"/>
        <v/>
      </c>
      <c r="AG194" s="17" t="str">
        <f t="shared" si="45"/>
        <v/>
      </c>
      <c r="AH194" s="17">
        <f t="shared" si="46"/>
        <v>0</v>
      </c>
      <c r="AI194" s="17" t="str">
        <f t="shared" ca="1" si="47"/>
        <v/>
      </c>
      <c r="AJ194" s="17" t="str">
        <f t="shared" ca="1" si="48"/>
        <v/>
      </c>
      <c r="AK194" s="17" t="str">
        <f t="shared" si="49"/>
        <v/>
      </c>
      <c r="AL194" s="17" t="str">
        <f t="shared" ca="1" si="50"/>
        <v/>
      </c>
      <c r="AN194" s="24">
        <f t="shared" si="51"/>
        <v>0</v>
      </c>
      <c r="AO194" s="24">
        <f t="shared" si="52"/>
        <v>0</v>
      </c>
      <c r="AP194" s="24">
        <f t="shared" si="53"/>
        <v>0</v>
      </c>
      <c r="AQ194" s="24">
        <f t="shared" si="54"/>
        <v>0</v>
      </c>
      <c r="AR194" s="24">
        <f t="shared" si="55"/>
        <v>0</v>
      </c>
      <c r="AS194" s="24">
        <f t="shared" si="56"/>
        <v>0</v>
      </c>
    </row>
    <row r="195" spans="1:45" x14ac:dyDescent="0.25">
      <c r="A195" s="83"/>
      <c r="B195" s="16"/>
      <c r="C195" s="16"/>
      <c r="D195" s="15"/>
      <c r="E195" s="15"/>
      <c r="F195" s="16"/>
      <c r="G195" s="16"/>
      <c r="H195" s="16"/>
      <c r="I195" s="22"/>
      <c r="J195" s="16"/>
      <c r="K195" s="16"/>
      <c r="L195" s="15"/>
      <c r="M195" s="20"/>
      <c r="N195" s="15"/>
      <c r="O195" s="20"/>
      <c r="P195" s="15"/>
      <c r="Q195" s="15"/>
      <c r="R195" s="17" t="str">
        <f>IF(Q195="","",VLOOKUP(Q195,'References (2)'!C:D,2,0))</f>
        <v/>
      </c>
      <c r="S195" s="17" t="str">
        <f>IF(Q195="","",VLOOKUP(Q195,'References (2)'!C:F,4,0))</f>
        <v/>
      </c>
      <c r="T195" s="16"/>
      <c r="U195" s="20"/>
      <c r="V195" s="15"/>
      <c r="W195" s="22"/>
      <c r="X195" s="16"/>
      <c r="Y195" s="22"/>
      <c r="Z195" s="25" t="str">
        <f t="shared" ref="Z195:Z258" si="57">IF(B195="","",IF(AN195=1,$AN$2,IF(AO195=1,$AO$2,IF(AP195=1,$AP$2,IF(AQ195=1,$AQ$2,IF(AR195=1,$AR$2,IF(AS195=1,$AS$2,"INCORRECT DATA INPUT")))))))</f>
        <v/>
      </c>
      <c r="AA195" s="17" t="str">
        <f t="shared" ref="AA195:AA258" ca="1" si="58">IF(I195="","",IF(M195="",TODAY()-I195,M195-I195))</f>
        <v/>
      </c>
      <c r="AB195" s="17" t="str">
        <f t="shared" ref="AB195:AB258" ca="1" si="59">IF(AA195="","",IF(AA195&lt;=0,0,AA195-1))</f>
        <v/>
      </c>
      <c r="AC195" s="17" t="str">
        <f t="shared" ref="AC195:AC258" ca="1" si="60">IF(AA195="","",IF(AA195&gt;1,"EXCEEDED SLA","WITHIN SLA"))</f>
        <v/>
      </c>
      <c r="AD195" s="17" t="str">
        <f t="shared" ref="AD195:AD258" ca="1" si="61">IF(M195="","",IF(W195="",TODAY()-M195,W195-M195))</f>
        <v/>
      </c>
      <c r="AE195" s="17" t="str">
        <f t="shared" ref="AE195:AE258" si="62">IF(M195="","",IF(S195="WFM",AD195,AD195-1))</f>
        <v/>
      </c>
      <c r="AF195" s="17" t="str">
        <f t="shared" ref="AF195:AF258" si="63">IF(AE195&lt;0,0,AE195)</f>
        <v/>
      </c>
      <c r="AG195" s="17" t="str">
        <f t="shared" ref="AG195:AG258" si="64">IF(M195="","",IF(S195="WFM","WFM SLA",IF(AE195&gt;0,"EXCEEDED SLA","WITHIN SLA")))</f>
        <v/>
      </c>
      <c r="AH195" s="17">
        <f t="shared" ref="AH195:AH258" si="65">Y195-W195</f>
        <v>0</v>
      </c>
      <c r="AI195" s="17" t="str">
        <f t="shared" ref="AI195:AI258" ca="1" si="66">IF(W195="","",IF(Y195="",TODAY()-W195-R195,Y195-W195-R195))</f>
        <v/>
      </c>
      <c r="AJ195" s="17" t="str">
        <f t="shared" ref="AJ195:AJ258" ca="1" si="67">IF(AI195&lt;=0,0,AI195)</f>
        <v/>
      </c>
      <c r="AK195" s="17" t="str">
        <f t="shared" ref="AK195:AK258" si="68">IF(W195="","",IF(AJ195&lt;1,"WITHIN SLA","EXCEEDED SLA"))</f>
        <v/>
      </c>
      <c r="AL195" s="17" t="str">
        <f t="shared" ref="AL195:AL258" ca="1" si="69">IF(B195="","",IF(K195="DONE",Y195-I195,TODAY()-I195))</f>
        <v/>
      </c>
      <c r="AN195" s="24">
        <f t="shared" ref="AN195:AN258" si="70">IF(AND(K195="DONE",Y195&gt;0,AK195="WITHIN SLA"),1,0)</f>
        <v>0</v>
      </c>
      <c r="AO195" s="24">
        <f t="shared" ref="AO195:AO258" si="71">IF(AND(K195="DONE",Y195&gt;0,AK195="EXCEEDED SLA"),1,0)</f>
        <v>0</v>
      </c>
      <c r="AP195" s="24">
        <f t="shared" ref="AP195:AP258" si="72">IF(AND(K195="PENDING",L195="AWAITING FROM CSMP"),1,0)</f>
        <v>0</v>
      </c>
      <c r="AQ195" s="24">
        <f t="shared" ref="AQ195:AQ258" si="73">IF(AND(K195="PENDING",L195="WATO ON-HAND",M195&gt;0,S195="WATO",W195=0),1,0)</f>
        <v>0</v>
      </c>
      <c r="AR195" s="24">
        <f t="shared" ref="AR195:AR258" si="74">IF(AND(K195="PENDING",L195="SUBMITTED TO WFM",M195&gt;0,S195="WFM",W195=0),1,0)</f>
        <v>0</v>
      </c>
      <c r="AS195" s="24">
        <f t="shared" ref="AS195:AS258" si="75">IF(AND(K195="PENDING",W195&gt;0),1,0)</f>
        <v>0</v>
      </c>
    </row>
    <row r="196" spans="1:45" x14ac:dyDescent="0.25">
      <c r="A196" s="83"/>
      <c r="B196" s="16"/>
      <c r="C196" s="16"/>
      <c r="D196" s="15"/>
      <c r="E196" s="15"/>
      <c r="F196" s="16"/>
      <c r="G196" s="16"/>
      <c r="H196" s="16"/>
      <c r="I196" s="22"/>
      <c r="J196" s="16"/>
      <c r="K196" s="16"/>
      <c r="L196" s="15"/>
      <c r="M196" s="20"/>
      <c r="N196" s="15"/>
      <c r="O196" s="20"/>
      <c r="P196" s="15"/>
      <c r="Q196" s="15"/>
      <c r="R196" s="17" t="str">
        <f>IF(Q196="","",VLOOKUP(Q196,'References (2)'!C:D,2,0))</f>
        <v/>
      </c>
      <c r="S196" s="17" t="str">
        <f>IF(Q196="","",VLOOKUP(Q196,'References (2)'!C:F,4,0))</f>
        <v/>
      </c>
      <c r="T196" s="16"/>
      <c r="U196" s="20"/>
      <c r="V196" s="15"/>
      <c r="W196" s="22"/>
      <c r="X196" s="16"/>
      <c r="Y196" s="22"/>
      <c r="Z196" s="25" t="str">
        <f t="shared" si="57"/>
        <v/>
      </c>
      <c r="AA196" s="17" t="str">
        <f t="shared" ca="1" si="58"/>
        <v/>
      </c>
      <c r="AB196" s="17" t="str">
        <f t="shared" ca="1" si="59"/>
        <v/>
      </c>
      <c r="AC196" s="17" t="str">
        <f t="shared" ca="1" si="60"/>
        <v/>
      </c>
      <c r="AD196" s="17" t="str">
        <f t="shared" ca="1" si="61"/>
        <v/>
      </c>
      <c r="AE196" s="17" t="str">
        <f t="shared" si="62"/>
        <v/>
      </c>
      <c r="AF196" s="17" t="str">
        <f t="shared" si="63"/>
        <v/>
      </c>
      <c r="AG196" s="17" t="str">
        <f t="shared" si="64"/>
        <v/>
      </c>
      <c r="AH196" s="17">
        <f t="shared" si="65"/>
        <v>0</v>
      </c>
      <c r="AI196" s="17" t="str">
        <f t="shared" ca="1" si="66"/>
        <v/>
      </c>
      <c r="AJ196" s="17" t="str">
        <f t="shared" ca="1" si="67"/>
        <v/>
      </c>
      <c r="AK196" s="17" t="str">
        <f t="shared" si="68"/>
        <v/>
      </c>
      <c r="AL196" s="17" t="str">
        <f t="shared" ca="1" si="69"/>
        <v/>
      </c>
      <c r="AN196" s="24">
        <f t="shared" si="70"/>
        <v>0</v>
      </c>
      <c r="AO196" s="24">
        <f t="shared" si="71"/>
        <v>0</v>
      </c>
      <c r="AP196" s="24">
        <f t="shared" si="72"/>
        <v>0</v>
      </c>
      <c r="AQ196" s="24">
        <f t="shared" si="73"/>
        <v>0</v>
      </c>
      <c r="AR196" s="24">
        <f t="shared" si="74"/>
        <v>0</v>
      </c>
      <c r="AS196" s="24">
        <f t="shared" si="75"/>
        <v>0</v>
      </c>
    </row>
    <row r="197" spans="1:45" x14ac:dyDescent="0.25">
      <c r="A197" s="83"/>
      <c r="B197" s="16"/>
      <c r="C197" s="16"/>
      <c r="D197" s="15"/>
      <c r="E197" s="15"/>
      <c r="F197" s="16"/>
      <c r="G197" s="16"/>
      <c r="H197" s="16"/>
      <c r="I197" s="22"/>
      <c r="J197" s="16"/>
      <c r="K197" s="16"/>
      <c r="L197" s="15"/>
      <c r="M197" s="20"/>
      <c r="N197" s="15"/>
      <c r="O197" s="20"/>
      <c r="P197" s="15"/>
      <c r="Q197" s="15"/>
      <c r="R197" s="17" t="str">
        <f>IF(Q197="","",VLOOKUP(Q197,'References (2)'!C:D,2,0))</f>
        <v/>
      </c>
      <c r="S197" s="17" t="str">
        <f>IF(Q197="","",VLOOKUP(Q197,'References (2)'!C:F,4,0))</f>
        <v/>
      </c>
      <c r="T197" s="16"/>
      <c r="U197" s="20"/>
      <c r="V197" s="15"/>
      <c r="W197" s="22"/>
      <c r="X197" s="16"/>
      <c r="Y197" s="22"/>
      <c r="Z197" s="25" t="str">
        <f t="shared" si="57"/>
        <v/>
      </c>
      <c r="AA197" s="17" t="str">
        <f t="shared" ca="1" si="58"/>
        <v/>
      </c>
      <c r="AB197" s="17" t="str">
        <f t="shared" ca="1" si="59"/>
        <v/>
      </c>
      <c r="AC197" s="17" t="str">
        <f t="shared" ca="1" si="60"/>
        <v/>
      </c>
      <c r="AD197" s="17" t="str">
        <f t="shared" ca="1" si="61"/>
        <v/>
      </c>
      <c r="AE197" s="17" t="str">
        <f t="shared" si="62"/>
        <v/>
      </c>
      <c r="AF197" s="17" t="str">
        <f t="shared" si="63"/>
        <v/>
      </c>
      <c r="AG197" s="17" t="str">
        <f t="shared" si="64"/>
        <v/>
      </c>
      <c r="AH197" s="17">
        <f t="shared" si="65"/>
        <v>0</v>
      </c>
      <c r="AI197" s="17" t="str">
        <f t="shared" ca="1" si="66"/>
        <v/>
      </c>
      <c r="AJ197" s="17" t="str">
        <f t="shared" ca="1" si="67"/>
        <v/>
      </c>
      <c r="AK197" s="17" t="str">
        <f t="shared" si="68"/>
        <v/>
      </c>
      <c r="AL197" s="17" t="str">
        <f t="shared" ca="1" si="69"/>
        <v/>
      </c>
      <c r="AN197" s="24">
        <f t="shared" si="70"/>
        <v>0</v>
      </c>
      <c r="AO197" s="24">
        <f t="shared" si="71"/>
        <v>0</v>
      </c>
      <c r="AP197" s="24">
        <f t="shared" si="72"/>
        <v>0</v>
      </c>
      <c r="AQ197" s="24">
        <f t="shared" si="73"/>
        <v>0</v>
      </c>
      <c r="AR197" s="24">
        <f t="shared" si="74"/>
        <v>0</v>
      </c>
      <c r="AS197" s="24">
        <f t="shared" si="75"/>
        <v>0</v>
      </c>
    </row>
    <row r="198" spans="1:45" x14ac:dyDescent="0.25">
      <c r="A198" s="83"/>
      <c r="B198" s="16"/>
      <c r="C198" s="16"/>
      <c r="D198" s="15"/>
      <c r="E198" s="15"/>
      <c r="F198" s="16"/>
      <c r="G198" s="16"/>
      <c r="H198" s="16"/>
      <c r="I198" s="22"/>
      <c r="J198" s="16"/>
      <c r="K198" s="16"/>
      <c r="L198" s="15"/>
      <c r="M198" s="20"/>
      <c r="N198" s="15"/>
      <c r="O198" s="20"/>
      <c r="P198" s="15"/>
      <c r="Q198" s="15"/>
      <c r="R198" s="17" t="str">
        <f>IF(Q198="","",VLOOKUP(Q198,'References (2)'!C:D,2,0))</f>
        <v/>
      </c>
      <c r="S198" s="17" t="str">
        <f>IF(Q198="","",VLOOKUP(Q198,'References (2)'!C:F,4,0))</f>
        <v/>
      </c>
      <c r="T198" s="16"/>
      <c r="U198" s="20"/>
      <c r="V198" s="15"/>
      <c r="W198" s="22"/>
      <c r="X198" s="16"/>
      <c r="Y198" s="22"/>
      <c r="Z198" s="25" t="str">
        <f t="shared" si="57"/>
        <v/>
      </c>
      <c r="AA198" s="17" t="str">
        <f t="shared" ca="1" si="58"/>
        <v/>
      </c>
      <c r="AB198" s="17" t="str">
        <f t="shared" ca="1" si="59"/>
        <v/>
      </c>
      <c r="AC198" s="17" t="str">
        <f t="shared" ca="1" si="60"/>
        <v/>
      </c>
      <c r="AD198" s="17" t="str">
        <f t="shared" ca="1" si="61"/>
        <v/>
      </c>
      <c r="AE198" s="17" t="str">
        <f t="shared" si="62"/>
        <v/>
      </c>
      <c r="AF198" s="17" t="str">
        <f t="shared" si="63"/>
        <v/>
      </c>
      <c r="AG198" s="17" t="str">
        <f t="shared" si="64"/>
        <v/>
      </c>
      <c r="AH198" s="17">
        <f t="shared" si="65"/>
        <v>0</v>
      </c>
      <c r="AI198" s="17" t="str">
        <f t="shared" ca="1" si="66"/>
        <v/>
      </c>
      <c r="AJ198" s="17" t="str">
        <f t="shared" ca="1" si="67"/>
        <v/>
      </c>
      <c r="AK198" s="17" t="str">
        <f t="shared" si="68"/>
        <v/>
      </c>
      <c r="AL198" s="17" t="str">
        <f t="shared" ca="1" si="69"/>
        <v/>
      </c>
      <c r="AN198" s="24">
        <f t="shared" si="70"/>
        <v>0</v>
      </c>
      <c r="AO198" s="24">
        <f t="shared" si="71"/>
        <v>0</v>
      </c>
      <c r="AP198" s="24">
        <f t="shared" si="72"/>
        <v>0</v>
      </c>
      <c r="AQ198" s="24">
        <f t="shared" si="73"/>
        <v>0</v>
      </c>
      <c r="AR198" s="24">
        <f t="shared" si="74"/>
        <v>0</v>
      </c>
      <c r="AS198" s="24">
        <f t="shared" si="75"/>
        <v>0</v>
      </c>
    </row>
    <row r="199" spans="1:45" x14ac:dyDescent="0.25">
      <c r="A199" s="83"/>
      <c r="B199" s="16"/>
      <c r="C199" s="16"/>
      <c r="D199" s="15"/>
      <c r="E199" s="15"/>
      <c r="F199" s="16"/>
      <c r="G199" s="16"/>
      <c r="H199" s="16"/>
      <c r="I199" s="22"/>
      <c r="J199" s="16"/>
      <c r="K199" s="16"/>
      <c r="L199" s="15"/>
      <c r="M199" s="20"/>
      <c r="N199" s="15"/>
      <c r="O199" s="20"/>
      <c r="P199" s="15"/>
      <c r="Q199" s="15"/>
      <c r="R199" s="17" t="str">
        <f>IF(Q199="","",VLOOKUP(Q199,'References (2)'!C:D,2,0))</f>
        <v/>
      </c>
      <c r="S199" s="17" t="str">
        <f>IF(Q199="","",VLOOKUP(Q199,'References (2)'!C:F,4,0))</f>
        <v/>
      </c>
      <c r="T199" s="16"/>
      <c r="U199" s="20"/>
      <c r="V199" s="15"/>
      <c r="W199" s="22"/>
      <c r="X199" s="16"/>
      <c r="Y199" s="22"/>
      <c r="Z199" s="25" t="str">
        <f t="shared" si="57"/>
        <v/>
      </c>
      <c r="AA199" s="17" t="str">
        <f t="shared" ca="1" si="58"/>
        <v/>
      </c>
      <c r="AB199" s="17" t="str">
        <f t="shared" ca="1" si="59"/>
        <v/>
      </c>
      <c r="AC199" s="17" t="str">
        <f t="shared" ca="1" si="60"/>
        <v/>
      </c>
      <c r="AD199" s="17" t="str">
        <f t="shared" ca="1" si="61"/>
        <v/>
      </c>
      <c r="AE199" s="17" t="str">
        <f t="shared" si="62"/>
        <v/>
      </c>
      <c r="AF199" s="17" t="str">
        <f t="shared" si="63"/>
        <v/>
      </c>
      <c r="AG199" s="17" t="str">
        <f t="shared" si="64"/>
        <v/>
      </c>
      <c r="AH199" s="17">
        <f t="shared" si="65"/>
        <v>0</v>
      </c>
      <c r="AI199" s="17" t="str">
        <f t="shared" ca="1" si="66"/>
        <v/>
      </c>
      <c r="AJ199" s="17" t="str">
        <f t="shared" ca="1" si="67"/>
        <v/>
      </c>
      <c r="AK199" s="17" t="str">
        <f t="shared" si="68"/>
        <v/>
      </c>
      <c r="AL199" s="17" t="str">
        <f t="shared" ca="1" si="69"/>
        <v/>
      </c>
      <c r="AN199" s="24">
        <f t="shared" si="70"/>
        <v>0</v>
      </c>
      <c r="AO199" s="24">
        <f t="shared" si="71"/>
        <v>0</v>
      </c>
      <c r="AP199" s="24">
        <f t="shared" si="72"/>
        <v>0</v>
      </c>
      <c r="AQ199" s="24">
        <f t="shared" si="73"/>
        <v>0</v>
      </c>
      <c r="AR199" s="24">
        <f t="shared" si="74"/>
        <v>0</v>
      </c>
      <c r="AS199" s="24">
        <f t="shared" si="75"/>
        <v>0</v>
      </c>
    </row>
    <row r="200" spans="1:45" x14ac:dyDescent="0.25">
      <c r="A200" s="83"/>
      <c r="B200" s="83"/>
      <c r="C200" s="83"/>
      <c r="D200" s="15"/>
      <c r="E200" s="15"/>
      <c r="F200" s="83"/>
      <c r="G200" s="83"/>
      <c r="H200" s="16"/>
      <c r="I200" s="83"/>
      <c r="J200" s="83"/>
      <c r="K200" s="16"/>
      <c r="L200" s="15"/>
      <c r="M200" s="20"/>
      <c r="N200" s="15"/>
      <c r="O200" s="20"/>
      <c r="P200" s="15"/>
      <c r="Q200" s="15"/>
      <c r="R200" s="17" t="str">
        <f>IF(Q200="","",VLOOKUP(Q200,'References (2)'!C:D,2,0))</f>
        <v/>
      </c>
      <c r="S200" s="17" t="str">
        <f>IF(Q200="","",VLOOKUP(Q200,'References (2)'!C:F,4,0))</f>
        <v/>
      </c>
      <c r="T200" s="16"/>
      <c r="U200" s="20"/>
      <c r="V200" s="15"/>
      <c r="W200" s="22"/>
      <c r="X200" s="16"/>
      <c r="Y200" s="22"/>
      <c r="Z200" s="25" t="str">
        <f t="shared" si="57"/>
        <v/>
      </c>
      <c r="AA200" s="17" t="str">
        <f t="shared" ca="1" si="58"/>
        <v/>
      </c>
      <c r="AB200" s="17" t="str">
        <f t="shared" ca="1" si="59"/>
        <v/>
      </c>
      <c r="AC200" s="17" t="str">
        <f t="shared" ca="1" si="60"/>
        <v/>
      </c>
      <c r="AD200" s="17" t="str">
        <f t="shared" ca="1" si="61"/>
        <v/>
      </c>
      <c r="AE200" s="17" t="str">
        <f t="shared" si="62"/>
        <v/>
      </c>
      <c r="AF200" s="17" t="str">
        <f t="shared" si="63"/>
        <v/>
      </c>
      <c r="AG200" s="17" t="str">
        <f t="shared" si="64"/>
        <v/>
      </c>
      <c r="AH200" s="17">
        <f t="shared" si="65"/>
        <v>0</v>
      </c>
      <c r="AI200" s="17" t="str">
        <f t="shared" ca="1" si="66"/>
        <v/>
      </c>
      <c r="AJ200" s="17" t="str">
        <f t="shared" ca="1" si="67"/>
        <v/>
      </c>
      <c r="AK200" s="17" t="str">
        <f t="shared" si="68"/>
        <v/>
      </c>
      <c r="AL200" s="17" t="str">
        <f t="shared" ca="1" si="69"/>
        <v/>
      </c>
      <c r="AN200" s="24">
        <f t="shared" si="70"/>
        <v>0</v>
      </c>
      <c r="AO200" s="24">
        <f t="shared" si="71"/>
        <v>0</v>
      </c>
      <c r="AP200" s="24">
        <f t="shared" si="72"/>
        <v>0</v>
      </c>
      <c r="AQ200" s="24">
        <f t="shared" si="73"/>
        <v>0</v>
      </c>
      <c r="AR200" s="24">
        <f t="shared" si="74"/>
        <v>0</v>
      </c>
      <c r="AS200" s="24">
        <f t="shared" si="75"/>
        <v>0</v>
      </c>
    </row>
    <row r="201" spans="1:45" x14ac:dyDescent="0.25">
      <c r="A201" s="83"/>
      <c r="B201" s="83"/>
      <c r="C201" s="83"/>
      <c r="D201" s="15"/>
      <c r="E201" s="15"/>
      <c r="F201" s="83"/>
      <c r="G201" s="83"/>
      <c r="H201" s="16"/>
      <c r="I201" s="83"/>
      <c r="J201" s="83"/>
      <c r="K201" s="16"/>
      <c r="L201" s="15"/>
      <c r="M201" s="20"/>
      <c r="N201" s="15"/>
      <c r="O201" s="20"/>
      <c r="P201" s="15"/>
      <c r="Q201" s="15"/>
      <c r="R201" s="17" t="str">
        <f>IF(Q201="","",VLOOKUP(Q201,'References (2)'!C:D,2,0))</f>
        <v/>
      </c>
      <c r="S201" s="17" t="str">
        <f>IF(Q201="","",VLOOKUP(Q201,'References (2)'!C:F,4,0))</f>
        <v/>
      </c>
      <c r="T201" s="16"/>
      <c r="U201" s="20"/>
      <c r="V201" s="15"/>
      <c r="W201" s="22"/>
      <c r="X201" s="16"/>
      <c r="Y201" s="22"/>
      <c r="Z201" s="25" t="str">
        <f t="shared" si="57"/>
        <v/>
      </c>
      <c r="AA201" s="17" t="str">
        <f t="shared" ca="1" si="58"/>
        <v/>
      </c>
      <c r="AB201" s="17" t="str">
        <f t="shared" ca="1" si="59"/>
        <v/>
      </c>
      <c r="AC201" s="17" t="str">
        <f t="shared" ca="1" si="60"/>
        <v/>
      </c>
      <c r="AD201" s="17" t="str">
        <f t="shared" ca="1" si="61"/>
        <v/>
      </c>
      <c r="AE201" s="17" t="str">
        <f t="shared" si="62"/>
        <v/>
      </c>
      <c r="AF201" s="17" t="str">
        <f t="shared" si="63"/>
        <v/>
      </c>
      <c r="AG201" s="17" t="str">
        <f t="shared" si="64"/>
        <v/>
      </c>
      <c r="AH201" s="17">
        <f t="shared" si="65"/>
        <v>0</v>
      </c>
      <c r="AI201" s="17" t="str">
        <f t="shared" ca="1" si="66"/>
        <v/>
      </c>
      <c r="AJ201" s="17" t="str">
        <f t="shared" ca="1" si="67"/>
        <v/>
      </c>
      <c r="AK201" s="17" t="str">
        <f t="shared" si="68"/>
        <v/>
      </c>
      <c r="AL201" s="17" t="str">
        <f t="shared" ca="1" si="69"/>
        <v/>
      </c>
      <c r="AN201" s="24">
        <f t="shared" si="70"/>
        <v>0</v>
      </c>
      <c r="AO201" s="24">
        <f t="shared" si="71"/>
        <v>0</v>
      </c>
      <c r="AP201" s="24">
        <f t="shared" si="72"/>
        <v>0</v>
      </c>
      <c r="AQ201" s="24">
        <f t="shared" si="73"/>
        <v>0</v>
      </c>
      <c r="AR201" s="24">
        <f t="shared" si="74"/>
        <v>0</v>
      </c>
      <c r="AS201" s="24">
        <f t="shared" si="75"/>
        <v>0</v>
      </c>
    </row>
    <row r="202" spans="1:45" x14ac:dyDescent="0.25">
      <c r="A202" s="83"/>
      <c r="B202" s="83"/>
      <c r="C202" s="83"/>
      <c r="D202" s="15"/>
      <c r="E202" s="15"/>
      <c r="F202" s="83"/>
      <c r="G202" s="83"/>
      <c r="H202" s="16"/>
      <c r="I202" s="83"/>
      <c r="J202" s="83"/>
      <c r="K202" s="16"/>
      <c r="L202" s="15"/>
      <c r="M202" s="20"/>
      <c r="N202" s="15"/>
      <c r="O202" s="20"/>
      <c r="P202" s="15"/>
      <c r="Q202" s="15"/>
      <c r="R202" s="17" t="str">
        <f>IF(Q202="","",VLOOKUP(Q202,'References (2)'!C:D,2,0))</f>
        <v/>
      </c>
      <c r="S202" s="17" t="str">
        <f>IF(Q202="","",VLOOKUP(Q202,'References (2)'!C:F,4,0))</f>
        <v/>
      </c>
      <c r="T202" s="16"/>
      <c r="U202" s="20"/>
      <c r="V202" s="15"/>
      <c r="W202" s="22"/>
      <c r="X202" s="16"/>
      <c r="Y202" s="22"/>
      <c r="Z202" s="25" t="str">
        <f t="shared" si="57"/>
        <v/>
      </c>
      <c r="AA202" s="17" t="str">
        <f t="shared" ca="1" si="58"/>
        <v/>
      </c>
      <c r="AB202" s="17" t="str">
        <f t="shared" ca="1" si="59"/>
        <v/>
      </c>
      <c r="AC202" s="17" t="str">
        <f t="shared" ca="1" si="60"/>
        <v/>
      </c>
      <c r="AD202" s="17" t="str">
        <f t="shared" ca="1" si="61"/>
        <v/>
      </c>
      <c r="AE202" s="17" t="str">
        <f t="shared" si="62"/>
        <v/>
      </c>
      <c r="AF202" s="17" t="str">
        <f t="shared" si="63"/>
        <v/>
      </c>
      <c r="AG202" s="17" t="str">
        <f t="shared" si="64"/>
        <v/>
      </c>
      <c r="AH202" s="17">
        <f t="shared" si="65"/>
        <v>0</v>
      </c>
      <c r="AI202" s="17" t="str">
        <f t="shared" ca="1" si="66"/>
        <v/>
      </c>
      <c r="AJ202" s="17" t="str">
        <f t="shared" ca="1" si="67"/>
        <v/>
      </c>
      <c r="AK202" s="17" t="str">
        <f t="shared" si="68"/>
        <v/>
      </c>
      <c r="AL202" s="17" t="str">
        <f t="shared" ca="1" si="69"/>
        <v/>
      </c>
      <c r="AN202" s="24">
        <f t="shared" si="70"/>
        <v>0</v>
      </c>
      <c r="AO202" s="24">
        <f t="shared" si="71"/>
        <v>0</v>
      </c>
      <c r="AP202" s="24">
        <f t="shared" si="72"/>
        <v>0</v>
      </c>
      <c r="AQ202" s="24">
        <f t="shared" si="73"/>
        <v>0</v>
      </c>
      <c r="AR202" s="24">
        <f t="shared" si="74"/>
        <v>0</v>
      </c>
      <c r="AS202" s="24">
        <f t="shared" si="75"/>
        <v>0</v>
      </c>
    </row>
    <row r="203" spans="1:45" x14ac:dyDescent="0.25">
      <c r="A203" s="83"/>
      <c r="B203" s="83"/>
      <c r="C203" s="83"/>
      <c r="D203" s="15"/>
      <c r="E203" s="15"/>
      <c r="F203" s="83"/>
      <c r="G203" s="83"/>
      <c r="H203" s="16"/>
      <c r="I203" s="83"/>
      <c r="J203" s="83"/>
      <c r="K203" s="16"/>
      <c r="L203" s="15"/>
      <c r="M203" s="20"/>
      <c r="N203" s="15"/>
      <c r="O203" s="20"/>
      <c r="P203" s="15"/>
      <c r="Q203" s="15"/>
      <c r="R203" s="17" t="str">
        <f>IF(Q203="","",VLOOKUP(Q203,'References (2)'!C:D,2,0))</f>
        <v/>
      </c>
      <c r="S203" s="17" t="str">
        <f>IF(Q203="","",VLOOKUP(Q203,'References (2)'!C:F,4,0))</f>
        <v/>
      </c>
      <c r="T203" s="16"/>
      <c r="U203" s="20"/>
      <c r="V203" s="15"/>
      <c r="W203" s="22"/>
      <c r="X203" s="16"/>
      <c r="Y203" s="22"/>
      <c r="Z203" s="25" t="str">
        <f t="shared" si="57"/>
        <v/>
      </c>
      <c r="AA203" s="17" t="str">
        <f t="shared" ca="1" si="58"/>
        <v/>
      </c>
      <c r="AB203" s="17" t="str">
        <f t="shared" ca="1" si="59"/>
        <v/>
      </c>
      <c r="AC203" s="17" t="str">
        <f t="shared" ca="1" si="60"/>
        <v/>
      </c>
      <c r="AD203" s="17" t="str">
        <f t="shared" ca="1" si="61"/>
        <v/>
      </c>
      <c r="AE203" s="17" t="str">
        <f t="shared" si="62"/>
        <v/>
      </c>
      <c r="AF203" s="17" t="str">
        <f t="shared" si="63"/>
        <v/>
      </c>
      <c r="AG203" s="17" t="str">
        <f t="shared" si="64"/>
        <v/>
      </c>
      <c r="AH203" s="17">
        <f t="shared" si="65"/>
        <v>0</v>
      </c>
      <c r="AI203" s="17" t="str">
        <f t="shared" ca="1" si="66"/>
        <v/>
      </c>
      <c r="AJ203" s="17" t="str">
        <f t="shared" ca="1" si="67"/>
        <v/>
      </c>
      <c r="AK203" s="17" t="str">
        <f t="shared" si="68"/>
        <v/>
      </c>
      <c r="AL203" s="17" t="str">
        <f t="shared" ca="1" si="69"/>
        <v/>
      </c>
      <c r="AN203" s="24">
        <f t="shared" si="70"/>
        <v>0</v>
      </c>
      <c r="AO203" s="24">
        <f t="shared" si="71"/>
        <v>0</v>
      </c>
      <c r="AP203" s="24">
        <f t="shared" si="72"/>
        <v>0</v>
      </c>
      <c r="AQ203" s="24">
        <f t="shared" si="73"/>
        <v>0</v>
      </c>
      <c r="AR203" s="24">
        <f t="shared" si="74"/>
        <v>0</v>
      </c>
      <c r="AS203" s="24">
        <f t="shared" si="75"/>
        <v>0</v>
      </c>
    </row>
    <row r="204" spans="1:45" x14ac:dyDescent="0.25">
      <c r="A204" s="83"/>
      <c r="B204" s="83"/>
      <c r="C204" s="83"/>
      <c r="D204" s="15"/>
      <c r="E204" s="15"/>
      <c r="F204" s="83"/>
      <c r="G204" s="83"/>
      <c r="H204" s="16"/>
      <c r="I204" s="83"/>
      <c r="J204" s="83"/>
      <c r="K204" s="16"/>
      <c r="L204" s="15"/>
      <c r="M204" s="20"/>
      <c r="N204" s="15"/>
      <c r="O204" s="20"/>
      <c r="P204" s="15"/>
      <c r="Q204" s="15"/>
      <c r="R204" s="17" t="str">
        <f>IF(Q204="","",VLOOKUP(Q204,'References (2)'!C:D,2,0))</f>
        <v/>
      </c>
      <c r="S204" s="17" t="str">
        <f>IF(Q204="","",VLOOKUP(Q204,'References (2)'!C:F,4,0))</f>
        <v/>
      </c>
      <c r="T204" s="16"/>
      <c r="U204" s="20"/>
      <c r="V204" s="15"/>
      <c r="W204" s="22"/>
      <c r="X204" s="16"/>
      <c r="Y204" s="22"/>
      <c r="Z204" s="25" t="str">
        <f t="shared" si="57"/>
        <v/>
      </c>
      <c r="AA204" s="17" t="str">
        <f t="shared" ca="1" si="58"/>
        <v/>
      </c>
      <c r="AB204" s="17" t="str">
        <f t="shared" ca="1" si="59"/>
        <v/>
      </c>
      <c r="AC204" s="17" t="str">
        <f t="shared" ca="1" si="60"/>
        <v/>
      </c>
      <c r="AD204" s="17" t="str">
        <f t="shared" ca="1" si="61"/>
        <v/>
      </c>
      <c r="AE204" s="17" t="str">
        <f t="shared" si="62"/>
        <v/>
      </c>
      <c r="AF204" s="17" t="str">
        <f t="shared" si="63"/>
        <v/>
      </c>
      <c r="AG204" s="17" t="str">
        <f t="shared" si="64"/>
        <v/>
      </c>
      <c r="AH204" s="17">
        <f t="shared" si="65"/>
        <v>0</v>
      </c>
      <c r="AI204" s="17" t="str">
        <f t="shared" ca="1" si="66"/>
        <v/>
      </c>
      <c r="AJ204" s="17" t="str">
        <f t="shared" ca="1" si="67"/>
        <v/>
      </c>
      <c r="AK204" s="17" t="str">
        <f t="shared" si="68"/>
        <v/>
      </c>
      <c r="AL204" s="17" t="str">
        <f t="shared" ca="1" si="69"/>
        <v/>
      </c>
      <c r="AN204" s="24">
        <f t="shared" si="70"/>
        <v>0</v>
      </c>
      <c r="AO204" s="24">
        <f t="shared" si="71"/>
        <v>0</v>
      </c>
      <c r="AP204" s="24">
        <f t="shared" si="72"/>
        <v>0</v>
      </c>
      <c r="AQ204" s="24">
        <f t="shared" si="73"/>
        <v>0</v>
      </c>
      <c r="AR204" s="24">
        <f t="shared" si="74"/>
        <v>0</v>
      </c>
      <c r="AS204" s="24">
        <f t="shared" si="75"/>
        <v>0</v>
      </c>
    </row>
    <row r="205" spans="1:45" x14ac:dyDescent="0.25">
      <c r="A205" s="83"/>
      <c r="B205" s="83"/>
      <c r="C205" s="83"/>
      <c r="D205" s="15"/>
      <c r="E205" s="15"/>
      <c r="F205" s="83"/>
      <c r="G205" s="83"/>
      <c r="H205" s="16"/>
      <c r="I205" s="83"/>
      <c r="J205" s="83"/>
      <c r="K205" s="16"/>
      <c r="L205" s="15"/>
      <c r="M205" s="20"/>
      <c r="N205" s="15"/>
      <c r="O205" s="20"/>
      <c r="P205" s="15"/>
      <c r="Q205" s="15"/>
      <c r="R205" s="17" t="str">
        <f>IF(Q205="","",VLOOKUP(Q205,'References (2)'!C:D,2,0))</f>
        <v/>
      </c>
      <c r="S205" s="17" t="str">
        <f>IF(Q205="","",VLOOKUP(Q205,'References (2)'!C:F,4,0))</f>
        <v/>
      </c>
      <c r="T205" s="16"/>
      <c r="U205" s="20"/>
      <c r="V205" s="15"/>
      <c r="W205" s="22"/>
      <c r="X205" s="16"/>
      <c r="Y205" s="22"/>
      <c r="Z205" s="25" t="str">
        <f t="shared" si="57"/>
        <v/>
      </c>
      <c r="AA205" s="17" t="str">
        <f t="shared" ca="1" si="58"/>
        <v/>
      </c>
      <c r="AB205" s="17" t="str">
        <f t="shared" ca="1" si="59"/>
        <v/>
      </c>
      <c r="AC205" s="17" t="str">
        <f t="shared" ca="1" si="60"/>
        <v/>
      </c>
      <c r="AD205" s="17" t="str">
        <f t="shared" ca="1" si="61"/>
        <v/>
      </c>
      <c r="AE205" s="17" t="str">
        <f t="shared" si="62"/>
        <v/>
      </c>
      <c r="AF205" s="17" t="str">
        <f t="shared" si="63"/>
        <v/>
      </c>
      <c r="AG205" s="17" t="str">
        <f t="shared" si="64"/>
        <v/>
      </c>
      <c r="AH205" s="17">
        <f t="shared" si="65"/>
        <v>0</v>
      </c>
      <c r="AI205" s="17" t="str">
        <f t="shared" ca="1" si="66"/>
        <v/>
      </c>
      <c r="AJ205" s="17" t="str">
        <f t="shared" ca="1" si="67"/>
        <v/>
      </c>
      <c r="AK205" s="17" t="str">
        <f t="shared" si="68"/>
        <v/>
      </c>
      <c r="AL205" s="17" t="str">
        <f t="shared" ca="1" si="69"/>
        <v/>
      </c>
      <c r="AN205" s="24">
        <f t="shared" si="70"/>
        <v>0</v>
      </c>
      <c r="AO205" s="24">
        <f t="shared" si="71"/>
        <v>0</v>
      </c>
      <c r="AP205" s="24">
        <f t="shared" si="72"/>
        <v>0</v>
      </c>
      <c r="AQ205" s="24">
        <f t="shared" si="73"/>
        <v>0</v>
      </c>
      <c r="AR205" s="24">
        <f t="shared" si="74"/>
        <v>0</v>
      </c>
      <c r="AS205" s="24">
        <f t="shared" si="75"/>
        <v>0</v>
      </c>
    </row>
    <row r="206" spans="1:45" x14ac:dyDescent="0.25">
      <c r="A206" s="83"/>
      <c r="B206" s="83"/>
      <c r="C206" s="83"/>
      <c r="D206" s="15"/>
      <c r="E206" s="15"/>
      <c r="F206" s="83"/>
      <c r="G206" s="83"/>
      <c r="H206" s="16"/>
      <c r="I206" s="83"/>
      <c r="J206" s="83"/>
      <c r="K206" s="16"/>
      <c r="L206" s="15"/>
      <c r="M206" s="20"/>
      <c r="N206" s="15"/>
      <c r="O206" s="20"/>
      <c r="P206" s="15"/>
      <c r="Q206" s="15"/>
      <c r="R206" s="17" t="str">
        <f>IF(Q206="","",VLOOKUP(Q206,'References (2)'!C:D,2,0))</f>
        <v/>
      </c>
      <c r="S206" s="17" t="str">
        <f>IF(Q206="","",VLOOKUP(Q206,'References (2)'!C:F,4,0))</f>
        <v/>
      </c>
      <c r="T206" s="16"/>
      <c r="U206" s="20"/>
      <c r="V206" s="15"/>
      <c r="W206" s="22"/>
      <c r="X206" s="16"/>
      <c r="Y206" s="22"/>
      <c r="Z206" s="25" t="str">
        <f t="shared" si="57"/>
        <v/>
      </c>
      <c r="AA206" s="17" t="str">
        <f t="shared" ca="1" si="58"/>
        <v/>
      </c>
      <c r="AB206" s="17" t="str">
        <f t="shared" ca="1" si="59"/>
        <v/>
      </c>
      <c r="AC206" s="17" t="str">
        <f t="shared" ca="1" si="60"/>
        <v/>
      </c>
      <c r="AD206" s="17" t="str">
        <f t="shared" ca="1" si="61"/>
        <v/>
      </c>
      <c r="AE206" s="17" t="str">
        <f t="shared" si="62"/>
        <v/>
      </c>
      <c r="AF206" s="17" t="str">
        <f t="shared" si="63"/>
        <v/>
      </c>
      <c r="AG206" s="17" t="str">
        <f t="shared" si="64"/>
        <v/>
      </c>
      <c r="AH206" s="17">
        <f t="shared" si="65"/>
        <v>0</v>
      </c>
      <c r="AI206" s="17" t="str">
        <f t="shared" ca="1" si="66"/>
        <v/>
      </c>
      <c r="AJ206" s="17" t="str">
        <f t="shared" ca="1" si="67"/>
        <v/>
      </c>
      <c r="AK206" s="17" t="str">
        <f t="shared" si="68"/>
        <v/>
      </c>
      <c r="AL206" s="17" t="str">
        <f t="shared" ca="1" si="69"/>
        <v/>
      </c>
      <c r="AN206" s="24">
        <f t="shared" si="70"/>
        <v>0</v>
      </c>
      <c r="AO206" s="24">
        <f t="shared" si="71"/>
        <v>0</v>
      </c>
      <c r="AP206" s="24">
        <f t="shared" si="72"/>
        <v>0</v>
      </c>
      <c r="AQ206" s="24">
        <f t="shared" si="73"/>
        <v>0</v>
      </c>
      <c r="AR206" s="24">
        <f t="shared" si="74"/>
        <v>0</v>
      </c>
      <c r="AS206" s="24">
        <f t="shared" si="75"/>
        <v>0</v>
      </c>
    </row>
    <row r="207" spans="1:45" x14ac:dyDescent="0.25">
      <c r="A207" s="83"/>
      <c r="B207" s="83"/>
      <c r="C207" s="83"/>
      <c r="D207" s="15"/>
      <c r="E207" s="15"/>
      <c r="F207" s="83"/>
      <c r="G207" s="83"/>
      <c r="H207" s="16"/>
      <c r="I207" s="83"/>
      <c r="J207" s="83"/>
      <c r="K207" s="16"/>
      <c r="L207" s="15"/>
      <c r="M207" s="20"/>
      <c r="N207" s="15"/>
      <c r="O207" s="20"/>
      <c r="P207" s="15"/>
      <c r="Q207" s="15"/>
      <c r="R207" s="17" t="str">
        <f>IF(Q207="","",VLOOKUP(Q207,'References (2)'!C:D,2,0))</f>
        <v/>
      </c>
      <c r="S207" s="17" t="str">
        <f>IF(Q207="","",VLOOKUP(Q207,'References (2)'!C:F,4,0))</f>
        <v/>
      </c>
      <c r="T207" s="16"/>
      <c r="U207" s="20"/>
      <c r="V207" s="15"/>
      <c r="W207" s="22"/>
      <c r="X207" s="16"/>
      <c r="Y207" s="22"/>
      <c r="Z207" s="25" t="str">
        <f t="shared" si="57"/>
        <v/>
      </c>
      <c r="AA207" s="17" t="str">
        <f t="shared" ca="1" si="58"/>
        <v/>
      </c>
      <c r="AB207" s="17" t="str">
        <f t="shared" ca="1" si="59"/>
        <v/>
      </c>
      <c r="AC207" s="17" t="str">
        <f t="shared" ca="1" si="60"/>
        <v/>
      </c>
      <c r="AD207" s="17" t="str">
        <f t="shared" ca="1" si="61"/>
        <v/>
      </c>
      <c r="AE207" s="17" t="str">
        <f t="shared" si="62"/>
        <v/>
      </c>
      <c r="AF207" s="17" t="str">
        <f t="shared" si="63"/>
        <v/>
      </c>
      <c r="AG207" s="17" t="str">
        <f t="shared" si="64"/>
        <v/>
      </c>
      <c r="AH207" s="17">
        <f t="shared" si="65"/>
        <v>0</v>
      </c>
      <c r="AI207" s="17" t="str">
        <f t="shared" ca="1" si="66"/>
        <v/>
      </c>
      <c r="AJ207" s="17" t="str">
        <f t="shared" ca="1" si="67"/>
        <v/>
      </c>
      <c r="AK207" s="17" t="str">
        <f t="shared" si="68"/>
        <v/>
      </c>
      <c r="AL207" s="17" t="str">
        <f t="shared" ca="1" si="69"/>
        <v/>
      </c>
      <c r="AN207" s="24">
        <f t="shared" si="70"/>
        <v>0</v>
      </c>
      <c r="AO207" s="24">
        <f t="shared" si="71"/>
        <v>0</v>
      </c>
      <c r="AP207" s="24">
        <f t="shared" si="72"/>
        <v>0</v>
      </c>
      <c r="AQ207" s="24">
        <f t="shared" si="73"/>
        <v>0</v>
      </c>
      <c r="AR207" s="24">
        <f t="shared" si="74"/>
        <v>0</v>
      </c>
      <c r="AS207" s="24">
        <f t="shared" si="75"/>
        <v>0</v>
      </c>
    </row>
    <row r="208" spans="1:45" x14ac:dyDescent="0.25">
      <c r="A208" s="83"/>
      <c r="B208" s="83"/>
      <c r="C208" s="83"/>
      <c r="D208" s="15"/>
      <c r="E208" s="15"/>
      <c r="F208" s="83"/>
      <c r="G208" s="83"/>
      <c r="H208" s="16"/>
      <c r="I208" s="83"/>
      <c r="J208" s="83"/>
      <c r="K208" s="16"/>
      <c r="L208" s="15"/>
      <c r="M208" s="20"/>
      <c r="N208" s="15"/>
      <c r="O208" s="20"/>
      <c r="P208" s="15"/>
      <c r="Q208" s="15"/>
      <c r="R208" s="17" t="str">
        <f>IF(Q208="","",VLOOKUP(Q208,'References (2)'!C:D,2,0))</f>
        <v/>
      </c>
      <c r="S208" s="17" t="str">
        <f>IF(Q208="","",VLOOKUP(Q208,'References (2)'!C:F,4,0))</f>
        <v/>
      </c>
      <c r="T208" s="16"/>
      <c r="U208" s="20"/>
      <c r="V208" s="15"/>
      <c r="W208" s="22"/>
      <c r="X208" s="16"/>
      <c r="Y208" s="22"/>
      <c r="Z208" s="25" t="str">
        <f t="shared" si="57"/>
        <v/>
      </c>
      <c r="AA208" s="17" t="str">
        <f t="shared" ca="1" si="58"/>
        <v/>
      </c>
      <c r="AB208" s="17" t="str">
        <f t="shared" ca="1" si="59"/>
        <v/>
      </c>
      <c r="AC208" s="17" t="str">
        <f t="shared" ca="1" si="60"/>
        <v/>
      </c>
      <c r="AD208" s="17" t="str">
        <f t="shared" ca="1" si="61"/>
        <v/>
      </c>
      <c r="AE208" s="17" t="str">
        <f t="shared" si="62"/>
        <v/>
      </c>
      <c r="AF208" s="17" t="str">
        <f t="shared" si="63"/>
        <v/>
      </c>
      <c r="AG208" s="17" t="str">
        <f t="shared" si="64"/>
        <v/>
      </c>
      <c r="AH208" s="17">
        <f t="shared" si="65"/>
        <v>0</v>
      </c>
      <c r="AI208" s="17" t="str">
        <f t="shared" ca="1" si="66"/>
        <v/>
      </c>
      <c r="AJ208" s="17" t="str">
        <f t="shared" ca="1" si="67"/>
        <v/>
      </c>
      <c r="AK208" s="17" t="str">
        <f t="shared" si="68"/>
        <v/>
      </c>
      <c r="AL208" s="17" t="str">
        <f t="shared" ca="1" si="69"/>
        <v/>
      </c>
      <c r="AN208" s="24">
        <f t="shared" si="70"/>
        <v>0</v>
      </c>
      <c r="AO208" s="24">
        <f t="shared" si="71"/>
        <v>0</v>
      </c>
      <c r="AP208" s="24">
        <f t="shared" si="72"/>
        <v>0</v>
      </c>
      <c r="AQ208" s="24">
        <f t="shared" si="73"/>
        <v>0</v>
      </c>
      <c r="AR208" s="24">
        <f t="shared" si="74"/>
        <v>0</v>
      </c>
      <c r="AS208" s="24">
        <f t="shared" si="75"/>
        <v>0</v>
      </c>
    </row>
    <row r="209" spans="1:45" x14ac:dyDescent="0.25">
      <c r="A209" s="83"/>
      <c r="B209" s="83"/>
      <c r="C209" s="83"/>
      <c r="D209" s="15"/>
      <c r="E209" s="15"/>
      <c r="F209" s="83"/>
      <c r="G209" s="83"/>
      <c r="H209" s="16"/>
      <c r="I209" s="83"/>
      <c r="J209" s="83"/>
      <c r="K209" s="16"/>
      <c r="L209" s="15"/>
      <c r="M209" s="20"/>
      <c r="N209" s="15"/>
      <c r="O209" s="20"/>
      <c r="P209" s="15"/>
      <c r="Q209" s="15"/>
      <c r="R209" s="17" t="str">
        <f>IF(Q209="","",VLOOKUP(Q209,'References (2)'!C:D,2,0))</f>
        <v/>
      </c>
      <c r="S209" s="17" t="str">
        <f>IF(Q209="","",VLOOKUP(Q209,'References (2)'!C:F,4,0))</f>
        <v/>
      </c>
      <c r="T209" s="16"/>
      <c r="U209" s="20"/>
      <c r="V209" s="15"/>
      <c r="W209" s="22"/>
      <c r="X209" s="16"/>
      <c r="Y209" s="22"/>
      <c r="Z209" s="25" t="str">
        <f t="shared" si="57"/>
        <v/>
      </c>
      <c r="AA209" s="17" t="str">
        <f t="shared" ca="1" si="58"/>
        <v/>
      </c>
      <c r="AB209" s="17" t="str">
        <f t="shared" ca="1" si="59"/>
        <v/>
      </c>
      <c r="AC209" s="17" t="str">
        <f t="shared" ca="1" si="60"/>
        <v/>
      </c>
      <c r="AD209" s="17" t="str">
        <f t="shared" ca="1" si="61"/>
        <v/>
      </c>
      <c r="AE209" s="17" t="str">
        <f t="shared" si="62"/>
        <v/>
      </c>
      <c r="AF209" s="17" t="str">
        <f t="shared" si="63"/>
        <v/>
      </c>
      <c r="AG209" s="17" t="str">
        <f t="shared" si="64"/>
        <v/>
      </c>
      <c r="AH209" s="17">
        <f t="shared" si="65"/>
        <v>0</v>
      </c>
      <c r="AI209" s="17" t="str">
        <f t="shared" ca="1" si="66"/>
        <v/>
      </c>
      <c r="AJ209" s="17" t="str">
        <f t="shared" ca="1" si="67"/>
        <v/>
      </c>
      <c r="AK209" s="17" t="str">
        <f t="shared" si="68"/>
        <v/>
      </c>
      <c r="AL209" s="17" t="str">
        <f t="shared" ca="1" si="69"/>
        <v/>
      </c>
      <c r="AN209" s="24">
        <f t="shared" si="70"/>
        <v>0</v>
      </c>
      <c r="AO209" s="24">
        <f t="shared" si="71"/>
        <v>0</v>
      </c>
      <c r="AP209" s="24">
        <f t="shared" si="72"/>
        <v>0</v>
      </c>
      <c r="AQ209" s="24">
        <f t="shared" si="73"/>
        <v>0</v>
      </c>
      <c r="AR209" s="24">
        <f t="shared" si="74"/>
        <v>0</v>
      </c>
      <c r="AS209" s="24">
        <f t="shared" si="75"/>
        <v>0</v>
      </c>
    </row>
    <row r="210" spans="1:45" x14ac:dyDescent="0.25">
      <c r="A210" s="83"/>
      <c r="B210" s="83"/>
      <c r="C210" s="83"/>
      <c r="D210" s="15"/>
      <c r="E210" s="15"/>
      <c r="F210" s="83"/>
      <c r="G210" s="83"/>
      <c r="H210" s="16"/>
      <c r="I210" s="83"/>
      <c r="J210" s="83"/>
      <c r="K210" s="16"/>
      <c r="L210" s="15"/>
      <c r="M210" s="20"/>
      <c r="N210" s="15"/>
      <c r="O210" s="20"/>
      <c r="P210" s="15"/>
      <c r="Q210" s="15"/>
      <c r="R210" s="17" t="str">
        <f>IF(Q210="","",VLOOKUP(Q210,'References (2)'!C:D,2,0))</f>
        <v/>
      </c>
      <c r="S210" s="17" t="str">
        <f>IF(Q210="","",VLOOKUP(Q210,'References (2)'!C:F,4,0))</f>
        <v/>
      </c>
      <c r="T210" s="16"/>
      <c r="U210" s="20"/>
      <c r="V210" s="15"/>
      <c r="W210" s="22"/>
      <c r="X210" s="16"/>
      <c r="Y210" s="22"/>
      <c r="Z210" s="25" t="str">
        <f t="shared" si="57"/>
        <v/>
      </c>
      <c r="AA210" s="17" t="str">
        <f t="shared" ca="1" si="58"/>
        <v/>
      </c>
      <c r="AB210" s="17" t="str">
        <f t="shared" ca="1" si="59"/>
        <v/>
      </c>
      <c r="AC210" s="17" t="str">
        <f t="shared" ca="1" si="60"/>
        <v/>
      </c>
      <c r="AD210" s="17" t="str">
        <f t="shared" ca="1" si="61"/>
        <v/>
      </c>
      <c r="AE210" s="17" t="str">
        <f t="shared" si="62"/>
        <v/>
      </c>
      <c r="AF210" s="17" t="str">
        <f t="shared" si="63"/>
        <v/>
      </c>
      <c r="AG210" s="17" t="str">
        <f t="shared" si="64"/>
        <v/>
      </c>
      <c r="AH210" s="17">
        <f t="shared" si="65"/>
        <v>0</v>
      </c>
      <c r="AI210" s="17" t="str">
        <f t="shared" ca="1" si="66"/>
        <v/>
      </c>
      <c r="AJ210" s="17" t="str">
        <f t="shared" ca="1" si="67"/>
        <v/>
      </c>
      <c r="AK210" s="17" t="str">
        <f t="shared" si="68"/>
        <v/>
      </c>
      <c r="AL210" s="17" t="str">
        <f t="shared" ca="1" si="69"/>
        <v/>
      </c>
      <c r="AN210" s="24">
        <f t="shared" si="70"/>
        <v>0</v>
      </c>
      <c r="AO210" s="24">
        <f t="shared" si="71"/>
        <v>0</v>
      </c>
      <c r="AP210" s="24">
        <f t="shared" si="72"/>
        <v>0</v>
      </c>
      <c r="AQ210" s="24">
        <f t="shared" si="73"/>
        <v>0</v>
      </c>
      <c r="AR210" s="24">
        <f t="shared" si="74"/>
        <v>0</v>
      </c>
      <c r="AS210" s="24">
        <f t="shared" si="75"/>
        <v>0</v>
      </c>
    </row>
    <row r="211" spans="1:45" x14ac:dyDescent="0.25">
      <c r="A211" s="83"/>
      <c r="B211" s="83"/>
      <c r="C211" s="83"/>
      <c r="D211" s="15"/>
      <c r="E211" s="15"/>
      <c r="F211" s="83"/>
      <c r="G211" s="83"/>
      <c r="H211" s="16"/>
      <c r="I211" s="83"/>
      <c r="J211" s="83"/>
      <c r="K211" s="16"/>
      <c r="L211" s="15"/>
      <c r="M211" s="20"/>
      <c r="N211" s="15"/>
      <c r="O211" s="20"/>
      <c r="P211" s="15"/>
      <c r="Q211" s="15"/>
      <c r="R211" s="17" t="str">
        <f>IF(Q211="","",VLOOKUP(Q211,'References (2)'!C:D,2,0))</f>
        <v/>
      </c>
      <c r="S211" s="17" t="str">
        <f>IF(Q211="","",VLOOKUP(Q211,'References (2)'!C:F,4,0))</f>
        <v/>
      </c>
      <c r="T211" s="16"/>
      <c r="U211" s="20"/>
      <c r="V211" s="15"/>
      <c r="W211" s="22"/>
      <c r="X211" s="16"/>
      <c r="Y211" s="22"/>
      <c r="Z211" s="25" t="str">
        <f t="shared" si="57"/>
        <v/>
      </c>
      <c r="AA211" s="17" t="str">
        <f t="shared" ca="1" si="58"/>
        <v/>
      </c>
      <c r="AB211" s="17" t="str">
        <f t="shared" ca="1" si="59"/>
        <v/>
      </c>
      <c r="AC211" s="17" t="str">
        <f t="shared" ca="1" si="60"/>
        <v/>
      </c>
      <c r="AD211" s="17" t="str">
        <f t="shared" ca="1" si="61"/>
        <v/>
      </c>
      <c r="AE211" s="17" t="str">
        <f t="shared" si="62"/>
        <v/>
      </c>
      <c r="AF211" s="17" t="str">
        <f t="shared" si="63"/>
        <v/>
      </c>
      <c r="AG211" s="17" t="str">
        <f t="shared" si="64"/>
        <v/>
      </c>
      <c r="AH211" s="17">
        <f t="shared" si="65"/>
        <v>0</v>
      </c>
      <c r="AI211" s="17" t="str">
        <f t="shared" ca="1" si="66"/>
        <v/>
      </c>
      <c r="AJ211" s="17" t="str">
        <f t="shared" ca="1" si="67"/>
        <v/>
      </c>
      <c r="AK211" s="17" t="str">
        <f t="shared" si="68"/>
        <v/>
      </c>
      <c r="AL211" s="17" t="str">
        <f t="shared" ca="1" si="69"/>
        <v/>
      </c>
      <c r="AN211" s="24">
        <f t="shared" si="70"/>
        <v>0</v>
      </c>
      <c r="AO211" s="24">
        <f t="shared" si="71"/>
        <v>0</v>
      </c>
      <c r="AP211" s="24">
        <f t="shared" si="72"/>
        <v>0</v>
      </c>
      <c r="AQ211" s="24">
        <f t="shared" si="73"/>
        <v>0</v>
      </c>
      <c r="AR211" s="24">
        <f t="shared" si="74"/>
        <v>0</v>
      </c>
      <c r="AS211" s="24">
        <f t="shared" si="75"/>
        <v>0</v>
      </c>
    </row>
    <row r="212" spans="1:45" x14ac:dyDescent="0.25">
      <c r="A212" s="83"/>
      <c r="B212" s="83"/>
      <c r="C212" s="83"/>
      <c r="D212" s="15"/>
      <c r="E212" s="15"/>
      <c r="F212" s="83"/>
      <c r="G212" s="83"/>
      <c r="H212" s="16"/>
      <c r="I212" s="83"/>
      <c r="J212" s="83"/>
      <c r="K212" s="16"/>
      <c r="L212" s="15"/>
      <c r="M212" s="20"/>
      <c r="N212" s="15"/>
      <c r="O212" s="20"/>
      <c r="P212" s="15"/>
      <c r="Q212" s="15"/>
      <c r="R212" s="17" t="str">
        <f>IF(Q212="","",VLOOKUP(Q212,'References (2)'!C:D,2,0))</f>
        <v/>
      </c>
      <c r="S212" s="17" t="str">
        <f>IF(Q212="","",VLOOKUP(Q212,'References (2)'!C:F,4,0))</f>
        <v/>
      </c>
      <c r="T212" s="16"/>
      <c r="U212" s="20"/>
      <c r="V212" s="15"/>
      <c r="W212" s="22"/>
      <c r="X212" s="16"/>
      <c r="Y212" s="22"/>
      <c r="Z212" s="25" t="str">
        <f t="shared" si="57"/>
        <v/>
      </c>
      <c r="AA212" s="17" t="str">
        <f t="shared" ca="1" si="58"/>
        <v/>
      </c>
      <c r="AB212" s="17" t="str">
        <f t="shared" ca="1" si="59"/>
        <v/>
      </c>
      <c r="AC212" s="17" t="str">
        <f t="shared" ca="1" si="60"/>
        <v/>
      </c>
      <c r="AD212" s="17" t="str">
        <f t="shared" ca="1" si="61"/>
        <v/>
      </c>
      <c r="AE212" s="17" t="str">
        <f t="shared" si="62"/>
        <v/>
      </c>
      <c r="AF212" s="17" t="str">
        <f t="shared" si="63"/>
        <v/>
      </c>
      <c r="AG212" s="17" t="str">
        <f t="shared" si="64"/>
        <v/>
      </c>
      <c r="AH212" s="17">
        <f t="shared" si="65"/>
        <v>0</v>
      </c>
      <c r="AI212" s="17" t="str">
        <f t="shared" ca="1" si="66"/>
        <v/>
      </c>
      <c r="AJ212" s="17" t="str">
        <f t="shared" ca="1" si="67"/>
        <v/>
      </c>
      <c r="AK212" s="17" t="str">
        <f t="shared" si="68"/>
        <v/>
      </c>
      <c r="AL212" s="17" t="str">
        <f t="shared" ca="1" si="69"/>
        <v/>
      </c>
      <c r="AN212" s="24">
        <f t="shared" si="70"/>
        <v>0</v>
      </c>
      <c r="AO212" s="24">
        <f t="shared" si="71"/>
        <v>0</v>
      </c>
      <c r="AP212" s="24">
        <f t="shared" si="72"/>
        <v>0</v>
      </c>
      <c r="AQ212" s="24">
        <f t="shared" si="73"/>
        <v>0</v>
      </c>
      <c r="AR212" s="24">
        <f t="shared" si="74"/>
        <v>0</v>
      </c>
      <c r="AS212" s="24">
        <f t="shared" si="75"/>
        <v>0</v>
      </c>
    </row>
    <row r="213" spans="1:45" x14ac:dyDescent="0.25">
      <c r="A213" s="83"/>
      <c r="B213" s="83"/>
      <c r="C213" s="83"/>
      <c r="D213" s="15"/>
      <c r="E213" s="15"/>
      <c r="F213" s="83"/>
      <c r="G213" s="83"/>
      <c r="H213" s="16"/>
      <c r="I213" s="83"/>
      <c r="J213" s="83"/>
      <c r="K213" s="16"/>
      <c r="L213" s="15"/>
      <c r="M213" s="20"/>
      <c r="N213" s="15"/>
      <c r="O213" s="20"/>
      <c r="P213" s="15"/>
      <c r="Q213" s="15"/>
      <c r="R213" s="17" t="str">
        <f>IF(Q213="","",VLOOKUP(Q213,'References (2)'!C:D,2,0))</f>
        <v/>
      </c>
      <c r="S213" s="17" t="str">
        <f>IF(Q213="","",VLOOKUP(Q213,'References (2)'!C:F,4,0))</f>
        <v/>
      </c>
      <c r="T213" s="16"/>
      <c r="U213" s="20"/>
      <c r="V213" s="15"/>
      <c r="W213" s="22"/>
      <c r="X213" s="16"/>
      <c r="Y213" s="22"/>
      <c r="Z213" s="25" t="str">
        <f t="shared" si="57"/>
        <v/>
      </c>
      <c r="AA213" s="17" t="str">
        <f t="shared" ca="1" si="58"/>
        <v/>
      </c>
      <c r="AB213" s="17" t="str">
        <f t="shared" ca="1" si="59"/>
        <v/>
      </c>
      <c r="AC213" s="17" t="str">
        <f t="shared" ca="1" si="60"/>
        <v/>
      </c>
      <c r="AD213" s="17" t="str">
        <f t="shared" ca="1" si="61"/>
        <v/>
      </c>
      <c r="AE213" s="17" t="str">
        <f t="shared" si="62"/>
        <v/>
      </c>
      <c r="AF213" s="17" t="str">
        <f t="shared" si="63"/>
        <v/>
      </c>
      <c r="AG213" s="17" t="str">
        <f t="shared" si="64"/>
        <v/>
      </c>
      <c r="AH213" s="17">
        <f t="shared" si="65"/>
        <v>0</v>
      </c>
      <c r="AI213" s="17" t="str">
        <f t="shared" ca="1" si="66"/>
        <v/>
      </c>
      <c r="AJ213" s="17" t="str">
        <f t="shared" ca="1" si="67"/>
        <v/>
      </c>
      <c r="AK213" s="17" t="str">
        <f t="shared" si="68"/>
        <v/>
      </c>
      <c r="AL213" s="17" t="str">
        <f t="shared" ca="1" si="69"/>
        <v/>
      </c>
      <c r="AN213" s="24">
        <f t="shared" si="70"/>
        <v>0</v>
      </c>
      <c r="AO213" s="24">
        <f t="shared" si="71"/>
        <v>0</v>
      </c>
      <c r="AP213" s="24">
        <f t="shared" si="72"/>
        <v>0</v>
      </c>
      <c r="AQ213" s="24">
        <f t="shared" si="73"/>
        <v>0</v>
      </c>
      <c r="AR213" s="24">
        <f t="shared" si="74"/>
        <v>0</v>
      </c>
      <c r="AS213" s="24">
        <f t="shared" si="75"/>
        <v>0</v>
      </c>
    </row>
    <row r="214" spans="1:45" x14ac:dyDescent="0.25">
      <c r="A214" s="83"/>
      <c r="B214" s="83"/>
      <c r="C214" s="83"/>
      <c r="D214" s="15"/>
      <c r="E214" s="15"/>
      <c r="F214" s="83"/>
      <c r="G214" s="83"/>
      <c r="H214" s="16"/>
      <c r="I214" s="83"/>
      <c r="J214" s="83"/>
      <c r="K214" s="16"/>
      <c r="L214" s="15"/>
      <c r="M214" s="20"/>
      <c r="N214" s="15"/>
      <c r="O214" s="20"/>
      <c r="P214" s="15"/>
      <c r="Q214" s="15"/>
      <c r="R214" s="17" t="str">
        <f>IF(Q214="","",VLOOKUP(Q214,'References (2)'!C:D,2,0))</f>
        <v/>
      </c>
      <c r="S214" s="17" t="str">
        <f>IF(Q214="","",VLOOKUP(Q214,'References (2)'!C:F,4,0))</f>
        <v/>
      </c>
      <c r="T214" s="16"/>
      <c r="U214" s="20"/>
      <c r="V214" s="15"/>
      <c r="W214" s="22"/>
      <c r="X214" s="16"/>
      <c r="Y214" s="22"/>
      <c r="Z214" s="25" t="str">
        <f t="shared" si="57"/>
        <v/>
      </c>
      <c r="AA214" s="17" t="str">
        <f t="shared" ca="1" si="58"/>
        <v/>
      </c>
      <c r="AB214" s="17" t="str">
        <f t="shared" ca="1" si="59"/>
        <v/>
      </c>
      <c r="AC214" s="17" t="str">
        <f t="shared" ca="1" si="60"/>
        <v/>
      </c>
      <c r="AD214" s="17" t="str">
        <f t="shared" ca="1" si="61"/>
        <v/>
      </c>
      <c r="AE214" s="17" t="str">
        <f t="shared" si="62"/>
        <v/>
      </c>
      <c r="AF214" s="17" t="str">
        <f t="shared" si="63"/>
        <v/>
      </c>
      <c r="AG214" s="17" t="str">
        <f t="shared" si="64"/>
        <v/>
      </c>
      <c r="AH214" s="17">
        <f t="shared" si="65"/>
        <v>0</v>
      </c>
      <c r="AI214" s="17" t="str">
        <f t="shared" ca="1" si="66"/>
        <v/>
      </c>
      <c r="AJ214" s="17" t="str">
        <f t="shared" ca="1" si="67"/>
        <v/>
      </c>
      <c r="AK214" s="17" t="str">
        <f t="shared" si="68"/>
        <v/>
      </c>
      <c r="AL214" s="17" t="str">
        <f t="shared" ca="1" si="69"/>
        <v/>
      </c>
      <c r="AN214" s="24">
        <f t="shared" si="70"/>
        <v>0</v>
      </c>
      <c r="AO214" s="24">
        <f t="shared" si="71"/>
        <v>0</v>
      </c>
      <c r="AP214" s="24">
        <f t="shared" si="72"/>
        <v>0</v>
      </c>
      <c r="AQ214" s="24">
        <f t="shared" si="73"/>
        <v>0</v>
      </c>
      <c r="AR214" s="24">
        <f t="shared" si="74"/>
        <v>0</v>
      </c>
      <c r="AS214" s="24">
        <f t="shared" si="75"/>
        <v>0</v>
      </c>
    </row>
    <row r="215" spans="1:45" x14ac:dyDescent="0.25">
      <c r="A215" s="83"/>
      <c r="B215" s="83"/>
      <c r="C215" s="83"/>
      <c r="D215" s="15"/>
      <c r="E215" s="15"/>
      <c r="F215" s="83"/>
      <c r="G215" s="83"/>
      <c r="H215" s="16"/>
      <c r="I215" s="83"/>
      <c r="J215" s="83"/>
      <c r="K215" s="16"/>
      <c r="L215" s="15"/>
      <c r="M215" s="20"/>
      <c r="N215" s="15"/>
      <c r="O215" s="20"/>
      <c r="P215" s="15"/>
      <c r="Q215" s="15"/>
      <c r="R215" s="17" t="str">
        <f>IF(Q215="","",VLOOKUP(Q215,'References (2)'!C:D,2,0))</f>
        <v/>
      </c>
      <c r="S215" s="17" t="str">
        <f>IF(Q215="","",VLOOKUP(Q215,'References (2)'!C:F,4,0))</f>
        <v/>
      </c>
      <c r="T215" s="16"/>
      <c r="U215" s="20"/>
      <c r="V215" s="15"/>
      <c r="W215" s="22"/>
      <c r="X215" s="16"/>
      <c r="Y215" s="22"/>
      <c r="Z215" s="25" t="str">
        <f t="shared" si="57"/>
        <v/>
      </c>
      <c r="AA215" s="17" t="str">
        <f t="shared" ca="1" si="58"/>
        <v/>
      </c>
      <c r="AB215" s="17" t="str">
        <f t="shared" ca="1" si="59"/>
        <v/>
      </c>
      <c r="AC215" s="17" t="str">
        <f t="shared" ca="1" si="60"/>
        <v/>
      </c>
      <c r="AD215" s="17" t="str">
        <f t="shared" ca="1" si="61"/>
        <v/>
      </c>
      <c r="AE215" s="17" t="str">
        <f t="shared" si="62"/>
        <v/>
      </c>
      <c r="AF215" s="17" t="str">
        <f t="shared" si="63"/>
        <v/>
      </c>
      <c r="AG215" s="17" t="str">
        <f t="shared" si="64"/>
        <v/>
      </c>
      <c r="AH215" s="17">
        <f t="shared" si="65"/>
        <v>0</v>
      </c>
      <c r="AI215" s="17" t="str">
        <f t="shared" ca="1" si="66"/>
        <v/>
      </c>
      <c r="AJ215" s="17" t="str">
        <f t="shared" ca="1" si="67"/>
        <v/>
      </c>
      <c r="AK215" s="17" t="str">
        <f t="shared" si="68"/>
        <v/>
      </c>
      <c r="AL215" s="17" t="str">
        <f t="shared" ca="1" si="69"/>
        <v/>
      </c>
      <c r="AN215" s="24">
        <f t="shared" si="70"/>
        <v>0</v>
      </c>
      <c r="AO215" s="24">
        <f t="shared" si="71"/>
        <v>0</v>
      </c>
      <c r="AP215" s="24">
        <f t="shared" si="72"/>
        <v>0</v>
      </c>
      <c r="AQ215" s="24">
        <f t="shared" si="73"/>
        <v>0</v>
      </c>
      <c r="AR215" s="24">
        <f t="shared" si="74"/>
        <v>0</v>
      </c>
      <c r="AS215" s="24">
        <f t="shared" si="75"/>
        <v>0</v>
      </c>
    </row>
    <row r="216" spans="1:45" x14ac:dyDescent="0.25">
      <c r="A216" s="83"/>
      <c r="B216" s="83"/>
      <c r="C216" s="83"/>
      <c r="D216" s="15"/>
      <c r="E216" s="15"/>
      <c r="F216" s="83"/>
      <c r="G216" s="83"/>
      <c r="H216" s="16"/>
      <c r="I216" s="83"/>
      <c r="J216" s="83"/>
      <c r="K216" s="16"/>
      <c r="L216" s="15"/>
      <c r="M216" s="20"/>
      <c r="N216" s="15"/>
      <c r="O216" s="20"/>
      <c r="P216" s="15"/>
      <c r="Q216" s="15"/>
      <c r="R216" s="17" t="str">
        <f>IF(Q216="","",VLOOKUP(Q216,'References (2)'!C:D,2,0))</f>
        <v/>
      </c>
      <c r="S216" s="17" t="str">
        <f>IF(Q216="","",VLOOKUP(Q216,'References (2)'!C:F,4,0))</f>
        <v/>
      </c>
      <c r="T216" s="16"/>
      <c r="U216" s="20"/>
      <c r="V216" s="15"/>
      <c r="W216" s="22"/>
      <c r="X216" s="16"/>
      <c r="Y216" s="22"/>
      <c r="Z216" s="25" t="str">
        <f t="shared" si="57"/>
        <v/>
      </c>
      <c r="AA216" s="17" t="str">
        <f t="shared" ca="1" si="58"/>
        <v/>
      </c>
      <c r="AB216" s="17" t="str">
        <f t="shared" ca="1" si="59"/>
        <v/>
      </c>
      <c r="AC216" s="17" t="str">
        <f t="shared" ca="1" si="60"/>
        <v/>
      </c>
      <c r="AD216" s="17" t="str">
        <f t="shared" ca="1" si="61"/>
        <v/>
      </c>
      <c r="AE216" s="17" t="str">
        <f t="shared" si="62"/>
        <v/>
      </c>
      <c r="AF216" s="17" t="str">
        <f t="shared" si="63"/>
        <v/>
      </c>
      <c r="AG216" s="17" t="str">
        <f t="shared" si="64"/>
        <v/>
      </c>
      <c r="AH216" s="17">
        <f t="shared" si="65"/>
        <v>0</v>
      </c>
      <c r="AI216" s="17" t="str">
        <f t="shared" ca="1" si="66"/>
        <v/>
      </c>
      <c r="AJ216" s="17" t="str">
        <f t="shared" ca="1" si="67"/>
        <v/>
      </c>
      <c r="AK216" s="17" t="str">
        <f t="shared" si="68"/>
        <v/>
      </c>
      <c r="AL216" s="17" t="str">
        <f t="shared" ca="1" si="69"/>
        <v/>
      </c>
      <c r="AN216" s="24">
        <f t="shared" si="70"/>
        <v>0</v>
      </c>
      <c r="AO216" s="24">
        <f t="shared" si="71"/>
        <v>0</v>
      </c>
      <c r="AP216" s="24">
        <f t="shared" si="72"/>
        <v>0</v>
      </c>
      <c r="AQ216" s="24">
        <f t="shared" si="73"/>
        <v>0</v>
      </c>
      <c r="AR216" s="24">
        <f t="shared" si="74"/>
        <v>0</v>
      </c>
      <c r="AS216" s="24">
        <f t="shared" si="75"/>
        <v>0</v>
      </c>
    </row>
    <row r="217" spans="1:45" x14ac:dyDescent="0.25">
      <c r="A217" s="83"/>
      <c r="B217" s="83"/>
      <c r="C217" s="83"/>
      <c r="D217" s="15"/>
      <c r="E217" s="15"/>
      <c r="F217" s="83"/>
      <c r="G217" s="83"/>
      <c r="H217" s="16"/>
      <c r="I217" s="83"/>
      <c r="J217" s="83"/>
      <c r="K217" s="16"/>
      <c r="L217" s="15"/>
      <c r="M217" s="20"/>
      <c r="N217" s="15"/>
      <c r="O217" s="20"/>
      <c r="P217" s="15"/>
      <c r="Q217" s="15"/>
      <c r="R217" s="17" t="str">
        <f>IF(Q217="","",VLOOKUP(Q217,'References (2)'!C:D,2,0))</f>
        <v/>
      </c>
      <c r="S217" s="17" t="str">
        <f>IF(Q217="","",VLOOKUP(Q217,'References (2)'!C:F,4,0))</f>
        <v/>
      </c>
      <c r="T217" s="16"/>
      <c r="U217" s="20"/>
      <c r="V217" s="15"/>
      <c r="W217" s="22"/>
      <c r="X217" s="16"/>
      <c r="Y217" s="22"/>
      <c r="Z217" s="25" t="str">
        <f t="shared" si="57"/>
        <v/>
      </c>
      <c r="AA217" s="17" t="str">
        <f t="shared" ca="1" si="58"/>
        <v/>
      </c>
      <c r="AB217" s="17" t="str">
        <f t="shared" ca="1" si="59"/>
        <v/>
      </c>
      <c r="AC217" s="17" t="str">
        <f t="shared" ca="1" si="60"/>
        <v/>
      </c>
      <c r="AD217" s="17" t="str">
        <f t="shared" ca="1" si="61"/>
        <v/>
      </c>
      <c r="AE217" s="17" t="str">
        <f t="shared" si="62"/>
        <v/>
      </c>
      <c r="AF217" s="17" t="str">
        <f t="shared" si="63"/>
        <v/>
      </c>
      <c r="AG217" s="17" t="str">
        <f t="shared" si="64"/>
        <v/>
      </c>
      <c r="AH217" s="17">
        <f t="shared" si="65"/>
        <v>0</v>
      </c>
      <c r="AI217" s="17" t="str">
        <f t="shared" ca="1" si="66"/>
        <v/>
      </c>
      <c r="AJ217" s="17" t="str">
        <f t="shared" ca="1" si="67"/>
        <v/>
      </c>
      <c r="AK217" s="17" t="str">
        <f t="shared" si="68"/>
        <v/>
      </c>
      <c r="AL217" s="17" t="str">
        <f t="shared" ca="1" si="69"/>
        <v/>
      </c>
      <c r="AN217" s="24">
        <f t="shared" si="70"/>
        <v>0</v>
      </c>
      <c r="AO217" s="24">
        <f t="shared" si="71"/>
        <v>0</v>
      </c>
      <c r="AP217" s="24">
        <f t="shared" si="72"/>
        <v>0</v>
      </c>
      <c r="AQ217" s="24">
        <f t="shared" si="73"/>
        <v>0</v>
      </c>
      <c r="AR217" s="24">
        <f t="shared" si="74"/>
        <v>0</v>
      </c>
      <c r="AS217" s="24">
        <f t="shared" si="75"/>
        <v>0</v>
      </c>
    </row>
    <row r="218" spans="1:45" x14ac:dyDescent="0.25">
      <c r="A218" s="83"/>
      <c r="B218" s="83"/>
      <c r="C218" s="83"/>
      <c r="D218" s="15"/>
      <c r="E218" s="15"/>
      <c r="F218" s="83"/>
      <c r="G218" s="83"/>
      <c r="H218" s="16"/>
      <c r="I218" s="83"/>
      <c r="J218" s="83"/>
      <c r="K218" s="16"/>
      <c r="L218" s="15"/>
      <c r="M218" s="20"/>
      <c r="N218" s="15"/>
      <c r="O218" s="20"/>
      <c r="P218" s="15"/>
      <c r="Q218" s="15"/>
      <c r="R218" s="17" t="str">
        <f>IF(Q218="","",VLOOKUP(Q218,'References (2)'!C:D,2,0))</f>
        <v/>
      </c>
      <c r="S218" s="17" t="str">
        <f>IF(Q218="","",VLOOKUP(Q218,'References (2)'!C:F,4,0))</f>
        <v/>
      </c>
      <c r="T218" s="16"/>
      <c r="U218" s="20"/>
      <c r="V218" s="15"/>
      <c r="W218" s="22"/>
      <c r="X218" s="16"/>
      <c r="Y218" s="22"/>
      <c r="Z218" s="25" t="str">
        <f t="shared" si="57"/>
        <v/>
      </c>
      <c r="AA218" s="17" t="str">
        <f t="shared" ca="1" si="58"/>
        <v/>
      </c>
      <c r="AB218" s="17" t="str">
        <f t="shared" ca="1" si="59"/>
        <v/>
      </c>
      <c r="AC218" s="17" t="str">
        <f t="shared" ca="1" si="60"/>
        <v/>
      </c>
      <c r="AD218" s="17" t="str">
        <f t="shared" ca="1" si="61"/>
        <v/>
      </c>
      <c r="AE218" s="17" t="str">
        <f t="shared" si="62"/>
        <v/>
      </c>
      <c r="AF218" s="17" t="str">
        <f t="shared" si="63"/>
        <v/>
      </c>
      <c r="AG218" s="17" t="str">
        <f t="shared" si="64"/>
        <v/>
      </c>
      <c r="AH218" s="17">
        <f t="shared" si="65"/>
        <v>0</v>
      </c>
      <c r="AI218" s="17" t="str">
        <f t="shared" ca="1" si="66"/>
        <v/>
      </c>
      <c r="AJ218" s="17" t="str">
        <f t="shared" ca="1" si="67"/>
        <v/>
      </c>
      <c r="AK218" s="17" t="str">
        <f t="shared" si="68"/>
        <v/>
      </c>
      <c r="AL218" s="17" t="str">
        <f t="shared" ca="1" si="69"/>
        <v/>
      </c>
      <c r="AN218" s="24">
        <f t="shared" si="70"/>
        <v>0</v>
      </c>
      <c r="AO218" s="24">
        <f t="shared" si="71"/>
        <v>0</v>
      </c>
      <c r="AP218" s="24">
        <f t="shared" si="72"/>
        <v>0</v>
      </c>
      <c r="AQ218" s="24">
        <f t="shared" si="73"/>
        <v>0</v>
      </c>
      <c r="AR218" s="24">
        <f t="shared" si="74"/>
        <v>0</v>
      </c>
      <c r="AS218" s="24">
        <f t="shared" si="75"/>
        <v>0</v>
      </c>
    </row>
    <row r="219" spans="1:45" x14ac:dyDescent="0.25">
      <c r="A219" s="83"/>
      <c r="B219" s="83"/>
      <c r="C219" s="83"/>
      <c r="D219" s="15"/>
      <c r="E219" s="15"/>
      <c r="F219" s="83"/>
      <c r="G219" s="83"/>
      <c r="H219" s="16"/>
      <c r="I219" s="83"/>
      <c r="J219" s="83"/>
      <c r="K219" s="16"/>
      <c r="L219" s="15"/>
      <c r="M219" s="20"/>
      <c r="N219" s="15"/>
      <c r="O219" s="20"/>
      <c r="P219" s="15"/>
      <c r="Q219" s="15"/>
      <c r="R219" s="17" t="str">
        <f>IF(Q219="","",VLOOKUP(Q219,'References (2)'!C:D,2,0))</f>
        <v/>
      </c>
      <c r="S219" s="17" t="str">
        <f>IF(Q219="","",VLOOKUP(Q219,'References (2)'!C:F,4,0))</f>
        <v/>
      </c>
      <c r="T219" s="16"/>
      <c r="U219" s="20"/>
      <c r="V219" s="15"/>
      <c r="W219" s="22"/>
      <c r="X219" s="16"/>
      <c r="Y219" s="22"/>
      <c r="Z219" s="25" t="str">
        <f t="shared" si="57"/>
        <v/>
      </c>
      <c r="AA219" s="17" t="str">
        <f t="shared" ca="1" si="58"/>
        <v/>
      </c>
      <c r="AB219" s="17" t="str">
        <f t="shared" ca="1" si="59"/>
        <v/>
      </c>
      <c r="AC219" s="17" t="str">
        <f t="shared" ca="1" si="60"/>
        <v/>
      </c>
      <c r="AD219" s="17" t="str">
        <f t="shared" ca="1" si="61"/>
        <v/>
      </c>
      <c r="AE219" s="17" t="str">
        <f t="shared" si="62"/>
        <v/>
      </c>
      <c r="AF219" s="17" t="str">
        <f t="shared" si="63"/>
        <v/>
      </c>
      <c r="AG219" s="17" t="str">
        <f t="shared" si="64"/>
        <v/>
      </c>
      <c r="AH219" s="17">
        <f t="shared" si="65"/>
        <v>0</v>
      </c>
      <c r="AI219" s="17" t="str">
        <f t="shared" ca="1" si="66"/>
        <v/>
      </c>
      <c r="AJ219" s="17" t="str">
        <f t="shared" ca="1" si="67"/>
        <v/>
      </c>
      <c r="AK219" s="17" t="str">
        <f t="shared" si="68"/>
        <v/>
      </c>
      <c r="AL219" s="17" t="str">
        <f t="shared" ca="1" si="69"/>
        <v/>
      </c>
      <c r="AN219" s="24">
        <f t="shared" si="70"/>
        <v>0</v>
      </c>
      <c r="AO219" s="24">
        <f t="shared" si="71"/>
        <v>0</v>
      </c>
      <c r="AP219" s="24">
        <f t="shared" si="72"/>
        <v>0</v>
      </c>
      <c r="AQ219" s="24">
        <f t="shared" si="73"/>
        <v>0</v>
      </c>
      <c r="AR219" s="24">
        <f t="shared" si="74"/>
        <v>0</v>
      </c>
      <c r="AS219" s="24">
        <f t="shared" si="75"/>
        <v>0</v>
      </c>
    </row>
    <row r="220" spans="1:45" x14ac:dyDescent="0.25">
      <c r="A220" s="83"/>
      <c r="B220" s="83"/>
      <c r="C220" s="83"/>
      <c r="D220" s="15"/>
      <c r="E220" s="15"/>
      <c r="F220" s="83"/>
      <c r="G220" s="83"/>
      <c r="H220" s="16"/>
      <c r="I220" s="83"/>
      <c r="J220" s="83"/>
      <c r="K220" s="16"/>
      <c r="L220" s="15"/>
      <c r="M220" s="20"/>
      <c r="N220" s="15"/>
      <c r="O220" s="20"/>
      <c r="P220" s="15"/>
      <c r="Q220" s="15"/>
      <c r="R220" s="17" t="str">
        <f>IF(Q220="","",VLOOKUP(Q220,'References (2)'!C:D,2,0))</f>
        <v/>
      </c>
      <c r="S220" s="17" t="str">
        <f>IF(Q220="","",VLOOKUP(Q220,'References (2)'!C:F,4,0))</f>
        <v/>
      </c>
      <c r="T220" s="16"/>
      <c r="U220" s="20"/>
      <c r="V220" s="15"/>
      <c r="W220" s="22"/>
      <c r="X220" s="16"/>
      <c r="Y220" s="22"/>
      <c r="Z220" s="25" t="str">
        <f t="shared" si="57"/>
        <v/>
      </c>
      <c r="AA220" s="17" t="str">
        <f t="shared" ca="1" si="58"/>
        <v/>
      </c>
      <c r="AB220" s="17" t="str">
        <f t="shared" ca="1" si="59"/>
        <v/>
      </c>
      <c r="AC220" s="17" t="str">
        <f t="shared" ca="1" si="60"/>
        <v/>
      </c>
      <c r="AD220" s="17" t="str">
        <f t="shared" ca="1" si="61"/>
        <v/>
      </c>
      <c r="AE220" s="17" t="str">
        <f t="shared" si="62"/>
        <v/>
      </c>
      <c r="AF220" s="17" t="str">
        <f t="shared" si="63"/>
        <v/>
      </c>
      <c r="AG220" s="17" t="str">
        <f t="shared" si="64"/>
        <v/>
      </c>
      <c r="AH220" s="17">
        <f t="shared" si="65"/>
        <v>0</v>
      </c>
      <c r="AI220" s="17" t="str">
        <f t="shared" ca="1" si="66"/>
        <v/>
      </c>
      <c r="AJ220" s="17" t="str">
        <f t="shared" ca="1" si="67"/>
        <v/>
      </c>
      <c r="AK220" s="17" t="str">
        <f t="shared" si="68"/>
        <v/>
      </c>
      <c r="AL220" s="17" t="str">
        <f t="shared" ca="1" si="69"/>
        <v/>
      </c>
      <c r="AN220" s="24">
        <f t="shared" si="70"/>
        <v>0</v>
      </c>
      <c r="AO220" s="24">
        <f t="shared" si="71"/>
        <v>0</v>
      </c>
      <c r="AP220" s="24">
        <f t="shared" si="72"/>
        <v>0</v>
      </c>
      <c r="AQ220" s="24">
        <f t="shared" si="73"/>
        <v>0</v>
      </c>
      <c r="AR220" s="24">
        <f t="shared" si="74"/>
        <v>0</v>
      </c>
      <c r="AS220" s="24">
        <f t="shared" si="75"/>
        <v>0</v>
      </c>
    </row>
    <row r="221" spans="1:45" x14ac:dyDescent="0.25">
      <c r="A221" s="83"/>
      <c r="B221" s="83"/>
      <c r="C221" s="83"/>
      <c r="D221" s="15"/>
      <c r="E221" s="15"/>
      <c r="F221" s="83"/>
      <c r="G221" s="83"/>
      <c r="H221" s="16"/>
      <c r="I221" s="83"/>
      <c r="J221" s="83"/>
      <c r="K221" s="16"/>
      <c r="L221" s="15"/>
      <c r="M221" s="20"/>
      <c r="N221" s="15"/>
      <c r="O221" s="20"/>
      <c r="P221" s="15"/>
      <c r="Q221" s="15"/>
      <c r="R221" s="17" t="str">
        <f>IF(Q221="","",VLOOKUP(Q221,'References (2)'!C:D,2,0))</f>
        <v/>
      </c>
      <c r="S221" s="17" t="str">
        <f>IF(Q221="","",VLOOKUP(Q221,'References (2)'!C:F,4,0))</f>
        <v/>
      </c>
      <c r="T221" s="16"/>
      <c r="U221" s="20"/>
      <c r="V221" s="15"/>
      <c r="W221" s="22"/>
      <c r="X221" s="16"/>
      <c r="Y221" s="22"/>
      <c r="Z221" s="25" t="str">
        <f t="shared" si="57"/>
        <v/>
      </c>
      <c r="AA221" s="17" t="str">
        <f t="shared" ca="1" si="58"/>
        <v/>
      </c>
      <c r="AB221" s="17" t="str">
        <f t="shared" ca="1" si="59"/>
        <v/>
      </c>
      <c r="AC221" s="17" t="str">
        <f t="shared" ca="1" si="60"/>
        <v/>
      </c>
      <c r="AD221" s="17" t="str">
        <f t="shared" ca="1" si="61"/>
        <v/>
      </c>
      <c r="AE221" s="17" t="str">
        <f t="shared" si="62"/>
        <v/>
      </c>
      <c r="AF221" s="17" t="str">
        <f t="shared" si="63"/>
        <v/>
      </c>
      <c r="AG221" s="17" t="str">
        <f t="shared" si="64"/>
        <v/>
      </c>
      <c r="AH221" s="17">
        <f t="shared" si="65"/>
        <v>0</v>
      </c>
      <c r="AI221" s="17" t="str">
        <f t="shared" ca="1" si="66"/>
        <v/>
      </c>
      <c r="AJ221" s="17" t="str">
        <f t="shared" ca="1" si="67"/>
        <v/>
      </c>
      <c r="AK221" s="17" t="str">
        <f t="shared" si="68"/>
        <v/>
      </c>
      <c r="AL221" s="17" t="str">
        <f t="shared" ca="1" si="69"/>
        <v/>
      </c>
      <c r="AN221" s="24">
        <f t="shared" si="70"/>
        <v>0</v>
      </c>
      <c r="AO221" s="24">
        <f t="shared" si="71"/>
        <v>0</v>
      </c>
      <c r="AP221" s="24">
        <f t="shared" si="72"/>
        <v>0</v>
      </c>
      <c r="AQ221" s="24">
        <f t="shared" si="73"/>
        <v>0</v>
      </c>
      <c r="AR221" s="24">
        <f t="shared" si="74"/>
        <v>0</v>
      </c>
      <c r="AS221" s="24">
        <f t="shared" si="75"/>
        <v>0</v>
      </c>
    </row>
    <row r="222" spans="1:45" x14ac:dyDescent="0.25">
      <c r="A222" s="83"/>
      <c r="B222" s="83"/>
      <c r="C222" s="83"/>
      <c r="D222" s="15"/>
      <c r="E222" s="15"/>
      <c r="F222" s="83"/>
      <c r="G222" s="83"/>
      <c r="H222" s="16"/>
      <c r="I222" s="83"/>
      <c r="J222" s="83"/>
      <c r="K222" s="16"/>
      <c r="L222" s="15"/>
      <c r="M222" s="20"/>
      <c r="N222" s="15"/>
      <c r="O222" s="20"/>
      <c r="P222" s="15"/>
      <c r="Q222" s="15"/>
      <c r="R222" s="17" t="str">
        <f>IF(Q222="","",VLOOKUP(Q222,'References (2)'!C:D,2,0))</f>
        <v/>
      </c>
      <c r="S222" s="17" t="str">
        <f>IF(Q222="","",VLOOKUP(Q222,'References (2)'!C:F,4,0))</f>
        <v/>
      </c>
      <c r="T222" s="16"/>
      <c r="U222" s="20"/>
      <c r="V222" s="15"/>
      <c r="W222" s="22"/>
      <c r="X222" s="16"/>
      <c r="Y222" s="22"/>
      <c r="Z222" s="25" t="str">
        <f t="shared" si="57"/>
        <v/>
      </c>
      <c r="AA222" s="17" t="str">
        <f t="shared" ca="1" si="58"/>
        <v/>
      </c>
      <c r="AB222" s="17" t="str">
        <f t="shared" ca="1" si="59"/>
        <v/>
      </c>
      <c r="AC222" s="17" t="str">
        <f t="shared" ca="1" si="60"/>
        <v/>
      </c>
      <c r="AD222" s="17" t="str">
        <f t="shared" ca="1" si="61"/>
        <v/>
      </c>
      <c r="AE222" s="17" t="str">
        <f t="shared" si="62"/>
        <v/>
      </c>
      <c r="AF222" s="17" t="str">
        <f t="shared" si="63"/>
        <v/>
      </c>
      <c r="AG222" s="17" t="str">
        <f t="shared" si="64"/>
        <v/>
      </c>
      <c r="AH222" s="17">
        <f t="shared" si="65"/>
        <v>0</v>
      </c>
      <c r="AI222" s="17" t="str">
        <f t="shared" ca="1" si="66"/>
        <v/>
      </c>
      <c r="AJ222" s="17" t="str">
        <f t="shared" ca="1" si="67"/>
        <v/>
      </c>
      <c r="AK222" s="17" t="str">
        <f t="shared" si="68"/>
        <v/>
      </c>
      <c r="AL222" s="17" t="str">
        <f t="shared" ca="1" si="69"/>
        <v/>
      </c>
      <c r="AN222" s="24">
        <f t="shared" si="70"/>
        <v>0</v>
      </c>
      <c r="AO222" s="24">
        <f t="shared" si="71"/>
        <v>0</v>
      </c>
      <c r="AP222" s="24">
        <f t="shared" si="72"/>
        <v>0</v>
      </c>
      <c r="AQ222" s="24">
        <f t="shared" si="73"/>
        <v>0</v>
      </c>
      <c r="AR222" s="24">
        <f t="shared" si="74"/>
        <v>0</v>
      </c>
      <c r="AS222" s="24">
        <f t="shared" si="75"/>
        <v>0</v>
      </c>
    </row>
    <row r="223" spans="1:45" x14ac:dyDescent="0.25">
      <c r="A223" s="83"/>
      <c r="B223" s="83"/>
      <c r="C223" s="83"/>
      <c r="D223" s="15"/>
      <c r="E223" s="15"/>
      <c r="F223" s="83"/>
      <c r="G223" s="83"/>
      <c r="H223" s="16"/>
      <c r="I223" s="83"/>
      <c r="J223" s="83"/>
      <c r="K223" s="16"/>
      <c r="L223" s="15"/>
      <c r="M223" s="20"/>
      <c r="N223" s="15"/>
      <c r="O223" s="20"/>
      <c r="P223" s="15"/>
      <c r="Q223" s="15"/>
      <c r="R223" s="17" t="str">
        <f>IF(Q223="","",VLOOKUP(Q223,'References (2)'!C:D,2,0))</f>
        <v/>
      </c>
      <c r="S223" s="17" t="str">
        <f>IF(Q223="","",VLOOKUP(Q223,'References (2)'!C:F,4,0))</f>
        <v/>
      </c>
      <c r="T223" s="16"/>
      <c r="U223" s="20"/>
      <c r="V223" s="15"/>
      <c r="W223" s="22"/>
      <c r="X223" s="16"/>
      <c r="Y223" s="22"/>
      <c r="Z223" s="25" t="str">
        <f t="shared" si="57"/>
        <v/>
      </c>
      <c r="AA223" s="17" t="str">
        <f t="shared" ca="1" si="58"/>
        <v/>
      </c>
      <c r="AB223" s="17" t="str">
        <f t="shared" ca="1" si="59"/>
        <v/>
      </c>
      <c r="AC223" s="17" t="str">
        <f t="shared" ca="1" si="60"/>
        <v/>
      </c>
      <c r="AD223" s="17" t="str">
        <f t="shared" ca="1" si="61"/>
        <v/>
      </c>
      <c r="AE223" s="17" t="str">
        <f t="shared" si="62"/>
        <v/>
      </c>
      <c r="AF223" s="17" t="str">
        <f t="shared" si="63"/>
        <v/>
      </c>
      <c r="AG223" s="17" t="str">
        <f t="shared" si="64"/>
        <v/>
      </c>
      <c r="AH223" s="17">
        <f t="shared" si="65"/>
        <v>0</v>
      </c>
      <c r="AI223" s="17" t="str">
        <f t="shared" ca="1" si="66"/>
        <v/>
      </c>
      <c r="AJ223" s="17" t="str">
        <f t="shared" ca="1" si="67"/>
        <v/>
      </c>
      <c r="AK223" s="17" t="str">
        <f t="shared" si="68"/>
        <v/>
      </c>
      <c r="AL223" s="17" t="str">
        <f t="shared" ca="1" si="69"/>
        <v/>
      </c>
      <c r="AN223" s="24">
        <f t="shared" si="70"/>
        <v>0</v>
      </c>
      <c r="AO223" s="24">
        <f t="shared" si="71"/>
        <v>0</v>
      </c>
      <c r="AP223" s="24">
        <f t="shared" si="72"/>
        <v>0</v>
      </c>
      <c r="AQ223" s="24">
        <f t="shared" si="73"/>
        <v>0</v>
      </c>
      <c r="AR223" s="24">
        <f t="shared" si="74"/>
        <v>0</v>
      </c>
      <c r="AS223" s="24">
        <f t="shared" si="75"/>
        <v>0</v>
      </c>
    </row>
    <row r="224" spans="1:45" x14ac:dyDescent="0.25">
      <c r="A224" s="83"/>
      <c r="B224" s="83"/>
      <c r="C224" s="83"/>
      <c r="D224" s="15"/>
      <c r="E224" s="15"/>
      <c r="F224" s="83"/>
      <c r="G224" s="83"/>
      <c r="H224" s="16"/>
      <c r="I224" s="83"/>
      <c r="J224" s="83"/>
      <c r="K224" s="16"/>
      <c r="L224" s="15"/>
      <c r="M224" s="20"/>
      <c r="N224" s="15"/>
      <c r="O224" s="20"/>
      <c r="P224" s="15"/>
      <c r="Q224" s="15"/>
      <c r="R224" s="17" t="str">
        <f>IF(Q224="","",VLOOKUP(Q224,'References (2)'!C:D,2,0))</f>
        <v/>
      </c>
      <c r="S224" s="17" t="str">
        <f>IF(Q224="","",VLOOKUP(Q224,'References (2)'!C:F,4,0))</f>
        <v/>
      </c>
      <c r="T224" s="16"/>
      <c r="U224" s="20"/>
      <c r="V224" s="15"/>
      <c r="W224" s="22"/>
      <c r="X224" s="16"/>
      <c r="Y224" s="22"/>
      <c r="Z224" s="25" t="str">
        <f t="shared" si="57"/>
        <v/>
      </c>
      <c r="AA224" s="17" t="str">
        <f t="shared" ca="1" si="58"/>
        <v/>
      </c>
      <c r="AB224" s="17" t="str">
        <f t="shared" ca="1" si="59"/>
        <v/>
      </c>
      <c r="AC224" s="17" t="str">
        <f t="shared" ca="1" si="60"/>
        <v/>
      </c>
      <c r="AD224" s="17" t="str">
        <f t="shared" ca="1" si="61"/>
        <v/>
      </c>
      <c r="AE224" s="17" t="str">
        <f t="shared" si="62"/>
        <v/>
      </c>
      <c r="AF224" s="17" t="str">
        <f t="shared" si="63"/>
        <v/>
      </c>
      <c r="AG224" s="17" t="str">
        <f t="shared" si="64"/>
        <v/>
      </c>
      <c r="AH224" s="17">
        <f t="shared" si="65"/>
        <v>0</v>
      </c>
      <c r="AI224" s="17" t="str">
        <f t="shared" ca="1" si="66"/>
        <v/>
      </c>
      <c r="AJ224" s="17" t="str">
        <f t="shared" ca="1" si="67"/>
        <v/>
      </c>
      <c r="AK224" s="17" t="str">
        <f t="shared" si="68"/>
        <v/>
      </c>
      <c r="AL224" s="17" t="str">
        <f t="shared" ca="1" si="69"/>
        <v/>
      </c>
      <c r="AN224" s="24">
        <f t="shared" si="70"/>
        <v>0</v>
      </c>
      <c r="AO224" s="24">
        <f t="shared" si="71"/>
        <v>0</v>
      </c>
      <c r="AP224" s="24">
        <f t="shared" si="72"/>
        <v>0</v>
      </c>
      <c r="AQ224" s="24">
        <f t="shared" si="73"/>
        <v>0</v>
      </c>
      <c r="AR224" s="24">
        <f t="shared" si="74"/>
        <v>0</v>
      </c>
      <c r="AS224" s="24">
        <f t="shared" si="75"/>
        <v>0</v>
      </c>
    </row>
    <row r="225" spans="1:45" x14ac:dyDescent="0.25">
      <c r="A225" s="83"/>
      <c r="B225" s="83"/>
      <c r="C225" s="83"/>
      <c r="D225" s="15"/>
      <c r="E225" s="15"/>
      <c r="F225" s="83"/>
      <c r="G225" s="83"/>
      <c r="H225" s="16"/>
      <c r="I225" s="83"/>
      <c r="J225" s="83"/>
      <c r="K225" s="16"/>
      <c r="L225" s="15"/>
      <c r="M225" s="20"/>
      <c r="N225" s="15"/>
      <c r="O225" s="20"/>
      <c r="P225" s="15"/>
      <c r="Q225" s="15"/>
      <c r="R225" s="17" t="str">
        <f>IF(Q225="","",VLOOKUP(Q225,'References (2)'!C:D,2,0))</f>
        <v/>
      </c>
      <c r="S225" s="17" t="str">
        <f>IF(Q225="","",VLOOKUP(Q225,'References (2)'!C:F,4,0))</f>
        <v/>
      </c>
      <c r="T225" s="16"/>
      <c r="U225" s="20"/>
      <c r="V225" s="15"/>
      <c r="W225" s="22"/>
      <c r="X225" s="16"/>
      <c r="Y225" s="22"/>
      <c r="Z225" s="25" t="str">
        <f t="shared" si="57"/>
        <v/>
      </c>
      <c r="AA225" s="17" t="str">
        <f t="shared" ca="1" si="58"/>
        <v/>
      </c>
      <c r="AB225" s="17" t="str">
        <f t="shared" ca="1" si="59"/>
        <v/>
      </c>
      <c r="AC225" s="17" t="str">
        <f t="shared" ca="1" si="60"/>
        <v/>
      </c>
      <c r="AD225" s="17" t="str">
        <f t="shared" ca="1" si="61"/>
        <v/>
      </c>
      <c r="AE225" s="17" t="str">
        <f t="shared" si="62"/>
        <v/>
      </c>
      <c r="AF225" s="17" t="str">
        <f t="shared" si="63"/>
        <v/>
      </c>
      <c r="AG225" s="17" t="str">
        <f t="shared" si="64"/>
        <v/>
      </c>
      <c r="AH225" s="17">
        <f t="shared" si="65"/>
        <v>0</v>
      </c>
      <c r="AI225" s="17" t="str">
        <f t="shared" ca="1" si="66"/>
        <v/>
      </c>
      <c r="AJ225" s="17" t="str">
        <f t="shared" ca="1" si="67"/>
        <v/>
      </c>
      <c r="AK225" s="17" t="str">
        <f t="shared" si="68"/>
        <v/>
      </c>
      <c r="AL225" s="17" t="str">
        <f t="shared" ca="1" si="69"/>
        <v/>
      </c>
      <c r="AN225" s="24">
        <f t="shared" si="70"/>
        <v>0</v>
      </c>
      <c r="AO225" s="24">
        <f t="shared" si="71"/>
        <v>0</v>
      </c>
      <c r="AP225" s="24">
        <f t="shared" si="72"/>
        <v>0</v>
      </c>
      <c r="AQ225" s="24">
        <f t="shared" si="73"/>
        <v>0</v>
      </c>
      <c r="AR225" s="24">
        <f t="shared" si="74"/>
        <v>0</v>
      </c>
      <c r="AS225" s="24">
        <f t="shared" si="75"/>
        <v>0</v>
      </c>
    </row>
    <row r="226" spans="1:45" x14ac:dyDescent="0.25">
      <c r="A226" s="83"/>
      <c r="B226" s="83"/>
      <c r="C226" s="83"/>
      <c r="D226" s="15"/>
      <c r="E226" s="15"/>
      <c r="F226" s="83"/>
      <c r="G226" s="83"/>
      <c r="H226" s="16"/>
      <c r="I226" s="83"/>
      <c r="J226" s="83"/>
      <c r="K226" s="16"/>
      <c r="L226" s="15"/>
      <c r="M226" s="20"/>
      <c r="N226" s="15"/>
      <c r="O226" s="20"/>
      <c r="P226" s="15"/>
      <c r="Q226" s="15"/>
      <c r="R226" s="17" t="str">
        <f>IF(Q226="","",VLOOKUP(Q226,'References (2)'!C:D,2,0))</f>
        <v/>
      </c>
      <c r="S226" s="17" t="str">
        <f>IF(Q226="","",VLOOKUP(Q226,'References (2)'!C:F,4,0))</f>
        <v/>
      </c>
      <c r="T226" s="16"/>
      <c r="U226" s="20"/>
      <c r="V226" s="15"/>
      <c r="W226" s="22"/>
      <c r="X226" s="16"/>
      <c r="Y226" s="22"/>
      <c r="Z226" s="25" t="str">
        <f t="shared" si="57"/>
        <v/>
      </c>
      <c r="AA226" s="17" t="str">
        <f t="shared" ca="1" si="58"/>
        <v/>
      </c>
      <c r="AB226" s="17" t="str">
        <f t="shared" ca="1" si="59"/>
        <v/>
      </c>
      <c r="AC226" s="17" t="str">
        <f t="shared" ca="1" si="60"/>
        <v/>
      </c>
      <c r="AD226" s="17" t="str">
        <f t="shared" ca="1" si="61"/>
        <v/>
      </c>
      <c r="AE226" s="17" t="str">
        <f t="shared" si="62"/>
        <v/>
      </c>
      <c r="AF226" s="17" t="str">
        <f t="shared" si="63"/>
        <v/>
      </c>
      <c r="AG226" s="17" t="str">
        <f t="shared" si="64"/>
        <v/>
      </c>
      <c r="AH226" s="17">
        <f t="shared" si="65"/>
        <v>0</v>
      </c>
      <c r="AI226" s="17" t="str">
        <f t="shared" ca="1" si="66"/>
        <v/>
      </c>
      <c r="AJ226" s="17" t="str">
        <f t="shared" ca="1" si="67"/>
        <v/>
      </c>
      <c r="AK226" s="17" t="str">
        <f t="shared" si="68"/>
        <v/>
      </c>
      <c r="AL226" s="17" t="str">
        <f t="shared" ca="1" si="69"/>
        <v/>
      </c>
      <c r="AN226" s="24">
        <f t="shared" si="70"/>
        <v>0</v>
      </c>
      <c r="AO226" s="24">
        <f t="shared" si="71"/>
        <v>0</v>
      </c>
      <c r="AP226" s="24">
        <f t="shared" si="72"/>
        <v>0</v>
      </c>
      <c r="AQ226" s="24">
        <f t="shared" si="73"/>
        <v>0</v>
      </c>
      <c r="AR226" s="24">
        <f t="shared" si="74"/>
        <v>0</v>
      </c>
      <c r="AS226" s="24">
        <f t="shared" si="75"/>
        <v>0</v>
      </c>
    </row>
    <row r="227" spans="1:45" x14ac:dyDescent="0.25">
      <c r="A227" s="83"/>
      <c r="B227" s="83"/>
      <c r="C227" s="83"/>
      <c r="D227" s="15"/>
      <c r="E227" s="15"/>
      <c r="F227" s="83"/>
      <c r="G227" s="83"/>
      <c r="H227" s="16"/>
      <c r="I227" s="83"/>
      <c r="J227" s="83"/>
      <c r="K227" s="16"/>
      <c r="L227" s="15"/>
      <c r="M227" s="20"/>
      <c r="N227" s="15"/>
      <c r="O227" s="20"/>
      <c r="P227" s="15"/>
      <c r="Q227" s="15"/>
      <c r="R227" s="17" t="str">
        <f>IF(Q227="","",VLOOKUP(Q227,'References (2)'!C:D,2,0))</f>
        <v/>
      </c>
      <c r="S227" s="17" t="str">
        <f>IF(Q227="","",VLOOKUP(Q227,'References (2)'!C:F,4,0))</f>
        <v/>
      </c>
      <c r="T227" s="16"/>
      <c r="U227" s="20"/>
      <c r="V227" s="15"/>
      <c r="W227" s="22"/>
      <c r="X227" s="16"/>
      <c r="Y227" s="22"/>
      <c r="Z227" s="25" t="str">
        <f t="shared" si="57"/>
        <v/>
      </c>
      <c r="AA227" s="17" t="str">
        <f t="shared" ca="1" si="58"/>
        <v/>
      </c>
      <c r="AB227" s="17" t="str">
        <f t="shared" ca="1" si="59"/>
        <v/>
      </c>
      <c r="AC227" s="17" t="str">
        <f t="shared" ca="1" si="60"/>
        <v/>
      </c>
      <c r="AD227" s="17" t="str">
        <f t="shared" ca="1" si="61"/>
        <v/>
      </c>
      <c r="AE227" s="17" t="str">
        <f t="shared" si="62"/>
        <v/>
      </c>
      <c r="AF227" s="17" t="str">
        <f t="shared" si="63"/>
        <v/>
      </c>
      <c r="AG227" s="17" t="str">
        <f t="shared" si="64"/>
        <v/>
      </c>
      <c r="AH227" s="17">
        <f t="shared" si="65"/>
        <v>0</v>
      </c>
      <c r="AI227" s="17" t="str">
        <f t="shared" ca="1" si="66"/>
        <v/>
      </c>
      <c r="AJ227" s="17" t="str">
        <f t="shared" ca="1" si="67"/>
        <v/>
      </c>
      <c r="AK227" s="17" t="str">
        <f t="shared" si="68"/>
        <v/>
      </c>
      <c r="AL227" s="17" t="str">
        <f t="shared" ca="1" si="69"/>
        <v/>
      </c>
      <c r="AN227" s="24">
        <f t="shared" si="70"/>
        <v>0</v>
      </c>
      <c r="AO227" s="24">
        <f t="shared" si="71"/>
        <v>0</v>
      </c>
      <c r="AP227" s="24">
        <f t="shared" si="72"/>
        <v>0</v>
      </c>
      <c r="AQ227" s="24">
        <f t="shared" si="73"/>
        <v>0</v>
      </c>
      <c r="AR227" s="24">
        <f t="shared" si="74"/>
        <v>0</v>
      </c>
      <c r="AS227" s="24">
        <f t="shared" si="75"/>
        <v>0</v>
      </c>
    </row>
    <row r="228" spans="1:45" x14ac:dyDescent="0.25">
      <c r="A228" s="83"/>
      <c r="B228" s="83"/>
      <c r="C228" s="83"/>
      <c r="D228" s="15"/>
      <c r="E228" s="15"/>
      <c r="F228" s="83"/>
      <c r="G228" s="83"/>
      <c r="H228" s="16"/>
      <c r="I228" s="83"/>
      <c r="J228" s="83"/>
      <c r="K228" s="16"/>
      <c r="L228" s="15"/>
      <c r="M228" s="20"/>
      <c r="N228" s="15"/>
      <c r="O228" s="20"/>
      <c r="P228" s="15"/>
      <c r="Q228" s="15"/>
      <c r="R228" s="17" t="str">
        <f>IF(Q228="","",VLOOKUP(Q228,'References (2)'!C:D,2,0))</f>
        <v/>
      </c>
      <c r="S228" s="17" t="str">
        <f>IF(Q228="","",VLOOKUP(Q228,'References (2)'!C:F,4,0))</f>
        <v/>
      </c>
      <c r="T228" s="16"/>
      <c r="U228" s="20"/>
      <c r="V228" s="15"/>
      <c r="W228" s="22"/>
      <c r="X228" s="16"/>
      <c r="Y228" s="22"/>
      <c r="Z228" s="25" t="str">
        <f t="shared" si="57"/>
        <v/>
      </c>
      <c r="AA228" s="17" t="str">
        <f t="shared" ca="1" si="58"/>
        <v/>
      </c>
      <c r="AB228" s="17" t="str">
        <f t="shared" ca="1" si="59"/>
        <v/>
      </c>
      <c r="AC228" s="17" t="str">
        <f t="shared" ca="1" si="60"/>
        <v/>
      </c>
      <c r="AD228" s="17" t="str">
        <f t="shared" ca="1" si="61"/>
        <v/>
      </c>
      <c r="AE228" s="17" t="str">
        <f t="shared" si="62"/>
        <v/>
      </c>
      <c r="AF228" s="17" t="str">
        <f t="shared" si="63"/>
        <v/>
      </c>
      <c r="AG228" s="17" t="str">
        <f t="shared" si="64"/>
        <v/>
      </c>
      <c r="AH228" s="17">
        <f t="shared" si="65"/>
        <v>0</v>
      </c>
      <c r="AI228" s="17" t="str">
        <f t="shared" ca="1" si="66"/>
        <v/>
      </c>
      <c r="AJ228" s="17" t="str">
        <f t="shared" ca="1" si="67"/>
        <v/>
      </c>
      <c r="AK228" s="17" t="str">
        <f t="shared" si="68"/>
        <v/>
      </c>
      <c r="AL228" s="17" t="str">
        <f t="shared" ca="1" si="69"/>
        <v/>
      </c>
      <c r="AN228" s="24">
        <f t="shared" si="70"/>
        <v>0</v>
      </c>
      <c r="AO228" s="24">
        <f t="shared" si="71"/>
        <v>0</v>
      </c>
      <c r="AP228" s="24">
        <f t="shared" si="72"/>
        <v>0</v>
      </c>
      <c r="AQ228" s="24">
        <f t="shared" si="73"/>
        <v>0</v>
      </c>
      <c r="AR228" s="24">
        <f t="shared" si="74"/>
        <v>0</v>
      </c>
      <c r="AS228" s="24">
        <f t="shared" si="75"/>
        <v>0</v>
      </c>
    </row>
    <row r="229" spans="1:45" x14ac:dyDescent="0.25">
      <c r="A229" s="83"/>
      <c r="B229" s="83"/>
      <c r="C229" s="83"/>
      <c r="D229" s="15"/>
      <c r="E229" s="15"/>
      <c r="F229" s="83"/>
      <c r="G229" s="83"/>
      <c r="H229" s="16"/>
      <c r="I229" s="83"/>
      <c r="J229" s="83"/>
      <c r="K229" s="16"/>
      <c r="L229" s="15"/>
      <c r="M229" s="20"/>
      <c r="N229" s="15"/>
      <c r="O229" s="20"/>
      <c r="P229" s="15"/>
      <c r="Q229" s="15"/>
      <c r="R229" s="17" t="str">
        <f>IF(Q229="","",VLOOKUP(Q229,'References (2)'!C:D,2,0))</f>
        <v/>
      </c>
      <c r="S229" s="17" t="str">
        <f>IF(Q229="","",VLOOKUP(Q229,'References (2)'!C:F,4,0))</f>
        <v/>
      </c>
      <c r="T229" s="16"/>
      <c r="U229" s="20"/>
      <c r="V229" s="15"/>
      <c r="W229" s="22"/>
      <c r="X229" s="16"/>
      <c r="Y229" s="22"/>
      <c r="Z229" s="25" t="str">
        <f t="shared" si="57"/>
        <v/>
      </c>
      <c r="AA229" s="17" t="str">
        <f t="shared" ca="1" si="58"/>
        <v/>
      </c>
      <c r="AB229" s="17" t="str">
        <f t="shared" ca="1" si="59"/>
        <v/>
      </c>
      <c r="AC229" s="17" t="str">
        <f t="shared" ca="1" si="60"/>
        <v/>
      </c>
      <c r="AD229" s="17" t="str">
        <f t="shared" ca="1" si="61"/>
        <v/>
      </c>
      <c r="AE229" s="17" t="str">
        <f t="shared" si="62"/>
        <v/>
      </c>
      <c r="AF229" s="17" t="str">
        <f t="shared" si="63"/>
        <v/>
      </c>
      <c r="AG229" s="17" t="str">
        <f t="shared" si="64"/>
        <v/>
      </c>
      <c r="AH229" s="17">
        <f t="shared" si="65"/>
        <v>0</v>
      </c>
      <c r="AI229" s="17" t="str">
        <f t="shared" ca="1" si="66"/>
        <v/>
      </c>
      <c r="AJ229" s="17" t="str">
        <f t="shared" ca="1" si="67"/>
        <v/>
      </c>
      <c r="AK229" s="17" t="str">
        <f t="shared" si="68"/>
        <v/>
      </c>
      <c r="AL229" s="17" t="str">
        <f t="shared" ca="1" si="69"/>
        <v/>
      </c>
      <c r="AN229" s="24">
        <f t="shared" si="70"/>
        <v>0</v>
      </c>
      <c r="AO229" s="24">
        <f t="shared" si="71"/>
        <v>0</v>
      </c>
      <c r="AP229" s="24">
        <f t="shared" si="72"/>
        <v>0</v>
      </c>
      <c r="AQ229" s="24">
        <f t="shared" si="73"/>
        <v>0</v>
      </c>
      <c r="AR229" s="24">
        <f t="shared" si="74"/>
        <v>0</v>
      </c>
      <c r="AS229" s="24">
        <f t="shared" si="75"/>
        <v>0</v>
      </c>
    </row>
    <row r="230" spans="1:45" x14ac:dyDescent="0.25">
      <c r="A230" s="83"/>
      <c r="B230" s="83"/>
      <c r="C230" s="83"/>
      <c r="D230" s="15"/>
      <c r="E230" s="15"/>
      <c r="F230" s="83"/>
      <c r="G230" s="83"/>
      <c r="H230" s="16"/>
      <c r="I230" s="83"/>
      <c r="J230" s="83"/>
      <c r="K230" s="16"/>
      <c r="L230" s="15"/>
      <c r="M230" s="20"/>
      <c r="N230" s="15"/>
      <c r="O230" s="20"/>
      <c r="P230" s="15"/>
      <c r="Q230" s="15"/>
      <c r="R230" s="17" t="str">
        <f>IF(Q230="","",VLOOKUP(Q230,'References (2)'!C:D,2,0))</f>
        <v/>
      </c>
      <c r="S230" s="17" t="str">
        <f>IF(Q230="","",VLOOKUP(Q230,'References (2)'!C:F,4,0))</f>
        <v/>
      </c>
      <c r="T230" s="16"/>
      <c r="U230" s="20"/>
      <c r="V230" s="15"/>
      <c r="W230" s="22"/>
      <c r="X230" s="16"/>
      <c r="Y230" s="22"/>
      <c r="Z230" s="25" t="str">
        <f t="shared" si="57"/>
        <v/>
      </c>
      <c r="AA230" s="17" t="str">
        <f t="shared" ca="1" si="58"/>
        <v/>
      </c>
      <c r="AB230" s="17" t="str">
        <f t="shared" ca="1" si="59"/>
        <v/>
      </c>
      <c r="AC230" s="17" t="str">
        <f t="shared" ca="1" si="60"/>
        <v/>
      </c>
      <c r="AD230" s="17" t="str">
        <f t="shared" ca="1" si="61"/>
        <v/>
      </c>
      <c r="AE230" s="17" t="str">
        <f t="shared" si="62"/>
        <v/>
      </c>
      <c r="AF230" s="17" t="str">
        <f t="shared" si="63"/>
        <v/>
      </c>
      <c r="AG230" s="17" t="str">
        <f t="shared" si="64"/>
        <v/>
      </c>
      <c r="AH230" s="17">
        <f t="shared" si="65"/>
        <v>0</v>
      </c>
      <c r="AI230" s="17" t="str">
        <f t="shared" ca="1" si="66"/>
        <v/>
      </c>
      <c r="AJ230" s="17" t="str">
        <f t="shared" ca="1" si="67"/>
        <v/>
      </c>
      <c r="AK230" s="17" t="str">
        <f t="shared" si="68"/>
        <v/>
      </c>
      <c r="AL230" s="17" t="str">
        <f t="shared" ca="1" si="69"/>
        <v/>
      </c>
      <c r="AN230" s="24">
        <f t="shared" si="70"/>
        <v>0</v>
      </c>
      <c r="AO230" s="24">
        <f t="shared" si="71"/>
        <v>0</v>
      </c>
      <c r="AP230" s="24">
        <f t="shared" si="72"/>
        <v>0</v>
      </c>
      <c r="AQ230" s="24">
        <f t="shared" si="73"/>
        <v>0</v>
      </c>
      <c r="AR230" s="24">
        <f t="shared" si="74"/>
        <v>0</v>
      </c>
      <c r="AS230" s="24">
        <f t="shared" si="75"/>
        <v>0</v>
      </c>
    </row>
    <row r="231" spans="1:45" x14ac:dyDescent="0.25">
      <c r="A231" s="83"/>
      <c r="B231" s="83"/>
      <c r="C231" s="83"/>
      <c r="D231" s="15"/>
      <c r="E231" s="15"/>
      <c r="F231" s="83"/>
      <c r="G231" s="83"/>
      <c r="H231" s="16"/>
      <c r="I231" s="83"/>
      <c r="J231" s="83"/>
      <c r="K231" s="16"/>
      <c r="L231" s="15"/>
      <c r="M231" s="20"/>
      <c r="N231" s="15"/>
      <c r="O231" s="20"/>
      <c r="P231" s="15"/>
      <c r="Q231" s="15"/>
      <c r="R231" s="17" t="str">
        <f>IF(Q231="","",VLOOKUP(Q231,'References (2)'!C:D,2,0))</f>
        <v/>
      </c>
      <c r="S231" s="17" t="str">
        <f>IF(Q231="","",VLOOKUP(Q231,'References (2)'!C:F,4,0))</f>
        <v/>
      </c>
      <c r="T231" s="16"/>
      <c r="U231" s="20"/>
      <c r="V231" s="15"/>
      <c r="W231" s="22"/>
      <c r="X231" s="16"/>
      <c r="Y231" s="22"/>
      <c r="Z231" s="25" t="str">
        <f t="shared" si="57"/>
        <v/>
      </c>
      <c r="AA231" s="17" t="str">
        <f t="shared" ca="1" si="58"/>
        <v/>
      </c>
      <c r="AB231" s="17" t="str">
        <f t="shared" ca="1" si="59"/>
        <v/>
      </c>
      <c r="AC231" s="17" t="str">
        <f t="shared" ca="1" si="60"/>
        <v/>
      </c>
      <c r="AD231" s="17" t="str">
        <f t="shared" ca="1" si="61"/>
        <v/>
      </c>
      <c r="AE231" s="17" t="str">
        <f t="shared" si="62"/>
        <v/>
      </c>
      <c r="AF231" s="17" t="str">
        <f t="shared" si="63"/>
        <v/>
      </c>
      <c r="AG231" s="17" t="str">
        <f t="shared" si="64"/>
        <v/>
      </c>
      <c r="AH231" s="17">
        <f t="shared" si="65"/>
        <v>0</v>
      </c>
      <c r="AI231" s="17" t="str">
        <f t="shared" ca="1" si="66"/>
        <v/>
      </c>
      <c r="AJ231" s="17" t="str">
        <f t="shared" ca="1" si="67"/>
        <v/>
      </c>
      <c r="AK231" s="17" t="str">
        <f t="shared" si="68"/>
        <v/>
      </c>
      <c r="AL231" s="17" t="str">
        <f t="shared" ca="1" si="69"/>
        <v/>
      </c>
      <c r="AN231" s="24">
        <f t="shared" si="70"/>
        <v>0</v>
      </c>
      <c r="AO231" s="24">
        <f t="shared" si="71"/>
        <v>0</v>
      </c>
      <c r="AP231" s="24">
        <f t="shared" si="72"/>
        <v>0</v>
      </c>
      <c r="AQ231" s="24">
        <f t="shared" si="73"/>
        <v>0</v>
      </c>
      <c r="AR231" s="24">
        <f t="shared" si="74"/>
        <v>0</v>
      </c>
      <c r="AS231" s="24">
        <f t="shared" si="75"/>
        <v>0</v>
      </c>
    </row>
    <row r="232" spans="1:45" x14ac:dyDescent="0.25">
      <c r="A232" s="83"/>
      <c r="B232" s="83"/>
      <c r="C232" s="83"/>
      <c r="D232" s="15"/>
      <c r="E232" s="15"/>
      <c r="F232" s="83"/>
      <c r="G232" s="83"/>
      <c r="H232" s="16"/>
      <c r="I232" s="83"/>
      <c r="J232" s="83"/>
      <c r="K232" s="16"/>
      <c r="L232" s="15"/>
      <c r="M232" s="20"/>
      <c r="N232" s="15"/>
      <c r="O232" s="20"/>
      <c r="P232" s="15"/>
      <c r="Q232" s="15"/>
      <c r="R232" s="17" t="str">
        <f>IF(Q232="","",VLOOKUP(Q232,'References (2)'!C:D,2,0))</f>
        <v/>
      </c>
      <c r="S232" s="17" t="str">
        <f>IF(Q232="","",VLOOKUP(Q232,'References (2)'!C:F,4,0))</f>
        <v/>
      </c>
      <c r="T232" s="16"/>
      <c r="U232" s="20"/>
      <c r="V232" s="15"/>
      <c r="W232" s="22"/>
      <c r="X232" s="16"/>
      <c r="Y232" s="22"/>
      <c r="Z232" s="25" t="str">
        <f t="shared" si="57"/>
        <v/>
      </c>
      <c r="AA232" s="17" t="str">
        <f t="shared" ca="1" si="58"/>
        <v/>
      </c>
      <c r="AB232" s="17" t="str">
        <f t="shared" ca="1" si="59"/>
        <v/>
      </c>
      <c r="AC232" s="17" t="str">
        <f t="shared" ca="1" si="60"/>
        <v/>
      </c>
      <c r="AD232" s="17" t="str">
        <f t="shared" ca="1" si="61"/>
        <v/>
      </c>
      <c r="AE232" s="17" t="str">
        <f t="shared" si="62"/>
        <v/>
      </c>
      <c r="AF232" s="17" t="str">
        <f t="shared" si="63"/>
        <v/>
      </c>
      <c r="AG232" s="17" t="str">
        <f t="shared" si="64"/>
        <v/>
      </c>
      <c r="AH232" s="17">
        <f t="shared" si="65"/>
        <v>0</v>
      </c>
      <c r="AI232" s="17" t="str">
        <f t="shared" ca="1" si="66"/>
        <v/>
      </c>
      <c r="AJ232" s="17" t="str">
        <f t="shared" ca="1" si="67"/>
        <v/>
      </c>
      <c r="AK232" s="17" t="str">
        <f t="shared" si="68"/>
        <v/>
      </c>
      <c r="AL232" s="17" t="str">
        <f t="shared" ca="1" si="69"/>
        <v/>
      </c>
      <c r="AN232" s="24">
        <f t="shared" si="70"/>
        <v>0</v>
      </c>
      <c r="AO232" s="24">
        <f t="shared" si="71"/>
        <v>0</v>
      </c>
      <c r="AP232" s="24">
        <f t="shared" si="72"/>
        <v>0</v>
      </c>
      <c r="AQ232" s="24">
        <f t="shared" si="73"/>
        <v>0</v>
      </c>
      <c r="AR232" s="24">
        <f t="shared" si="74"/>
        <v>0</v>
      </c>
      <c r="AS232" s="24">
        <f t="shared" si="75"/>
        <v>0</v>
      </c>
    </row>
    <row r="233" spans="1:45" x14ac:dyDescent="0.25">
      <c r="A233" s="83"/>
      <c r="B233" s="83"/>
      <c r="C233" s="83"/>
      <c r="D233" s="15"/>
      <c r="E233" s="15"/>
      <c r="F233" s="83"/>
      <c r="G233" s="83"/>
      <c r="H233" s="16"/>
      <c r="I233" s="83"/>
      <c r="J233" s="83"/>
      <c r="K233" s="16"/>
      <c r="L233" s="15"/>
      <c r="M233" s="20"/>
      <c r="N233" s="15"/>
      <c r="O233" s="20"/>
      <c r="P233" s="15"/>
      <c r="Q233" s="15"/>
      <c r="R233" s="17" t="str">
        <f>IF(Q233="","",VLOOKUP(Q233,'References (2)'!C:D,2,0))</f>
        <v/>
      </c>
      <c r="S233" s="17" t="str">
        <f>IF(Q233="","",VLOOKUP(Q233,'References (2)'!C:F,4,0))</f>
        <v/>
      </c>
      <c r="T233" s="16"/>
      <c r="U233" s="20"/>
      <c r="V233" s="15"/>
      <c r="W233" s="22"/>
      <c r="X233" s="16"/>
      <c r="Y233" s="22"/>
      <c r="Z233" s="25" t="str">
        <f t="shared" si="57"/>
        <v/>
      </c>
      <c r="AA233" s="17" t="str">
        <f t="shared" ca="1" si="58"/>
        <v/>
      </c>
      <c r="AB233" s="17" t="str">
        <f t="shared" ca="1" si="59"/>
        <v/>
      </c>
      <c r="AC233" s="17" t="str">
        <f t="shared" ca="1" si="60"/>
        <v/>
      </c>
      <c r="AD233" s="17" t="str">
        <f t="shared" ca="1" si="61"/>
        <v/>
      </c>
      <c r="AE233" s="17" t="str">
        <f t="shared" si="62"/>
        <v/>
      </c>
      <c r="AF233" s="17" t="str">
        <f t="shared" si="63"/>
        <v/>
      </c>
      <c r="AG233" s="17" t="str">
        <f t="shared" si="64"/>
        <v/>
      </c>
      <c r="AH233" s="17">
        <f t="shared" si="65"/>
        <v>0</v>
      </c>
      <c r="AI233" s="17" t="str">
        <f t="shared" ca="1" si="66"/>
        <v/>
      </c>
      <c r="AJ233" s="17" t="str">
        <f t="shared" ca="1" si="67"/>
        <v/>
      </c>
      <c r="AK233" s="17" t="str">
        <f t="shared" si="68"/>
        <v/>
      </c>
      <c r="AL233" s="17" t="str">
        <f t="shared" ca="1" si="69"/>
        <v/>
      </c>
      <c r="AN233" s="24">
        <f t="shared" si="70"/>
        <v>0</v>
      </c>
      <c r="AO233" s="24">
        <f t="shared" si="71"/>
        <v>0</v>
      </c>
      <c r="AP233" s="24">
        <f t="shared" si="72"/>
        <v>0</v>
      </c>
      <c r="AQ233" s="24">
        <f t="shared" si="73"/>
        <v>0</v>
      </c>
      <c r="AR233" s="24">
        <f t="shared" si="74"/>
        <v>0</v>
      </c>
      <c r="AS233" s="24">
        <f t="shared" si="75"/>
        <v>0</v>
      </c>
    </row>
    <row r="234" spans="1:45" x14ac:dyDescent="0.25">
      <c r="A234" s="83"/>
      <c r="B234" s="83"/>
      <c r="C234" s="83"/>
      <c r="D234" s="15"/>
      <c r="E234" s="15"/>
      <c r="F234" s="83"/>
      <c r="G234" s="83"/>
      <c r="H234" s="16"/>
      <c r="I234" s="83"/>
      <c r="J234" s="83"/>
      <c r="K234" s="16"/>
      <c r="L234" s="15"/>
      <c r="M234" s="20"/>
      <c r="N234" s="15"/>
      <c r="O234" s="20"/>
      <c r="P234" s="15"/>
      <c r="Q234" s="15"/>
      <c r="R234" s="17" t="str">
        <f>IF(Q234="","",VLOOKUP(Q234,'References (2)'!C:D,2,0))</f>
        <v/>
      </c>
      <c r="S234" s="17" t="str">
        <f>IF(Q234="","",VLOOKUP(Q234,'References (2)'!C:F,4,0))</f>
        <v/>
      </c>
      <c r="T234" s="16"/>
      <c r="U234" s="20"/>
      <c r="V234" s="15"/>
      <c r="W234" s="22"/>
      <c r="X234" s="16"/>
      <c r="Y234" s="22"/>
      <c r="Z234" s="25" t="str">
        <f t="shared" si="57"/>
        <v/>
      </c>
      <c r="AA234" s="17" t="str">
        <f t="shared" ca="1" si="58"/>
        <v/>
      </c>
      <c r="AB234" s="17" t="str">
        <f t="shared" ca="1" si="59"/>
        <v/>
      </c>
      <c r="AC234" s="17" t="str">
        <f t="shared" ca="1" si="60"/>
        <v/>
      </c>
      <c r="AD234" s="17" t="str">
        <f t="shared" ca="1" si="61"/>
        <v/>
      </c>
      <c r="AE234" s="17" t="str">
        <f t="shared" si="62"/>
        <v/>
      </c>
      <c r="AF234" s="17" t="str">
        <f t="shared" si="63"/>
        <v/>
      </c>
      <c r="AG234" s="17" t="str">
        <f t="shared" si="64"/>
        <v/>
      </c>
      <c r="AH234" s="17">
        <f t="shared" si="65"/>
        <v>0</v>
      </c>
      <c r="AI234" s="17" t="str">
        <f t="shared" ca="1" si="66"/>
        <v/>
      </c>
      <c r="AJ234" s="17" t="str">
        <f t="shared" ca="1" si="67"/>
        <v/>
      </c>
      <c r="AK234" s="17" t="str">
        <f t="shared" si="68"/>
        <v/>
      </c>
      <c r="AL234" s="17" t="str">
        <f t="shared" ca="1" si="69"/>
        <v/>
      </c>
      <c r="AN234" s="24">
        <f t="shared" si="70"/>
        <v>0</v>
      </c>
      <c r="AO234" s="24">
        <f t="shared" si="71"/>
        <v>0</v>
      </c>
      <c r="AP234" s="24">
        <f t="shared" si="72"/>
        <v>0</v>
      </c>
      <c r="AQ234" s="24">
        <f t="shared" si="73"/>
        <v>0</v>
      </c>
      <c r="AR234" s="24">
        <f t="shared" si="74"/>
        <v>0</v>
      </c>
      <c r="AS234" s="24">
        <f t="shared" si="75"/>
        <v>0</v>
      </c>
    </row>
    <row r="235" spans="1:45" x14ac:dyDescent="0.25">
      <c r="A235" s="83"/>
      <c r="B235" s="83"/>
      <c r="C235" s="83"/>
      <c r="D235" s="15"/>
      <c r="E235" s="15"/>
      <c r="F235" s="83"/>
      <c r="G235" s="83"/>
      <c r="H235" s="16"/>
      <c r="I235" s="83"/>
      <c r="J235" s="83"/>
      <c r="K235" s="16"/>
      <c r="L235" s="15"/>
      <c r="M235" s="20"/>
      <c r="N235" s="15"/>
      <c r="O235" s="20"/>
      <c r="P235" s="15"/>
      <c r="Q235" s="15"/>
      <c r="R235" s="17" t="str">
        <f>IF(Q235="","",VLOOKUP(Q235,'References (2)'!C:D,2,0))</f>
        <v/>
      </c>
      <c r="S235" s="17" t="str">
        <f>IF(Q235="","",VLOOKUP(Q235,'References (2)'!C:F,4,0))</f>
        <v/>
      </c>
      <c r="T235" s="16"/>
      <c r="U235" s="20"/>
      <c r="V235" s="15"/>
      <c r="W235" s="22"/>
      <c r="X235" s="16"/>
      <c r="Y235" s="22"/>
      <c r="Z235" s="25" t="str">
        <f t="shared" si="57"/>
        <v/>
      </c>
      <c r="AA235" s="17" t="str">
        <f t="shared" ca="1" si="58"/>
        <v/>
      </c>
      <c r="AB235" s="17" t="str">
        <f t="shared" ca="1" si="59"/>
        <v/>
      </c>
      <c r="AC235" s="17" t="str">
        <f t="shared" ca="1" si="60"/>
        <v/>
      </c>
      <c r="AD235" s="17" t="str">
        <f t="shared" ca="1" si="61"/>
        <v/>
      </c>
      <c r="AE235" s="17" t="str">
        <f t="shared" si="62"/>
        <v/>
      </c>
      <c r="AF235" s="17" t="str">
        <f t="shared" si="63"/>
        <v/>
      </c>
      <c r="AG235" s="17" t="str">
        <f t="shared" si="64"/>
        <v/>
      </c>
      <c r="AH235" s="17">
        <f t="shared" si="65"/>
        <v>0</v>
      </c>
      <c r="AI235" s="17" t="str">
        <f t="shared" ca="1" si="66"/>
        <v/>
      </c>
      <c r="AJ235" s="17" t="str">
        <f t="shared" ca="1" si="67"/>
        <v/>
      </c>
      <c r="AK235" s="17" t="str">
        <f t="shared" si="68"/>
        <v/>
      </c>
      <c r="AL235" s="17" t="str">
        <f t="shared" ca="1" si="69"/>
        <v/>
      </c>
      <c r="AN235" s="24">
        <f t="shared" si="70"/>
        <v>0</v>
      </c>
      <c r="AO235" s="24">
        <f t="shared" si="71"/>
        <v>0</v>
      </c>
      <c r="AP235" s="24">
        <f t="shared" si="72"/>
        <v>0</v>
      </c>
      <c r="AQ235" s="24">
        <f t="shared" si="73"/>
        <v>0</v>
      </c>
      <c r="AR235" s="24">
        <f t="shared" si="74"/>
        <v>0</v>
      </c>
      <c r="AS235" s="24">
        <f t="shared" si="75"/>
        <v>0</v>
      </c>
    </row>
    <row r="236" spans="1:45" x14ac:dyDescent="0.25">
      <c r="A236" s="83"/>
      <c r="B236" s="83"/>
      <c r="C236" s="83"/>
      <c r="D236" s="15"/>
      <c r="E236" s="15"/>
      <c r="F236" s="83"/>
      <c r="G236" s="83"/>
      <c r="H236" s="16"/>
      <c r="I236" s="83"/>
      <c r="J236" s="83"/>
      <c r="K236" s="16"/>
      <c r="L236" s="15"/>
      <c r="M236" s="20"/>
      <c r="N236" s="15"/>
      <c r="O236" s="20"/>
      <c r="P236" s="15"/>
      <c r="Q236" s="15"/>
      <c r="R236" s="17" t="str">
        <f>IF(Q236="","",VLOOKUP(Q236,'References (2)'!C:D,2,0))</f>
        <v/>
      </c>
      <c r="S236" s="17" t="str">
        <f>IF(Q236="","",VLOOKUP(Q236,'References (2)'!C:F,4,0))</f>
        <v/>
      </c>
      <c r="T236" s="16"/>
      <c r="U236" s="20"/>
      <c r="V236" s="15"/>
      <c r="W236" s="22"/>
      <c r="X236" s="16"/>
      <c r="Y236" s="22"/>
      <c r="Z236" s="25" t="str">
        <f t="shared" si="57"/>
        <v/>
      </c>
      <c r="AA236" s="17" t="str">
        <f t="shared" ca="1" si="58"/>
        <v/>
      </c>
      <c r="AB236" s="17" t="str">
        <f t="shared" ca="1" si="59"/>
        <v/>
      </c>
      <c r="AC236" s="17" t="str">
        <f t="shared" ca="1" si="60"/>
        <v/>
      </c>
      <c r="AD236" s="17" t="str">
        <f t="shared" ca="1" si="61"/>
        <v/>
      </c>
      <c r="AE236" s="17" t="str">
        <f t="shared" si="62"/>
        <v/>
      </c>
      <c r="AF236" s="17" t="str">
        <f t="shared" si="63"/>
        <v/>
      </c>
      <c r="AG236" s="17" t="str">
        <f t="shared" si="64"/>
        <v/>
      </c>
      <c r="AH236" s="17">
        <f t="shared" si="65"/>
        <v>0</v>
      </c>
      <c r="AI236" s="17" t="str">
        <f t="shared" ca="1" si="66"/>
        <v/>
      </c>
      <c r="AJ236" s="17" t="str">
        <f t="shared" ca="1" si="67"/>
        <v/>
      </c>
      <c r="AK236" s="17" t="str">
        <f t="shared" si="68"/>
        <v/>
      </c>
      <c r="AL236" s="17" t="str">
        <f t="shared" ca="1" si="69"/>
        <v/>
      </c>
      <c r="AN236" s="24">
        <f t="shared" si="70"/>
        <v>0</v>
      </c>
      <c r="AO236" s="24">
        <f t="shared" si="71"/>
        <v>0</v>
      </c>
      <c r="AP236" s="24">
        <f t="shared" si="72"/>
        <v>0</v>
      </c>
      <c r="AQ236" s="24">
        <f t="shared" si="73"/>
        <v>0</v>
      </c>
      <c r="AR236" s="24">
        <f t="shared" si="74"/>
        <v>0</v>
      </c>
      <c r="AS236" s="24">
        <f t="shared" si="75"/>
        <v>0</v>
      </c>
    </row>
    <row r="237" spans="1:45" x14ac:dyDescent="0.25">
      <c r="A237" s="83"/>
      <c r="B237" s="83"/>
      <c r="C237" s="83"/>
      <c r="D237" s="15"/>
      <c r="E237" s="15"/>
      <c r="F237" s="83"/>
      <c r="G237" s="83"/>
      <c r="H237" s="16"/>
      <c r="I237" s="83"/>
      <c r="J237" s="83"/>
      <c r="K237" s="16"/>
      <c r="L237" s="15"/>
      <c r="M237" s="20"/>
      <c r="N237" s="15"/>
      <c r="O237" s="20"/>
      <c r="P237" s="15"/>
      <c r="Q237" s="15"/>
      <c r="R237" s="17" t="str">
        <f>IF(Q237="","",VLOOKUP(Q237,'References (2)'!C:D,2,0))</f>
        <v/>
      </c>
      <c r="S237" s="17" t="str">
        <f>IF(Q237="","",VLOOKUP(Q237,'References (2)'!C:F,4,0))</f>
        <v/>
      </c>
      <c r="T237" s="16"/>
      <c r="U237" s="20"/>
      <c r="V237" s="15"/>
      <c r="W237" s="22"/>
      <c r="X237" s="16"/>
      <c r="Y237" s="22"/>
      <c r="Z237" s="25" t="str">
        <f t="shared" si="57"/>
        <v/>
      </c>
      <c r="AA237" s="17" t="str">
        <f t="shared" ca="1" si="58"/>
        <v/>
      </c>
      <c r="AB237" s="17" t="str">
        <f t="shared" ca="1" si="59"/>
        <v/>
      </c>
      <c r="AC237" s="17" t="str">
        <f t="shared" ca="1" si="60"/>
        <v/>
      </c>
      <c r="AD237" s="17" t="str">
        <f t="shared" ca="1" si="61"/>
        <v/>
      </c>
      <c r="AE237" s="17" t="str">
        <f t="shared" si="62"/>
        <v/>
      </c>
      <c r="AF237" s="17" t="str">
        <f t="shared" si="63"/>
        <v/>
      </c>
      <c r="AG237" s="17" t="str">
        <f t="shared" si="64"/>
        <v/>
      </c>
      <c r="AH237" s="17">
        <f t="shared" si="65"/>
        <v>0</v>
      </c>
      <c r="AI237" s="17" t="str">
        <f t="shared" ca="1" si="66"/>
        <v/>
      </c>
      <c r="AJ237" s="17" t="str">
        <f t="shared" ca="1" si="67"/>
        <v/>
      </c>
      <c r="AK237" s="17" t="str">
        <f t="shared" si="68"/>
        <v/>
      </c>
      <c r="AL237" s="17" t="str">
        <f t="shared" ca="1" si="69"/>
        <v/>
      </c>
      <c r="AN237" s="24">
        <f t="shared" si="70"/>
        <v>0</v>
      </c>
      <c r="AO237" s="24">
        <f t="shared" si="71"/>
        <v>0</v>
      </c>
      <c r="AP237" s="24">
        <f t="shared" si="72"/>
        <v>0</v>
      </c>
      <c r="AQ237" s="24">
        <f t="shared" si="73"/>
        <v>0</v>
      </c>
      <c r="AR237" s="24">
        <f t="shared" si="74"/>
        <v>0</v>
      </c>
      <c r="AS237" s="24">
        <f t="shared" si="75"/>
        <v>0</v>
      </c>
    </row>
    <row r="238" spans="1:45" x14ac:dyDescent="0.25">
      <c r="A238" s="83"/>
      <c r="B238" s="83"/>
      <c r="C238" s="83"/>
      <c r="D238" s="15"/>
      <c r="E238" s="15"/>
      <c r="F238" s="83"/>
      <c r="G238" s="83"/>
      <c r="H238" s="16"/>
      <c r="I238" s="83"/>
      <c r="J238" s="83"/>
      <c r="K238" s="16"/>
      <c r="L238" s="15"/>
      <c r="M238" s="20"/>
      <c r="N238" s="15"/>
      <c r="O238" s="20"/>
      <c r="P238" s="15"/>
      <c r="Q238" s="15"/>
      <c r="R238" s="17" t="str">
        <f>IF(Q238="","",VLOOKUP(Q238,'References (2)'!C:D,2,0))</f>
        <v/>
      </c>
      <c r="S238" s="17" t="str">
        <f>IF(Q238="","",VLOOKUP(Q238,'References (2)'!C:F,4,0))</f>
        <v/>
      </c>
      <c r="T238" s="16"/>
      <c r="U238" s="20"/>
      <c r="V238" s="15"/>
      <c r="W238" s="22"/>
      <c r="X238" s="16"/>
      <c r="Y238" s="22"/>
      <c r="Z238" s="25" t="str">
        <f t="shared" si="57"/>
        <v/>
      </c>
      <c r="AA238" s="17" t="str">
        <f t="shared" ca="1" si="58"/>
        <v/>
      </c>
      <c r="AB238" s="17" t="str">
        <f t="shared" ca="1" si="59"/>
        <v/>
      </c>
      <c r="AC238" s="17" t="str">
        <f t="shared" ca="1" si="60"/>
        <v/>
      </c>
      <c r="AD238" s="17" t="str">
        <f t="shared" ca="1" si="61"/>
        <v/>
      </c>
      <c r="AE238" s="17" t="str">
        <f t="shared" si="62"/>
        <v/>
      </c>
      <c r="AF238" s="17" t="str">
        <f t="shared" si="63"/>
        <v/>
      </c>
      <c r="AG238" s="17" t="str">
        <f t="shared" si="64"/>
        <v/>
      </c>
      <c r="AH238" s="17">
        <f t="shared" si="65"/>
        <v>0</v>
      </c>
      <c r="AI238" s="17" t="str">
        <f t="shared" ca="1" si="66"/>
        <v/>
      </c>
      <c r="AJ238" s="17" t="str">
        <f t="shared" ca="1" si="67"/>
        <v/>
      </c>
      <c r="AK238" s="17" t="str">
        <f t="shared" si="68"/>
        <v/>
      </c>
      <c r="AL238" s="17" t="str">
        <f t="shared" ca="1" si="69"/>
        <v/>
      </c>
      <c r="AN238" s="24">
        <f t="shared" si="70"/>
        <v>0</v>
      </c>
      <c r="AO238" s="24">
        <f t="shared" si="71"/>
        <v>0</v>
      </c>
      <c r="AP238" s="24">
        <f t="shared" si="72"/>
        <v>0</v>
      </c>
      <c r="AQ238" s="24">
        <f t="shared" si="73"/>
        <v>0</v>
      </c>
      <c r="AR238" s="24">
        <f t="shared" si="74"/>
        <v>0</v>
      </c>
      <c r="AS238" s="24">
        <f t="shared" si="75"/>
        <v>0</v>
      </c>
    </row>
    <row r="239" spans="1:45" x14ac:dyDescent="0.25">
      <c r="A239" s="83"/>
      <c r="B239" s="83"/>
      <c r="C239" s="83"/>
      <c r="D239" s="15"/>
      <c r="E239" s="15"/>
      <c r="F239" s="83"/>
      <c r="G239" s="83"/>
      <c r="H239" s="16"/>
      <c r="I239" s="83"/>
      <c r="J239" s="83"/>
      <c r="K239" s="16"/>
      <c r="L239" s="15"/>
      <c r="M239" s="20"/>
      <c r="N239" s="15"/>
      <c r="O239" s="20"/>
      <c r="P239" s="15"/>
      <c r="Q239" s="15"/>
      <c r="R239" s="17" t="str">
        <f>IF(Q239="","",VLOOKUP(Q239,'References (2)'!C:D,2,0))</f>
        <v/>
      </c>
      <c r="S239" s="17" t="str">
        <f>IF(Q239="","",VLOOKUP(Q239,'References (2)'!C:F,4,0))</f>
        <v/>
      </c>
      <c r="T239" s="16"/>
      <c r="U239" s="20"/>
      <c r="V239" s="15"/>
      <c r="W239" s="22"/>
      <c r="X239" s="16"/>
      <c r="Y239" s="22"/>
      <c r="Z239" s="25" t="str">
        <f t="shared" si="57"/>
        <v/>
      </c>
      <c r="AA239" s="17" t="str">
        <f t="shared" ca="1" si="58"/>
        <v/>
      </c>
      <c r="AB239" s="17" t="str">
        <f t="shared" ca="1" si="59"/>
        <v/>
      </c>
      <c r="AC239" s="17" t="str">
        <f t="shared" ca="1" si="60"/>
        <v/>
      </c>
      <c r="AD239" s="17" t="str">
        <f t="shared" ca="1" si="61"/>
        <v/>
      </c>
      <c r="AE239" s="17" t="str">
        <f t="shared" si="62"/>
        <v/>
      </c>
      <c r="AF239" s="17" t="str">
        <f t="shared" si="63"/>
        <v/>
      </c>
      <c r="AG239" s="17" t="str">
        <f t="shared" si="64"/>
        <v/>
      </c>
      <c r="AH239" s="17">
        <f t="shared" si="65"/>
        <v>0</v>
      </c>
      <c r="AI239" s="17" t="str">
        <f t="shared" ca="1" si="66"/>
        <v/>
      </c>
      <c r="AJ239" s="17" t="str">
        <f t="shared" ca="1" si="67"/>
        <v/>
      </c>
      <c r="AK239" s="17" t="str">
        <f t="shared" si="68"/>
        <v/>
      </c>
      <c r="AL239" s="17" t="str">
        <f t="shared" ca="1" si="69"/>
        <v/>
      </c>
      <c r="AN239" s="24">
        <f t="shared" si="70"/>
        <v>0</v>
      </c>
      <c r="AO239" s="24">
        <f t="shared" si="71"/>
        <v>0</v>
      </c>
      <c r="AP239" s="24">
        <f t="shared" si="72"/>
        <v>0</v>
      </c>
      <c r="AQ239" s="24">
        <f t="shared" si="73"/>
        <v>0</v>
      </c>
      <c r="AR239" s="24">
        <f t="shared" si="74"/>
        <v>0</v>
      </c>
      <c r="AS239" s="24">
        <f t="shared" si="75"/>
        <v>0</v>
      </c>
    </row>
    <row r="240" spans="1:45" x14ac:dyDescent="0.25">
      <c r="A240" s="83"/>
      <c r="B240" s="83"/>
      <c r="C240" s="83"/>
      <c r="D240" s="15"/>
      <c r="E240" s="15"/>
      <c r="F240" s="83"/>
      <c r="G240" s="83"/>
      <c r="H240" s="16"/>
      <c r="I240" s="83"/>
      <c r="J240" s="83"/>
      <c r="K240" s="16"/>
      <c r="L240" s="15"/>
      <c r="M240" s="20"/>
      <c r="N240" s="15"/>
      <c r="O240" s="20"/>
      <c r="P240" s="15"/>
      <c r="Q240" s="15"/>
      <c r="R240" s="17" t="str">
        <f>IF(Q240="","",VLOOKUP(Q240,'References (2)'!C:D,2,0))</f>
        <v/>
      </c>
      <c r="S240" s="17" t="str">
        <f>IF(Q240="","",VLOOKUP(Q240,'References (2)'!C:F,4,0))</f>
        <v/>
      </c>
      <c r="T240" s="16"/>
      <c r="U240" s="20"/>
      <c r="V240" s="15"/>
      <c r="W240" s="22"/>
      <c r="X240" s="16"/>
      <c r="Y240" s="22"/>
      <c r="Z240" s="25" t="str">
        <f t="shared" si="57"/>
        <v/>
      </c>
      <c r="AA240" s="17" t="str">
        <f t="shared" ca="1" si="58"/>
        <v/>
      </c>
      <c r="AB240" s="17" t="str">
        <f t="shared" ca="1" si="59"/>
        <v/>
      </c>
      <c r="AC240" s="17" t="str">
        <f t="shared" ca="1" si="60"/>
        <v/>
      </c>
      <c r="AD240" s="17" t="str">
        <f t="shared" ca="1" si="61"/>
        <v/>
      </c>
      <c r="AE240" s="17" t="str">
        <f t="shared" si="62"/>
        <v/>
      </c>
      <c r="AF240" s="17" t="str">
        <f t="shared" si="63"/>
        <v/>
      </c>
      <c r="AG240" s="17" t="str">
        <f t="shared" si="64"/>
        <v/>
      </c>
      <c r="AH240" s="17">
        <f t="shared" si="65"/>
        <v>0</v>
      </c>
      <c r="AI240" s="17" t="str">
        <f t="shared" ca="1" si="66"/>
        <v/>
      </c>
      <c r="AJ240" s="17" t="str">
        <f t="shared" ca="1" si="67"/>
        <v/>
      </c>
      <c r="AK240" s="17" t="str">
        <f t="shared" si="68"/>
        <v/>
      </c>
      <c r="AL240" s="17" t="str">
        <f t="shared" ca="1" si="69"/>
        <v/>
      </c>
      <c r="AN240" s="24">
        <f t="shared" si="70"/>
        <v>0</v>
      </c>
      <c r="AO240" s="24">
        <f t="shared" si="71"/>
        <v>0</v>
      </c>
      <c r="AP240" s="24">
        <f t="shared" si="72"/>
        <v>0</v>
      </c>
      <c r="AQ240" s="24">
        <f t="shared" si="73"/>
        <v>0</v>
      </c>
      <c r="AR240" s="24">
        <f t="shared" si="74"/>
        <v>0</v>
      </c>
      <c r="AS240" s="24">
        <f t="shared" si="75"/>
        <v>0</v>
      </c>
    </row>
    <row r="241" spans="1:45" x14ac:dyDescent="0.25">
      <c r="A241" s="83"/>
      <c r="B241" s="83"/>
      <c r="C241" s="83"/>
      <c r="D241" s="15"/>
      <c r="E241" s="15"/>
      <c r="F241" s="83"/>
      <c r="G241" s="83"/>
      <c r="H241" s="16"/>
      <c r="I241" s="83"/>
      <c r="J241" s="83"/>
      <c r="K241" s="16"/>
      <c r="L241" s="15"/>
      <c r="M241" s="20"/>
      <c r="N241" s="15"/>
      <c r="O241" s="20"/>
      <c r="P241" s="15"/>
      <c r="Q241" s="15"/>
      <c r="R241" s="17" t="str">
        <f>IF(Q241="","",VLOOKUP(Q241,'References (2)'!C:D,2,0))</f>
        <v/>
      </c>
      <c r="S241" s="17" t="str">
        <f>IF(Q241="","",VLOOKUP(Q241,'References (2)'!C:F,4,0))</f>
        <v/>
      </c>
      <c r="T241" s="16"/>
      <c r="U241" s="20"/>
      <c r="V241" s="15"/>
      <c r="W241" s="22"/>
      <c r="X241" s="16"/>
      <c r="Y241" s="22"/>
      <c r="Z241" s="25" t="str">
        <f t="shared" si="57"/>
        <v/>
      </c>
      <c r="AA241" s="17" t="str">
        <f t="shared" ca="1" si="58"/>
        <v/>
      </c>
      <c r="AB241" s="17" t="str">
        <f t="shared" ca="1" si="59"/>
        <v/>
      </c>
      <c r="AC241" s="17" t="str">
        <f t="shared" ca="1" si="60"/>
        <v/>
      </c>
      <c r="AD241" s="17" t="str">
        <f t="shared" ca="1" si="61"/>
        <v/>
      </c>
      <c r="AE241" s="17" t="str">
        <f t="shared" si="62"/>
        <v/>
      </c>
      <c r="AF241" s="17" t="str">
        <f t="shared" si="63"/>
        <v/>
      </c>
      <c r="AG241" s="17" t="str">
        <f t="shared" si="64"/>
        <v/>
      </c>
      <c r="AH241" s="17">
        <f t="shared" si="65"/>
        <v>0</v>
      </c>
      <c r="AI241" s="17" t="str">
        <f t="shared" ca="1" si="66"/>
        <v/>
      </c>
      <c r="AJ241" s="17" t="str">
        <f t="shared" ca="1" si="67"/>
        <v/>
      </c>
      <c r="AK241" s="17" t="str">
        <f t="shared" si="68"/>
        <v/>
      </c>
      <c r="AL241" s="17" t="str">
        <f t="shared" ca="1" si="69"/>
        <v/>
      </c>
      <c r="AN241" s="24">
        <f t="shared" si="70"/>
        <v>0</v>
      </c>
      <c r="AO241" s="24">
        <f t="shared" si="71"/>
        <v>0</v>
      </c>
      <c r="AP241" s="24">
        <f t="shared" si="72"/>
        <v>0</v>
      </c>
      <c r="AQ241" s="24">
        <f t="shared" si="73"/>
        <v>0</v>
      </c>
      <c r="AR241" s="24">
        <f t="shared" si="74"/>
        <v>0</v>
      </c>
      <c r="AS241" s="24">
        <f t="shared" si="75"/>
        <v>0</v>
      </c>
    </row>
    <row r="242" spans="1:45" x14ac:dyDescent="0.25">
      <c r="A242" s="83"/>
      <c r="B242" s="83"/>
      <c r="C242" s="83"/>
      <c r="D242" s="15"/>
      <c r="E242" s="15"/>
      <c r="F242" s="83"/>
      <c r="G242" s="83"/>
      <c r="H242" s="16"/>
      <c r="I242" s="83"/>
      <c r="J242" s="83"/>
      <c r="K242" s="16"/>
      <c r="L242" s="15"/>
      <c r="M242" s="20"/>
      <c r="N242" s="15"/>
      <c r="O242" s="20"/>
      <c r="P242" s="15"/>
      <c r="Q242" s="15"/>
      <c r="R242" s="17" t="str">
        <f>IF(Q242="","",VLOOKUP(Q242,'References (2)'!C:D,2,0))</f>
        <v/>
      </c>
      <c r="S242" s="17" t="str">
        <f>IF(Q242="","",VLOOKUP(Q242,'References (2)'!C:F,4,0))</f>
        <v/>
      </c>
      <c r="T242" s="16"/>
      <c r="U242" s="20"/>
      <c r="V242" s="15"/>
      <c r="W242" s="22"/>
      <c r="X242" s="16"/>
      <c r="Y242" s="22"/>
      <c r="Z242" s="25" t="str">
        <f t="shared" si="57"/>
        <v/>
      </c>
      <c r="AA242" s="17" t="str">
        <f t="shared" ca="1" si="58"/>
        <v/>
      </c>
      <c r="AB242" s="17" t="str">
        <f t="shared" ca="1" si="59"/>
        <v/>
      </c>
      <c r="AC242" s="17" t="str">
        <f t="shared" ca="1" si="60"/>
        <v/>
      </c>
      <c r="AD242" s="17" t="str">
        <f t="shared" ca="1" si="61"/>
        <v/>
      </c>
      <c r="AE242" s="17" t="str">
        <f t="shared" si="62"/>
        <v/>
      </c>
      <c r="AF242" s="17" t="str">
        <f t="shared" si="63"/>
        <v/>
      </c>
      <c r="AG242" s="17" t="str">
        <f t="shared" si="64"/>
        <v/>
      </c>
      <c r="AH242" s="17">
        <f t="shared" si="65"/>
        <v>0</v>
      </c>
      <c r="AI242" s="17" t="str">
        <f t="shared" ca="1" si="66"/>
        <v/>
      </c>
      <c r="AJ242" s="17" t="str">
        <f t="shared" ca="1" si="67"/>
        <v/>
      </c>
      <c r="AK242" s="17" t="str">
        <f t="shared" si="68"/>
        <v/>
      </c>
      <c r="AL242" s="17" t="str">
        <f t="shared" ca="1" si="69"/>
        <v/>
      </c>
      <c r="AN242" s="24">
        <f t="shared" si="70"/>
        <v>0</v>
      </c>
      <c r="AO242" s="24">
        <f t="shared" si="71"/>
        <v>0</v>
      </c>
      <c r="AP242" s="24">
        <f t="shared" si="72"/>
        <v>0</v>
      </c>
      <c r="AQ242" s="24">
        <f t="shared" si="73"/>
        <v>0</v>
      </c>
      <c r="AR242" s="24">
        <f t="shared" si="74"/>
        <v>0</v>
      </c>
      <c r="AS242" s="24">
        <f t="shared" si="75"/>
        <v>0</v>
      </c>
    </row>
    <row r="243" spans="1:45" x14ac:dyDescent="0.25">
      <c r="A243" s="83"/>
      <c r="B243" s="83"/>
      <c r="C243" s="83"/>
      <c r="D243" s="15"/>
      <c r="E243" s="15"/>
      <c r="F243" s="83"/>
      <c r="G243" s="83"/>
      <c r="H243" s="16"/>
      <c r="I243" s="83"/>
      <c r="J243" s="83"/>
      <c r="K243" s="16"/>
      <c r="L243" s="15"/>
      <c r="M243" s="20"/>
      <c r="N243" s="15"/>
      <c r="O243" s="20"/>
      <c r="P243" s="15"/>
      <c r="Q243" s="15"/>
      <c r="R243" s="17" t="str">
        <f>IF(Q243="","",VLOOKUP(Q243,'References (2)'!C:D,2,0))</f>
        <v/>
      </c>
      <c r="S243" s="17" t="str">
        <f>IF(Q243="","",VLOOKUP(Q243,'References (2)'!C:F,4,0))</f>
        <v/>
      </c>
      <c r="T243" s="16"/>
      <c r="U243" s="20"/>
      <c r="V243" s="15"/>
      <c r="W243" s="22"/>
      <c r="X243" s="16"/>
      <c r="Y243" s="22"/>
      <c r="Z243" s="25" t="str">
        <f t="shared" si="57"/>
        <v/>
      </c>
      <c r="AA243" s="17" t="str">
        <f t="shared" ca="1" si="58"/>
        <v/>
      </c>
      <c r="AB243" s="17" t="str">
        <f t="shared" ca="1" si="59"/>
        <v/>
      </c>
      <c r="AC243" s="17" t="str">
        <f t="shared" ca="1" si="60"/>
        <v/>
      </c>
      <c r="AD243" s="17" t="str">
        <f t="shared" ca="1" si="61"/>
        <v/>
      </c>
      <c r="AE243" s="17" t="str">
        <f t="shared" si="62"/>
        <v/>
      </c>
      <c r="AF243" s="17" t="str">
        <f t="shared" si="63"/>
        <v/>
      </c>
      <c r="AG243" s="17" t="str">
        <f t="shared" si="64"/>
        <v/>
      </c>
      <c r="AH243" s="17">
        <f t="shared" si="65"/>
        <v>0</v>
      </c>
      <c r="AI243" s="17" t="str">
        <f t="shared" ca="1" si="66"/>
        <v/>
      </c>
      <c r="AJ243" s="17" t="str">
        <f t="shared" ca="1" si="67"/>
        <v/>
      </c>
      <c r="AK243" s="17" t="str">
        <f t="shared" si="68"/>
        <v/>
      </c>
      <c r="AL243" s="17" t="str">
        <f t="shared" ca="1" si="69"/>
        <v/>
      </c>
      <c r="AN243" s="24">
        <f t="shared" si="70"/>
        <v>0</v>
      </c>
      <c r="AO243" s="24">
        <f t="shared" si="71"/>
        <v>0</v>
      </c>
      <c r="AP243" s="24">
        <f t="shared" si="72"/>
        <v>0</v>
      </c>
      <c r="AQ243" s="24">
        <f t="shared" si="73"/>
        <v>0</v>
      </c>
      <c r="AR243" s="24">
        <f t="shared" si="74"/>
        <v>0</v>
      </c>
      <c r="AS243" s="24">
        <f t="shared" si="75"/>
        <v>0</v>
      </c>
    </row>
    <row r="244" spans="1:45" x14ac:dyDescent="0.25">
      <c r="A244" s="83"/>
      <c r="B244" s="83"/>
      <c r="C244" s="83"/>
      <c r="D244" s="15"/>
      <c r="E244" s="15"/>
      <c r="F244" s="83"/>
      <c r="G244" s="83"/>
      <c r="H244" s="16"/>
      <c r="I244" s="83"/>
      <c r="J244" s="83"/>
      <c r="K244" s="16"/>
      <c r="L244" s="15"/>
      <c r="M244" s="20"/>
      <c r="N244" s="15"/>
      <c r="O244" s="20"/>
      <c r="P244" s="15"/>
      <c r="Q244" s="15"/>
      <c r="R244" s="17" t="str">
        <f>IF(Q244="","",VLOOKUP(Q244,'References (2)'!C:D,2,0))</f>
        <v/>
      </c>
      <c r="S244" s="17" t="str">
        <f>IF(Q244="","",VLOOKUP(Q244,'References (2)'!C:F,4,0))</f>
        <v/>
      </c>
      <c r="T244" s="16"/>
      <c r="U244" s="20"/>
      <c r="V244" s="15"/>
      <c r="W244" s="22"/>
      <c r="X244" s="16"/>
      <c r="Y244" s="22"/>
      <c r="Z244" s="25" t="str">
        <f t="shared" si="57"/>
        <v/>
      </c>
      <c r="AA244" s="17" t="str">
        <f t="shared" ca="1" si="58"/>
        <v/>
      </c>
      <c r="AB244" s="17" t="str">
        <f t="shared" ca="1" si="59"/>
        <v/>
      </c>
      <c r="AC244" s="17" t="str">
        <f t="shared" ca="1" si="60"/>
        <v/>
      </c>
      <c r="AD244" s="17" t="str">
        <f t="shared" ca="1" si="61"/>
        <v/>
      </c>
      <c r="AE244" s="17" t="str">
        <f t="shared" si="62"/>
        <v/>
      </c>
      <c r="AF244" s="17" t="str">
        <f t="shared" si="63"/>
        <v/>
      </c>
      <c r="AG244" s="17" t="str">
        <f t="shared" si="64"/>
        <v/>
      </c>
      <c r="AH244" s="17">
        <f t="shared" si="65"/>
        <v>0</v>
      </c>
      <c r="AI244" s="17" t="str">
        <f t="shared" ca="1" si="66"/>
        <v/>
      </c>
      <c r="AJ244" s="17" t="str">
        <f t="shared" ca="1" si="67"/>
        <v/>
      </c>
      <c r="AK244" s="17" t="str">
        <f t="shared" si="68"/>
        <v/>
      </c>
      <c r="AL244" s="17" t="str">
        <f t="shared" ca="1" si="69"/>
        <v/>
      </c>
      <c r="AN244" s="24">
        <f t="shared" si="70"/>
        <v>0</v>
      </c>
      <c r="AO244" s="24">
        <f t="shared" si="71"/>
        <v>0</v>
      </c>
      <c r="AP244" s="24">
        <f t="shared" si="72"/>
        <v>0</v>
      </c>
      <c r="AQ244" s="24">
        <f t="shared" si="73"/>
        <v>0</v>
      </c>
      <c r="AR244" s="24">
        <f t="shared" si="74"/>
        <v>0</v>
      </c>
      <c r="AS244" s="24">
        <f t="shared" si="75"/>
        <v>0</v>
      </c>
    </row>
    <row r="245" spans="1:45" x14ac:dyDescent="0.25">
      <c r="A245" s="83"/>
      <c r="B245" s="83"/>
      <c r="C245" s="83"/>
      <c r="D245" s="15"/>
      <c r="E245" s="15"/>
      <c r="F245" s="83"/>
      <c r="G245" s="83"/>
      <c r="H245" s="16"/>
      <c r="I245" s="83"/>
      <c r="J245" s="83"/>
      <c r="K245" s="16"/>
      <c r="L245" s="15"/>
      <c r="M245" s="20"/>
      <c r="N245" s="15"/>
      <c r="O245" s="20"/>
      <c r="P245" s="15"/>
      <c r="Q245" s="15"/>
      <c r="R245" s="17" t="str">
        <f>IF(Q245="","",VLOOKUP(Q245,'References (2)'!C:D,2,0))</f>
        <v/>
      </c>
      <c r="S245" s="17" t="str">
        <f>IF(Q245="","",VLOOKUP(Q245,'References (2)'!C:F,4,0))</f>
        <v/>
      </c>
      <c r="T245" s="16"/>
      <c r="U245" s="20"/>
      <c r="V245" s="15"/>
      <c r="W245" s="22"/>
      <c r="X245" s="16"/>
      <c r="Y245" s="22"/>
      <c r="Z245" s="25" t="str">
        <f t="shared" si="57"/>
        <v/>
      </c>
      <c r="AA245" s="17" t="str">
        <f t="shared" ca="1" si="58"/>
        <v/>
      </c>
      <c r="AB245" s="17" t="str">
        <f t="shared" ca="1" si="59"/>
        <v/>
      </c>
      <c r="AC245" s="17" t="str">
        <f t="shared" ca="1" si="60"/>
        <v/>
      </c>
      <c r="AD245" s="17" t="str">
        <f t="shared" ca="1" si="61"/>
        <v/>
      </c>
      <c r="AE245" s="17" t="str">
        <f t="shared" si="62"/>
        <v/>
      </c>
      <c r="AF245" s="17" t="str">
        <f t="shared" si="63"/>
        <v/>
      </c>
      <c r="AG245" s="17" t="str">
        <f t="shared" si="64"/>
        <v/>
      </c>
      <c r="AH245" s="17">
        <f t="shared" si="65"/>
        <v>0</v>
      </c>
      <c r="AI245" s="17" t="str">
        <f t="shared" ca="1" si="66"/>
        <v/>
      </c>
      <c r="AJ245" s="17" t="str">
        <f t="shared" ca="1" si="67"/>
        <v/>
      </c>
      <c r="AK245" s="17" t="str">
        <f t="shared" si="68"/>
        <v/>
      </c>
      <c r="AL245" s="17" t="str">
        <f t="shared" ca="1" si="69"/>
        <v/>
      </c>
      <c r="AN245" s="24">
        <f t="shared" si="70"/>
        <v>0</v>
      </c>
      <c r="AO245" s="24">
        <f t="shared" si="71"/>
        <v>0</v>
      </c>
      <c r="AP245" s="24">
        <f t="shared" si="72"/>
        <v>0</v>
      </c>
      <c r="AQ245" s="24">
        <f t="shared" si="73"/>
        <v>0</v>
      </c>
      <c r="AR245" s="24">
        <f t="shared" si="74"/>
        <v>0</v>
      </c>
      <c r="AS245" s="24">
        <f t="shared" si="75"/>
        <v>0</v>
      </c>
    </row>
    <row r="246" spans="1:45" x14ac:dyDescent="0.25">
      <c r="A246" s="83"/>
      <c r="B246" s="83"/>
      <c r="C246" s="83"/>
      <c r="D246" s="15"/>
      <c r="E246" s="15"/>
      <c r="F246" s="83"/>
      <c r="G246" s="83"/>
      <c r="H246" s="16"/>
      <c r="I246" s="83"/>
      <c r="J246" s="83"/>
      <c r="K246" s="16"/>
      <c r="L246" s="15"/>
      <c r="M246" s="20"/>
      <c r="N246" s="15"/>
      <c r="O246" s="20"/>
      <c r="P246" s="15"/>
      <c r="Q246" s="15"/>
      <c r="R246" s="17" t="str">
        <f>IF(Q246="","",VLOOKUP(Q246,'References (2)'!C:D,2,0))</f>
        <v/>
      </c>
      <c r="S246" s="17" t="str">
        <f>IF(Q246="","",VLOOKUP(Q246,'References (2)'!C:F,4,0))</f>
        <v/>
      </c>
      <c r="T246" s="16"/>
      <c r="U246" s="20"/>
      <c r="V246" s="15"/>
      <c r="W246" s="22"/>
      <c r="X246" s="16"/>
      <c r="Y246" s="22"/>
      <c r="Z246" s="25" t="str">
        <f t="shared" si="57"/>
        <v/>
      </c>
      <c r="AA246" s="17" t="str">
        <f t="shared" ca="1" si="58"/>
        <v/>
      </c>
      <c r="AB246" s="17" t="str">
        <f t="shared" ca="1" si="59"/>
        <v/>
      </c>
      <c r="AC246" s="17" t="str">
        <f t="shared" ca="1" si="60"/>
        <v/>
      </c>
      <c r="AD246" s="17" t="str">
        <f t="shared" ca="1" si="61"/>
        <v/>
      </c>
      <c r="AE246" s="17" t="str">
        <f t="shared" si="62"/>
        <v/>
      </c>
      <c r="AF246" s="17" t="str">
        <f t="shared" si="63"/>
        <v/>
      </c>
      <c r="AG246" s="17" t="str">
        <f t="shared" si="64"/>
        <v/>
      </c>
      <c r="AH246" s="17">
        <f t="shared" si="65"/>
        <v>0</v>
      </c>
      <c r="AI246" s="17" t="str">
        <f t="shared" ca="1" si="66"/>
        <v/>
      </c>
      <c r="AJ246" s="17" t="str">
        <f t="shared" ca="1" si="67"/>
        <v/>
      </c>
      <c r="AK246" s="17" t="str">
        <f t="shared" si="68"/>
        <v/>
      </c>
      <c r="AL246" s="17" t="str">
        <f t="shared" ca="1" si="69"/>
        <v/>
      </c>
      <c r="AN246" s="24">
        <f t="shared" si="70"/>
        <v>0</v>
      </c>
      <c r="AO246" s="24">
        <f t="shared" si="71"/>
        <v>0</v>
      </c>
      <c r="AP246" s="24">
        <f t="shared" si="72"/>
        <v>0</v>
      </c>
      <c r="AQ246" s="24">
        <f t="shared" si="73"/>
        <v>0</v>
      </c>
      <c r="AR246" s="24">
        <f t="shared" si="74"/>
        <v>0</v>
      </c>
      <c r="AS246" s="24">
        <f t="shared" si="75"/>
        <v>0</v>
      </c>
    </row>
    <row r="247" spans="1:45" x14ac:dyDescent="0.25">
      <c r="A247" s="83"/>
      <c r="B247" s="83"/>
      <c r="C247" s="83"/>
      <c r="D247" s="15"/>
      <c r="E247" s="15"/>
      <c r="F247" s="83"/>
      <c r="G247" s="83"/>
      <c r="H247" s="16"/>
      <c r="I247" s="83"/>
      <c r="J247" s="83"/>
      <c r="K247" s="16"/>
      <c r="L247" s="15"/>
      <c r="M247" s="20"/>
      <c r="N247" s="15"/>
      <c r="O247" s="20"/>
      <c r="P247" s="15"/>
      <c r="Q247" s="15"/>
      <c r="R247" s="17" t="str">
        <f>IF(Q247="","",VLOOKUP(Q247,'References (2)'!C:D,2,0))</f>
        <v/>
      </c>
      <c r="S247" s="17" t="str">
        <f>IF(Q247="","",VLOOKUP(Q247,'References (2)'!C:F,4,0))</f>
        <v/>
      </c>
      <c r="T247" s="16"/>
      <c r="U247" s="20"/>
      <c r="V247" s="15"/>
      <c r="W247" s="22"/>
      <c r="X247" s="16"/>
      <c r="Y247" s="22"/>
      <c r="Z247" s="25" t="str">
        <f t="shared" si="57"/>
        <v/>
      </c>
      <c r="AA247" s="17" t="str">
        <f t="shared" ca="1" si="58"/>
        <v/>
      </c>
      <c r="AB247" s="17" t="str">
        <f t="shared" ca="1" si="59"/>
        <v/>
      </c>
      <c r="AC247" s="17" t="str">
        <f t="shared" ca="1" si="60"/>
        <v/>
      </c>
      <c r="AD247" s="17" t="str">
        <f t="shared" ca="1" si="61"/>
        <v/>
      </c>
      <c r="AE247" s="17" t="str">
        <f t="shared" si="62"/>
        <v/>
      </c>
      <c r="AF247" s="17" t="str">
        <f t="shared" si="63"/>
        <v/>
      </c>
      <c r="AG247" s="17" t="str">
        <f t="shared" si="64"/>
        <v/>
      </c>
      <c r="AH247" s="17">
        <f t="shared" si="65"/>
        <v>0</v>
      </c>
      <c r="AI247" s="17" t="str">
        <f t="shared" ca="1" si="66"/>
        <v/>
      </c>
      <c r="AJ247" s="17" t="str">
        <f t="shared" ca="1" si="67"/>
        <v/>
      </c>
      <c r="AK247" s="17" t="str">
        <f t="shared" si="68"/>
        <v/>
      </c>
      <c r="AL247" s="17" t="str">
        <f t="shared" ca="1" si="69"/>
        <v/>
      </c>
      <c r="AN247" s="24">
        <f t="shared" si="70"/>
        <v>0</v>
      </c>
      <c r="AO247" s="24">
        <f t="shared" si="71"/>
        <v>0</v>
      </c>
      <c r="AP247" s="24">
        <f t="shared" si="72"/>
        <v>0</v>
      </c>
      <c r="AQ247" s="24">
        <f t="shared" si="73"/>
        <v>0</v>
      </c>
      <c r="AR247" s="24">
        <f t="shared" si="74"/>
        <v>0</v>
      </c>
      <c r="AS247" s="24">
        <f t="shared" si="75"/>
        <v>0</v>
      </c>
    </row>
    <row r="248" spans="1:45" x14ac:dyDescent="0.25">
      <c r="A248" s="83"/>
      <c r="B248" s="83"/>
      <c r="C248" s="83"/>
      <c r="D248" s="15"/>
      <c r="E248" s="15"/>
      <c r="F248" s="83"/>
      <c r="G248" s="83"/>
      <c r="H248" s="16"/>
      <c r="I248" s="83"/>
      <c r="J248" s="83"/>
      <c r="K248" s="16"/>
      <c r="L248" s="15"/>
      <c r="M248" s="20"/>
      <c r="N248" s="15"/>
      <c r="O248" s="20"/>
      <c r="P248" s="15"/>
      <c r="Q248" s="15"/>
      <c r="R248" s="17" t="str">
        <f>IF(Q248="","",VLOOKUP(Q248,'References (2)'!C:D,2,0))</f>
        <v/>
      </c>
      <c r="S248" s="17" t="str">
        <f>IF(Q248="","",VLOOKUP(Q248,'References (2)'!C:F,4,0))</f>
        <v/>
      </c>
      <c r="T248" s="16"/>
      <c r="U248" s="20"/>
      <c r="V248" s="15"/>
      <c r="W248" s="22"/>
      <c r="X248" s="16"/>
      <c r="Y248" s="22"/>
      <c r="Z248" s="25" t="str">
        <f t="shared" si="57"/>
        <v/>
      </c>
      <c r="AA248" s="17" t="str">
        <f t="shared" ca="1" si="58"/>
        <v/>
      </c>
      <c r="AB248" s="17" t="str">
        <f t="shared" ca="1" si="59"/>
        <v/>
      </c>
      <c r="AC248" s="17" t="str">
        <f t="shared" ca="1" si="60"/>
        <v/>
      </c>
      <c r="AD248" s="17" t="str">
        <f t="shared" ca="1" si="61"/>
        <v/>
      </c>
      <c r="AE248" s="17" t="str">
        <f t="shared" si="62"/>
        <v/>
      </c>
      <c r="AF248" s="17" t="str">
        <f t="shared" si="63"/>
        <v/>
      </c>
      <c r="AG248" s="17" t="str">
        <f t="shared" si="64"/>
        <v/>
      </c>
      <c r="AH248" s="17">
        <f t="shared" si="65"/>
        <v>0</v>
      </c>
      <c r="AI248" s="17" t="str">
        <f t="shared" ca="1" si="66"/>
        <v/>
      </c>
      <c r="AJ248" s="17" t="str">
        <f t="shared" ca="1" si="67"/>
        <v/>
      </c>
      <c r="AK248" s="17" t="str">
        <f t="shared" si="68"/>
        <v/>
      </c>
      <c r="AL248" s="17" t="str">
        <f t="shared" ca="1" si="69"/>
        <v/>
      </c>
      <c r="AN248" s="24">
        <f t="shared" si="70"/>
        <v>0</v>
      </c>
      <c r="AO248" s="24">
        <f t="shared" si="71"/>
        <v>0</v>
      </c>
      <c r="AP248" s="24">
        <f t="shared" si="72"/>
        <v>0</v>
      </c>
      <c r="AQ248" s="24">
        <f t="shared" si="73"/>
        <v>0</v>
      </c>
      <c r="AR248" s="24">
        <f t="shared" si="74"/>
        <v>0</v>
      </c>
      <c r="AS248" s="24">
        <f t="shared" si="75"/>
        <v>0</v>
      </c>
    </row>
    <row r="249" spans="1:45" x14ac:dyDescent="0.25">
      <c r="A249" s="83"/>
      <c r="B249" s="83"/>
      <c r="C249" s="83"/>
      <c r="D249" s="15"/>
      <c r="E249" s="15"/>
      <c r="F249" s="83"/>
      <c r="G249" s="83"/>
      <c r="H249" s="16"/>
      <c r="I249" s="83"/>
      <c r="J249" s="83"/>
      <c r="K249" s="16"/>
      <c r="L249" s="15"/>
      <c r="M249" s="20"/>
      <c r="N249" s="15"/>
      <c r="O249" s="20"/>
      <c r="P249" s="15"/>
      <c r="Q249" s="15"/>
      <c r="R249" s="17" t="str">
        <f>IF(Q249="","",VLOOKUP(Q249,'References (2)'!C:D,2,0))</f>
        <v/>
      </c>
      <c r="S249" s="17" t="str">
        <f>IF(Q249="","",VLOOKUP(Q249,'References (2)'!C:F,4,0))</f>
        <v/>
      </c>
      <c r="T249" s="16"/>
      <c r="U249" s="20"/>
      <c r="V249" s="15"/>
      <c r="W249" s="22"/>
      <c r="X249" s="16"/>
      <c r="Y249" s="22"/>
      <c r="Z249" s="25" t="str">
        <f t="shared" si="57"/>
        <v/>
      </c>
      <c r="AA249" s="17" t="str">
        <f t="shared" ca="1" si="58"/>
        <v/>
      </c>
      <c r="AB249" s="17" t="str">
        <f t="shared" ca="1" si="59"/>
        <v/>
      </c>
      <c r="AC249" s="17" t="str">
        <f t="shared" ca="1" si="60"/>
        <v/>
      </c>
      <c r="AD249" s="17" t="str">
        <f t="shared" ca="1" si="61"/>
        <v/>
      </c>
      <c r="AE249" s="17" t="str">
        <f t="shared" si="62"/>
        <v/>
      </c>
      <c r="AF249" s="17" t="str">
        <f t="shared" si="63"/>
        <v/>
      </c>
      <c r="AG249" s="17" t="str">
        <f t="shared" si="64"/>
        <v/>
      </c>
      <c r="AH249" s="17">
        <f t="shared" si="65"/>
        <v>0</v>
      </c>
      <c r="AI249" s="17" t="str">
        <f t="shared" ca="1" si="66"/>
        <v/>
      </c>
      <c r="AJ249" s="17" t="str">
        <f t="shared" ca="1" si="67"/>
        <v/>
      </c>
      <c r="AK249" s="17" t="str">
        <f t="shared" si="68"/>
        <v/>
      </c>
      <c r="AL249" s="17" t="str">
        <f t="shared" ca="1" si="69"/>
        <v/>
      </c>
      <c r="AN249" s="24">
        <f t="shared" si="70"/>
        <v>0</v>
      </c>
      <c r="AO249" s="24">
        <f t="shared" si="71"/>
        <v>0</v>
      </c>
      <c r="AP249" s="24">
        <f t="shared" si="72"/>
        <v>0</v>
      </c>
      <c r="AQ249" s="24">
        <f t="shared" si="73"/>
        <v>0</v>
      </c>
      <c r="AR249" s="24">
        <f t="shared" si="74"/>
        <v>0</v>
      </c>
      <c r="AS249" s="24">
        <f t="shared" si="75"/>
        <v>0</v>
      </c>
    </row>
    <row r="250" spans="1:45" x14ac:dyDescent="0.25">
      <c r="A250" s="83"/>
      <c r="B250" s="83"/>
      <c r="C250" s="83"/>
      <c r="D250" s="15"/>
      <c r="E250" s="15"/>
      <c r="F250" s="83"/>
      <c r="G250" s="83"/>
      <c r="H250" s="16"/>
      <c r="I250" s="83"/>
      <c r="J250" s="83"/>
      <c r="K250" s="16"/>
      <c r="L250" s="15"/>
      <c r="M250" s="20"/>
      <c r="N250" s="15"/>
      <c r="O250" s="20"/>
      <c r="P250" s="15"/>
      <c r="Q250" s="15"/>
      <c r="R250" s="17" t="str">
        <f>IF(Q250="","",VLOOKUP(Q250,'References (2)'!C:D,2,0))</f>
        <v/>
      </c>
      <c r="S250" s="17" t="str">
        <f>IF(Q250="","",VLOOKUP(Q250,'References (2)'!C:F,4,0))</f>
        <v/>
      </c>
      <c r="T250" s="16"/>
      <c r="U250" s="20"/>
      <c r="V250" s="15"/>
      <c r="W250" s="22"/>
      <c r="X250" s="16"/>
      <c r="Y250" s="22"/>
      <c r="Z250" s="25" t="str">
        <f t="shared" si="57"/>
        <v/>
      </c>
      <c r="AA250" s="17" t="str">
        <f t="shared" ca="1" si="58"/>
        <v/>
      </c>
      <c r="AB250" s="17" t="str">
        <f t="shared" ca="1" si="59"/>
        <v/>
      </c>
      <c r="AC250" s="17" t="str">
        <f t="shared" ca="1" si="60"/>
        <v/>
      </c>
      <c r="AD250" s="17" t="str">
        <f t="shared" ca="1" si="61"/>
        <v/>
      </c>
      <c r="AE250" s="17" t="str">
        <f t="shared" si="62"/>
        <v/>
      </c>
      <c r="AF250" s="17" t="str">
        <f t="shared" si="63"/>
        <v/>
      </c>
      <c r="AG250" s="17" t="str">
        <f t="shared" si="64"/>
        <v/>
      </c>
      <c r="AH250" s="17">
        <f t="shared" si="65"/>
        <v>0</v>
      </c>
      <c r="AI250" s="17" t="str">
        <f t="shared" ca="1" si="66"/>
        <v/>
      </c>
      <c r="AJ250" s="17" t="str">
        <f t="shared" ca="1" si="67"/>
        <v/>
      </c>
      <c r="AK250" s="17" t="str">
        <f t="shared" si="68"/>
        <v/>
      </c>
      <c r="AL250" s="17" t="str">
        <f t="shared" ca="1" si="69"/>
        <v/>
      </c>
      <c r="AN250" s="24">
        <f t="shared" si="70"/>
        <v>0</v>
      </c>
      <c r="AO250" s="24">
        <f t="shared" si="71"/>
        <v>0</v>
      </c>
      <c r="AP250" s="24">
        <f t="shared" si="72"/>
        <v>0</v>
      </c>
      <c r="AQ250" s="24">
        <f t="shared" si="73"/>
        <v>0</v>
      </c>
      <c r="AR250" s="24">
        <f t="shared" si="74"/>
        <v>0</v>
      </c>
      <c r="AS250" s="24">
        <f t="shared" si="75"/>
        <v>0</v>
      </c>
    </row>
    <row r="251" spans="1:45" x14ac:dyDescent="0.25">
      <c r="A251" s="83"/>
      <c r="B251" s="83"/>
      <c r="C251" s="83"/>
      <c r="D251" s="15"/>
      <c r="E251" s="15"/>
      <c r="F251" s="83"/>
      <c r="G251" s="83"/>
      <c r="H251" s="16"/>
      <c r="I251" s="83"/>
      <c r="J251" s="83"/>
      <c r="K251" s="16"/>
      <c r="L251" s="15"/>
      <c r="M251" s="20"/>
      <c r="N251" s="15"/>
      <c r="O251" s="20"/>
      <c r="P251" s="15"/>
      <c r="Q251" s="15"/>
      <c r="R251" s="17" t="str">
        <f>IF(Q251="","",VLOOKUP(Q251,'References (2)'!C:D,2,0))</f>
        <v/>
      </c>
      <c r="S251" s="17" t="str">
        <f>IF(Q251="","",VLOOKUP(Q251,'References (2)'!C:F,4,0))</f>
        <v/>
      </c>
      <c r="T251" s="16"/>
      <c r="U251" s="20"/>
      <c r="V251" s="15"/>
      <c r="W251" s="22"/>
      <c r="X251" s="16"/>
      <c r="Y251" s="22"/>
      <c r="Z251" s="25" t="str">
        <f t="shared" si="57"/>
        <v/>
      </c>
      <c r="AA251" s="17" t="str">
        <f t="shared" ca="1" si="58"/>
        <v/>
      </c>
      <c r="AB251" s="17" t="str">
        <f t="shared" ca="1" si="59"/>
        <v/>
      </c>
      <c r="AC251" s="17" t="str">
        <f t="shared" ca="1" si="60"/>
        <v/>
      </c>
      <c r="AD251" s="17" t="str">
        <f t="shared" ca="1" si="61"/>
        <v/>
      </c>
      <c r="AE251" s="17" t="str">
        <f t="shared" si="62"/>
        <v/>
      </c>
      <c r="AF251" s="17" t="str">
        <f t="shared" si="63"/>
        <v/>
      </c>
      <c r="AG251" s="17" t="str">
        <f t="shared" si="64"/>
        <v/>
      </c>
      <c r="AH251" s="17">
        <f t="shared" si="65"/>
        <v>0</v>
      </c>
      <c r="AI251" s="17" t="str">
        <f t="shared" ca="1" si="66"/>
        <v/>
      </c>
      <c r="AJ251" s="17" t="str">
        <f t="shared" ca="1" si="67"/>
        <v/>
      </c>
      <c r="AK251" s="17" t="str">
        <f t="shared" si="68"/>
        <v/>
      </c>
      <c r="AL251" s="17" t="str">
        <f t="shared" ca="1" si="69"/>
        <v/>
      </c>
      <c r="AN251" s="24">
        <f t="shared" si="70"/>
        <v>0</v>
      </c>
      <c r="AO251" s="24">
        <f t="shared" si="71"/>
        <v>0</v>
      </c>
      <c r="AP251" s="24">
        <f t="shared" si="72"/>
        <v>0</v>
      </c>
      <c r="AQ251" s="24">
        <f t="shared" si="73"/>
        <v>0</v>
      </c>
      <c r="AR251" s="24">
        <f t="shared" si="74"/>
        <v>0</v>
      </c>
      <c r="AS251" s="24">
        <f t="shared" si="75"/>
        <v>0</v>
      </c>
    </row>
    <row r="252" spans="1:45" x14ac:dyDescent="0.25">
      <c r="A252" s="83"/>
      <c r="B252" s="83"/>
      <c r="C252" s="83"/>
      <c r="D252" s="15"/>
      <c r="E252" s="15"/>
      <c r="F252" s="83"/>
      <c r="G252" s="83"/>
      <c r="H252" s="16"/>
      <c r="I252" s="83"/>
      <c r="J252" s="83"/>
      <c r="K252" s="16"/>
      <c r="L252" s="15"/>
      <c r="M252" s="20"/>
      <c r="N252" s="15"/>
      <c r="O252" s="20"/>
      <c r="P252" s="15"/>
      <c r="Q252" s="15"/>
      <c r="R252" s="17" t="str">
        <f>IF(Q252="","",VLOOKUP(Q252,'References (2)'!C:D,2,0))</f>
        <v/>
      </c>
      <c r="S252" s="17" t="str">
        <f>IF(Q252="","",VLOOKUP(Q252,'References (2)'!C:F,4,0))</f>
        <v/>
      </c>
      <c r="T252" s="16"/>
      <c r="U252" s="20"/>
      <c r="V252" s="15"/>
      <c r="W252" s="22"/>
      <c r="X252" s="16"/>
      <c r="Y252" s="22"/>
      <c r="Z252" s="25" t="str">
        <f t="shared" si="57"/>
        <v/>
      </c>
      <c r="AA252" s="17" t="str">
        <f t="shared" ca="1" si="58"/>
        <v/>
      </c>
      <c r="AB252" s="17" t="str">
        <f t="shared" ca="1" si="59"/>
        <v/>
      </c>
      <c r="AC252" s="17" t="str">
        <f t="shared" ca="1" si="60"/>
        <v/>
      </c>
      <c r="AD252" s="17" t="str">
        <f t="shared" ca="1" si="61"/>
        <v/>
      </c>
      <c r="AE252" s="17" t="str">
        <f t="shared" si="62"/>
        <v/>
      </c>
      <c r="AF252" s="17" t="str">
        <f t="shared" si="63"/>
        <v/>
      </c>
      <c r="AG252" s="17" t="str">
        <f t="shared" si="64"/>
        <v/>
      </c>
      <c r="AH252" s="17">
        <f t="shared" si="65"/>
        <v>0</v>
      </c>
      <c r="AI252" s="17" t="str">
        <f t="shared" ca="1" si="66"/>
        <v/>
      </c>
      <c r="AJ252" s="17" t="str">
        <f t="shared" ca="1" si="67"/>
        <v/>
      </c>
      <c r="AK252" s="17" t="str">
        <f t="shared" si="68"/>
        <v/>
      </c>
      <c r="AL252" s="17" t="str">
        <f t="shared" ca="1" si="69"/>
        <v/>
      </c>
      <c r="AN252" s="24">
        <f t="shared" si="70"/>
        <v>0</v>
      </c>
      <c r="AO252" s="24">
        <f t="shared" si="71"/>
        <v>0</v>
      </c>
      <c r="AP252" s="24">
        <f t="shared" si="72"/>
        <v>0</v>
      </c>
      <c r="AQ252" s="24">
        <f t="shared" si="73"/>
        <v>0</v>
      </c>
      <c r="AR252" s="24">
        <f t="shared" si="74"/>
        <v>0</v>
      </c>
      <c r="AS252" s="24">
        <f t="shared" si="75"/>
        <v>0</v>
      </c>
    </row>
    <row r="253" spans="1:45" x14ac:dyDescent="0.25">
      <c r="A253" s="83"/>
      <c r="B253" s="83"/>
      <c r="C253" s="83"/>
      <c r="D253" s="15"/>
      <c r="E253" s="15"/>
      <c r="F253" s="83"/>
      <c r="G253" s="83"/>
      <c r="H253" s="16"/>
      <c r="I253" s="83"/>
      <c r="J253" s="83"/>
      <c r="K253" s="16"/>
      <c r="L253" s="15"/>
      <c r="M253" s="20"/>
      <c r="N253" s="15"/>
      <c r="O253" s="20"/>
      <c r="P253" s="15"/>
      <c r="Q253" s="15"/>
      <c r="R253" s="17" t="str">
        <f>IF(Q253="","",VLOOKUP(Q253,'References (2)'!C:D,2,0))</f>
        <v/>
      </c>
      <c r="S253" s="17" t="str">
        <f>IF(Q253="","",VLOOKUP(Q253,'References (2)'!C:F,4,0))</f>
        <v/>
      </c>
      <c r="T253" s="16"/>
      <c r="U253" s="20"/>
      <c r="V253" s="15"/>
      <c r="W253" s="22"/>
      <c r="X253" s="16"/>
      <c r="Y253" s="22"/>
      <c r="Z253" s="25" t="str">
        <f t="shared" si="57"/>
        <v/>
      </c>
      <c r="AA253" s="17" t="str">
        <f t="shared" ca="1" si="58"/>
        <v/>
      </c>
      <c r="AB253" s="17" t="str">
        <f t="shared" ca="1" si="59"/>
        <v/>
      </c>
      <c r="AC253" s="17" t="str">
        <f t="shared" ca="1" si="60"/>
        <v/>
      </c>
      <c r="AD253" s="17" t="str">
        <f t="shared" ca="1" si="61"/>
        <v/>
      </c>
      <c r="AE253" s="17" t="str">
        <f t="shared" si="62"/>
        <v/>
      </c>
      <c r="AF253" s="17" t="str">
        <f t="shared" si="63"/>
        <v/>
      </c>
      <c r="AG253" s="17" t="str">
        <f t="shared" si="64"/>
        <v/>
      </c>
      <c r="AH253" s="17">
        <f t="shared" si="65"/>
        <v>0</v>
      </c>
      <c r="AI253" s="17" t="str">
        <f t="shared" ca="1" si="66"/>
        <v/>
      </c>
      <c r="AJ253" s="17" t="str">
        <f t="shared" ca="1" si="67"/>
        <v/>
      </c>
      <c r="AK253" s="17" t="str">
        <f t="shared" si="68"/>
        <v/>
      </c>
      <c r="AL253" s="17" t="str">
        <f t="shared" ca="1" si="69"/>
        <v/>
      </c>
      <c r="AN253" s="24">
        <f t="shared" si="70"/>
        <v>0</v>
      </c>
      <c r="AO253" s="24">
        <f t="shared" si="71"/>
        <v>0</v>
      </c>
      <c r="AP253" s="24">
        <f t="shared" si="72"/>
        <v>0</v>
      </c>
      <c r="AQ253" s="24">
        <f t="shared" si="73"/>
        <v>0</v>
      </c>
      <c r="AR253" s="24">
        <f t="shared" si="74"/>
        <v>0</v>
      </c>
      <c r="AS253" s="24">
        <f t="shared" si="75"/>
        <v>0</v>
      </c>
    </row>
    <row r="254" spans="1:45" x14ac:dyDescent="0.25">
      <c r="A254" s="83"/>
      <c r="B254" s="83"/>
      <c r="C254" s="83"/>
      <c r="D254" s="15"/>
      <c r="E254" s="15"/>
      <c r="F254" s="83"/>
      <c r="G254" s="83"/>
      <c r="H254" s="16"/>
      <c r="I254" s="83"/>
      <c r="J254" s="83"/>
      <c r="K254" s="16"/>
      <c r="L254" s="15"/>
      <c r="M254" s="20"/>
      <c r="N254" s="15"/>
      <c r="O254" s="20"/>
      <c r="P254" s="15"/>
      <c r="Q254" s="15"/>
      <c r="R254" s="17" t="str">
        <f>IF(Q254="","",VLOOKUP(Q254,'References (2)'!C:D,2,0))</f>
        <v/>
      </c>
      <c r="S254" s="17" t="str">
        <f>IF(Q254="","",VLOOKUP(Q254,'References (2)'!C:F,4,0))</f>
        <v/>
      </c>
      <c r="T254" s="16"/>
      <c r="U254" s="20"/>
      <c r="V254" s="15"/>
      <c r="W254" s="22"/>
      <c r="X254" s="16"/>
      <c r="Y254" s="22"/>
      <c r="Z254" s="25" t="str">
        <f t="shared" si="57"/>
        <v/>
      </c>
      <c r="AA254" s="17" t="str">
        <f t="shared" ca="1" si="58"/>
        <v/>
      </c>
      <c r="AB254" s="17" t="str">
        <f t="shared" ca="1" si="59"/>
        <v/>
      </c>
      <c r="AC254" s="17" t="str">
        <f t="shared" ca="1" si="60"/>
        <v/>
      </c>
      <c r="AD254" s="17" t="str">
        <f t="shared" ca="1" si="61"/>
        <v/>
      </c>
      <c r="AE254" s="17" t="str">
        <f t="shared" si="62"/>
        <v/>
      </c>
      <c r="AF254" s="17" t="str">
        <f t="shared" si="63"/>
        <v/>
      </c>
      <c r="AG254" s="17" t="str">
        <f t="shared" si="64"/>
        <v/>
      </c>
      <c r="AH254" s="17">
        <f t="shared" si="65"/>
        <v>0</v>
      </c>
      <c r="AI254" s="17" t="str">
        <f t="shared" ca="1" si="66"/>
        <v/>
      </c>
      <c r="AJ254" s="17" t="str">
        <f t="shared" ca="1" si="67"/>
        <v/>
      </c>
      <c r="AK254" s="17" t="str">
        <f t="shared" si="68"/>
        <v/>
      </c>
      <c r="AL254" s="17" t="str">
        <f t="shared" ca="1" si="69"/>
        <v/>
      </c>
      <c r="AN254" s="24">
        <f t="shared" si="70"/>
        <v>0</v>
      </c>
      <c r="AO254" s="24">
        <f t="shared" si="71"/>
        <v>0</v>
      </c>
      <c r="AP254" s="24">
        <f t="shared" si="72"/>
        <v>0</v>
      </c>
      <c r="AQ254" s="24">
        <f t="shared" si="73"/>
        <v>0</v>
      </c>
      <c r="AR254" s="24">
        <f t="shared" si="74"/>
        <v>0</v>
      </c>
      <c r="AS254" s="24">
        <f t="shared" si="75"/>
        <v>0</v>
      </c>
    </row>
    <row r="255" spans="1:45" x14ac:dyDescent="0.25">
      <c r="A255" s="83"/>
      <c r="B255" s="83"/>
      <c r="C255" s="83"/>
      <c r="D255" s="15"/>
      <c r="E255" s="15"/>
      <c r="F255" s="83"/>
      <c r="G255" s="83"/>
      <c r="H255" s="16"/>
      <c r="I255" s="83"/>
      <c r="J255" s="83"/>
      <c r="K255" s="16"/>
      <c r="L255" s="15"/>
      <c r="M255" s="20"/>
      <c r="N255" s="15"/>
      <c r="O255" s="20"/>
      <c r="P255" s="15"/>
      <c r="Q255" s="15"/>
      <c r="R255" s="17" t="str">
        <f>IF(Q255="","",VLOOKUP(Q255,'References (2)'!C:D,2,0))</f>
        <v/>
      </c>
      <c r="S255" s="17" t="str">
        <f>IF(Q255="","",VLOOKUP(Q255,'References (2)'!C:F,4,0))</f>
        <v/>
      </c>
      <c r="T255" s="16"/>
      <c r="U255" s="20"/>
      <c r="V255" s="15"/>
      <c r="W255" s="22"/>
      <c r="X255" s="16"/>
      <c r="Y255" s="22"/>
      <c r="Z255" s="25" t="str">
        <f t="shared" si="57"/>
        <v/>
      </c>
      <c r="AA255" s="17" t="str">
        <f t="shared" ca="1" si="58"/>
        <v/>
      </c>
      <c r="AB255" s="17" t="str">
        <f t="shared" ca="1" si="59"/>
        <v/>
      </c>
      <c r="AC255" s="17" t="str">
        <f t="shared" ca="1" si="60"/>
        <v/>
      </c>
      <c r="AD255" s="17" t="str">
        <f t="shared" ca="1" si="61"/>
        <v/>
      </c>
      <c r="AE255" s="17" t="str">
        <f t="shared" si="62"/>
        <v/>
      </c>
      <c r="AF255" s="17" t="str">
        <f t="shared" si="63"/>
        <v/>
      </c>
      <c r="AG255" s="17" t="str">
        <f t="shared" si="64"/>
        <v/>
      </c>
      <c r="AH255" s="17">
        <f t="shared" si="65"/>
        <v>0</v>
      </c>
      <c r="AI255" s="17" t="str">
        <f t="shared" ca="1" si="66"/>
        <v/>
      </c>
      <c r="AJ255" s="17" t="str">
        <f t="shared" ca="1" si="67"/>
        <v/>
      </c>
      <c r="AK255" s="17" t="str">
        <f t="shared" si="68"/>
        <v/>
      </c>
      <c r="AL255" s="17" t="str">
        <f t="shared" ca="1" si="69"/>
        <v/>
      </c>
      <c r="AN255" s="24">
        <f t="shared" si="70"/>
        <v>0</v>
      </c>
      <c r="AO255" s="24">
        <f t="shared" si="71"/>
        <v>0</v>
      </c>
      <c r="AP255" s="24">
        <f t="shared" si="72"/>
        <v>0</v>
      </c>
      <c r="AQ255" s="24">
        <f t="shared" si="73"/>
        <v>0</v>
      </c>
      <c r="AR255" s="24">
        <f t="shared" si="74"/>
        <v>0</v>
      </c>
      <c r="AS255" s="24">
        <f t="shared" si="75"/>
        <v>0</v>
      </c>
    </row>
    <row r="256" spans="1:45" x14ac:dyDescent="0.25">
      <c r="A256" s="83"/>
      <c r="B256" s="83"/>
      <c r="C256" s="83"/>
      <c r="D256" s="15"/>
      <c r="E256" s="15"/>
      <c r="F256" s="83"/>
      <c r="G256" s="83"/>
      <c r="H256" s="16"/>
      <c r="I256" s="83"/>
      <c r="J256" s="83"/>
      <c r="K256" s="16"/>
      <c r="L256" s="15"/>
      <c r="M256" s="20"/>
      <c r="N256" s="15"/>
      <c r="O256" s="20"/>
      <c r="P256" s="15"/>
      <c r="Q256" s="15"/>
      <c r="R256" s="17" t="str">
        <f>IF(Q256="","",VLOOKUP(Q256,'References (2)'!C:D,2,0))</f>
        <v/>
      </c>
      <c r="S256" s="17" t="str">
        <f>IF(Q256="","",VLOOKUP(Q256,'References (2)'!C:F,4,0))</f>
        <v/>
      </c>
      <c r="T256" s="16"/>
      <c r="U256" s="20"/>
      <c r="V256" s="15"/>
      <c r="W256" s="22"/>
      <c r="X256" s="16"/>
      <c r="Y256" s="22"/>
      <c r="Z256" s="25" t="str">
        <f t="shared" si="57"/>
        <v/>
      </c>
      <c r="AA256" s="17" t="str">
        <f t="shared" ca="1" si="58"/>
        <v/>
      </c>
      <c r="AB256" s="17" t="str">
        <f t="shared" ca="1" si="59"/>
        <v/>
      </c>
      <c r="AC256" s="17" t="str">
        <f t="shared" ca="1" si="60"/>
        <v/>
      </c>
      <c r="AD256" s="17" t="str">
        <f t="shared" ca="1" si="61"/>
        <v/>
      </c>
      <c r="AE256" s="17" t="str">
        <f t="shared" si="62"/>
        <v/>
      </c>
      <c r="AF256" s="17" t="str">
        <f t="shared" si="63"/>
        <v/>
      </c>
      <c r="AG256" s="17" t="str">
        <f t="shared" si="64"/>
        <v/>
      </c>
      <c r="AH256" s="17">
        <f t="shared" si="65"/>
        <v>0</v>
      </c>
      <c r="AI256" s="17" t="str">
        <f t="shared" ca="1" si="66"/>
        <v/>
      </c>
      <c r="AJ256" s="17" t="str">
        <f t="shared" ca="1" si="67"/>
        <v/>
      </c>
      <c r="AK256" s="17" t="str">
        <f t="shared" si="68"/>
        <v/>
      </c>
      <c r="AL256" s="17" t="str">
        <f t="shared" ca="1" si="69"/>
        <v/>
      </c>
      <c r="AN256" s="24">
        <f t="shared" si="70"/>
        <v>0</v>
      </c>
      <c r="AO256" s="24">
        <f t="shared" si="71"/>
        <v>0</v>
      </c>
      <c r="AP256" s="24">
        <f t="shared" si="72"/>
        <v>0</v>
      </c>
      <c r="AQ256" s="24">
        <f t="shared" si="73"/>
        <v>0</v>
      </c>
      <c r="AR256" s="24">
        <f t="shared" si="74"/>
        <v>0</v>
      </c>
      <c r="AS256" s="24">
        <f t="shared" si="75"/>
        <v>0</v>
      </c>
    </row>
    <row r="257" spans="1:45" x14ac:dyDescent="0.25">
      <c r="A257" s="83"/>
      <c r="B257" s="83"/>
      <c r="C257" s="83"/>
      <c r="D257" s="15"/>
      <c r="E257" s="15"/>
      <c r="F257" s="83"/>
      <c r="G257" s="83"/>
      <c r="H257" s="16"/>
      <c r="I257" s="83"/>
      <c r="J257" s="83"/>
      <c r="K257" s="16"/>
      <c r="L257" s="15"/>
      <c r="M257" s="20"/>
      <c r="N257" s="15"/>
      <c r="O257" s="20"/>
      <c r="P257" s="15"/>
      <c r="Q257" s="15"/>
      <c r="R257" s="17" t="str">
        <f>IF(Q257="","",VLOOKUP(Q257,'References (2)'!C:D,2,0))</f>
        <v/>
      </c>
      <c r="S257" s="17" t="str">
        <f>IF(Q257="","",VLOOKUP(Q257,'References (2)'!C:F,4,0))</f>
        <v/>
      </c>
      <c r="T257" s="16"/>
      <c r="U257" s="20"/>
      <c r="V257" s="15"/>
      <c r="W257" s="22"/>
      <c r="X257" s="16"/>
      <c r="Y257" s="22"/>
      <c r="Z257" s="25" t="str">
        <f t="shared" si="57"/>
        <v/>
      </c>
      <c r="AA257" s="17" t="str">
        <f t="shared" ca="1" si="58"/>
        <v/>
      </c>
      <c r="AB257" s="17" t="str">
        <f t="shared" ca="1" si="59"/>
        <v/>
      </c>
      <c r="AC257" s="17" t="str">
        <f t="shared" ca="1" si="60"/>
        <v/>
      </c>
      <c r="AD257" s="17" t="str">
        <f t="shared" ca="1" si="61"/>
        <v/>
      </c>
      <c r="AE257" s="17" t="str">
        <f t="shared" si="62"/>
        <v/>
      </c>
      <c r="AF257" s="17" t="str">
        <f t="shared" si="63"/>
        <v/>
      </c>
      <c r="AG257" s="17" t="str">
        <f t="shared" si="64"/>
        <v/>
      </c>
      <c r="AH257" s="17">
        <f t="shared" si="65"/>
        <v>0</v>
      </c>
      <c r="AI257" s="17" t="str">
        <f t="shared" ca="1" si="66"/>
        <v/>
      </c>
      <c r="AJ257" s="17" t="str">
        <f t="shared" ca="1" si="67"/>
        <v/>
      </c>
      <c r="AK257" s="17" t="str">
        <f t="shared" si="68"/>
        <v/>
      </c>
      <c r="AL257" s="17" t="str">
        <f t="shared" ca="1" si="69"/>
        <v/>
      </c>
      <c r="AN257" s="24">
        <f t="shared" si="70"/>
        <v>0</v>
      </c>
      <c r="AO257" s="24">
        <f t="shared" si="71"/>
        <v>0</v>
      </c>
      <c r="AP257" s="24">
        <f t="shared" si="72"/>
        <v>0</v>
      </c>
      <c r="AQ257" s="24">
        <f t="shared" si="73"/>
        <v>0</v>
      </c>
      <c r="AR257" s="24">
        <f t="shared" si="74"/>
        <v>0</v>
      </c>
      <c r="AS257" s="24">
        <f t="shared" si="75"/>
        <v>0</v>
      </c>
    </row>
    <row r="258" spans="1:45" x14ac:dyDescent="0.25">
      <c r="A258" s="83"/>
      <c r="B258" s="83"/>
      <c r="C258" s="83"/>
      <c r="D258" s="15"/>
      <c r="E258" s="15"/>
      <c r="F258" s="83"/>
      <c r="G258" s="83"/>
      <c r="H258" s="16"/>
      <c r="I258" s="83"/>
      <c r="J258" s="83"/>
      <c r="K258" s="16"/>
      <c r="L258" s="15"/>
      <c r="M258" s="20"/>
      <c r="N258" s="15"/>
      <c r="O258" s="20"/>
      <c r="P258" s="15"/>
      <c r="Q258" s="15"/>
      <c r="R258" s="17" t="str">
        <f>IF(Q258="","",VLOOKUP(Q258,'References (2)'!C:D,2,0))</f>
        <v/>
      </c>
      <c r="S258" s="17" t="str">
        <f>IF(Q258="","",VLOOKUP(Q258,'References (2)'!C:F,4,0))</f>
        <v/>
      </c>
      <c r="T258" s="16"/>
      <c r="U258" s="20"/>
      <c r="V258" s="15"/>
      <c r="W258" s="22"/>
      <c r="X258" s="16"/>
      <c r="Y258" s="22"/>
      <c r="Z258" s="25" t="str">
        <f t="shared" si="57"/>
        <v/>
      </c>
      <c r="AA258" s="17" t="str">
        <f t="shared" ca="1" si="58"/>
        <v/>
      </c>
      <c r="AB258" s="17" t="str">
        <f t="shared" ca="1" si="59"/>
        <v/>
      </c>
      <c r="AC258" s="17" t="str">
        <f t="shared" ca="1" si="60"/>
        <v/>
      </c>
      <c r="AD258" s="17" t="str">
        <f t="shared" ca="1" si="61"/>
        <v/>
      </c>
      <c r="AE258" s="17" t="str">
        <f t="shared" si="62"/>
        <v/>
      </c>
      <c r="AF258" s="17" t="str">
        <f t="shared" si="63"/>
        <v/>
      </c>
      <c r="AG258" s="17" t="str">
        <f t="shared" si="64"/>
        <v/>
      </c>
      <c r="AH258" s="17">
        <f t="shared" si="65"/>
        <v>0</v>
      </c>
      <c r="AI258" s="17" t="str">
        <f t="shared" ca="1" si="66"/>
        <v/>
      </c>
      <c r="AJ258" s="17" t="str">
        <f t="shared" ca="1" si="67"/>
        <v/>
      </c>
      <c r="AK258" s="17" t="str">
        <f t="shared" si="68"/>
        <v/>
      </c>
      <c r="AL258" s="17" t="str">
        <f t="shared" ca="1" si="69"/>
        <v/>
      </c>
      <c r="AN258" s="24">
        <f t="shared" si="70"/>
        <v>0</v>
      </c>
      <c r="AO258" s="24">
        <f t="shared" si="71"/>
        <v>0</v>
      </c>
      <c r="AP258" s="24">
        <f t="shared" si="72"/>
        <v>0</v>
      </c>
      <c r="AQ258" s="24">
        <f t="shared" si="73"/>
        <v>0</v>
      </c>
      <c r="AR258" s="24">
        <f t="shared" si="74"/>
        <v>0</v>
      </c>
      <c r="AS258" s="24">
        <f t="shared" si="75"/>
        <v>0</v>
      </c>
    </row>
    <row r="259" spans="1:45" x14ac:dyDescent="0.25">
      <c r="A259" s="83"/>
      <c r="B259" s="83"/>
      <c r="C259" s="83"/>
      <c r="D259" s="15"/>
      <c r="E259" s="15"/>
      <c r="F259" s="83"/>
      <c r="G259" s="83"/>
      <c r="H259" s="16"/>
      <c r="I259" s="83"/>
      <c r="J259" s="83"/>
      <c r="K259" s="16"/>
      <c r="L259" s="15"/>
      <c r="M259" s="20"/>
      <c r="N259" s="15"/>
      <c r="O259" s="20"/>
      <c r="P259" s="15"/>
      <c r="Q259" s="15"/>
      <c r="R259" s="17" t="str">
        <f>IF(Q259="","",VLOOKUP(Q259,'References (2)'!C:D,2,0))</f>
        <v/>
      </c>
      <c r="S259" s="17" t="str">
        <f>IF(Q259="","",VLOOKUP(Q259,'References (2)'!C:F,4,0))</f>
        <v/>
      </c>
      <c r="T259" s="16"/>
      <c r="U259" s="20"/>
      <c r="V259" s="15"/>
      <c r="W259" s="22"/>
      <c r="X259" s="16"/>
      <c r="Y259" s="22"/>
      <c r="Z259" s="25" t="str">
        <f t="shared" ref="Z259:Z322" si="76">IF(B259="","",IF(AN259=1,$AN$2,IF(AO259=1,$AO$2,IF(AP259=1,$AP$2,IF(AQ259=1,$AQ$2,IF(AR259=1,$AR$2,IF(AS259=1,$AS$2,"INCORRECT DATA INPUT")))))))</f>
        <v/>
      </c>
      <c r="AA259" s="17" t="str">
        <f t="shared" ref="AA259:AA322" ca="1" si="77">IF(I259="","",IF(M259="",TODAY()-I259,M259-I259))</f>
        <v/>
      </c>
      <c r="AB259" s="17" t="str">
        <f t="shared" ref="AB259:AB322" ca="1" si="78">IF(AA259="","",IF(AA259&lt;=0,0,AA259-1))</f>
        <v/>
      </c>
      <c r="AC259" s="17" t="str">
        <f t="shared" ref="AC259:AC322" ca="1" si="79">IF(AA259="","",IF(AA259&gt;1,"EXCEEDED SLA","WITHIN SLA"))</f>
        <v/>
      </c>
      <c r="AD259" s="17" t="str">
        <f t="shared" ref="AD259:AD322" ca="1" si="80">IF(M259="","",IF(W259="",TODAY()-M259,W259-M259))</f>
        <v/>
      </c>
      <c r="AE259" s="17" t="str">
        <f t="shared" ref="AE259:AE322" si="81">IF(M259="","",IF(S259="WFM",AD259,AD259-1))</f>
        <v/>
      </c>
      <c r="AF259" s="17" t="str">
        <f t="shared" ref="AF259:AF322" si="82">IF(AE259&lt;0,0,AE259)</f>
        <v/>
      </c>
      <c r="AG259" s="17" t="str">
        <f t="shared" ref="AG259:AG322" si="83">IF(M259="","",IF(S259="WFM","WFM SLA",IF(AE259&gt;0,"EXCEEDED SLA","WITHIN SLA")))</f>
        <v/>
      </c>
      <c r="AH259" s="17">
        <f t="shared" ref="AH259:AH322" si="84">Y259-W259</f>
        <v>0</v>
      </c>
      <c r="AI259" s="17" t="str">
        <f t="shared" ref="AI259:AI322" ca="1" si="85">IF(W259="","",IF(Y259="",TODAY()-W259-R259,Y259-W259-R259))</f>
        <v/>
      </c>
      <c r="AJ259" s="17" t="str">
        <f t="shared" ref="AJ259:AJ322" ca="1" si="86">IF(AI259&lt;=0,0,AI259)</f>
        <v/>
      </c>
      <c r="AK259" s="17" t="str">
        <f t="shared" ref="AK259:AK322" si="87">IF(W259="","",IF(AJ259&lt;1,"WITHIN SLA","EXCEEDED SLA"))</f>
        <v/>
      </c>
      <c r="AL259" s="17" t="str">
        <f t="shared" ref="AL259:AL322" ca="1" si="88">IF(B259="","",IF(K259="DONE",Y259-I259,TODAY()-I259))</f>
        <v/>
      </c>
      <c r="AN259" s="24">
        <f t="shared" ref="AN259:AN322" si="89">IF(AND(K259="DONE",Y259&gt;0,AK259="WITHIN SLA"),1,0)</f>
        <v>0</v>
      </c>
      <c r="AO259" s="24">
        <f t="shared" ref="AO259:AO322" si="90">IF(AND(K259="DONE",Y259&gt;0,AK259="EXCEEDED SLA"),1,0)</f>
        <v>0</v>
      </c>
      <c r="AP259" s="24">
        <f t="shared" ref="AP259:AP322" si="91">IF(AND(K259="PENDING",L259="AWAITING FROM CSMP"),1,0)</f>
        <v>0</v>
      </c>
      <c r="AQ259" s="24">
        <f t="shared" ref="AQ259:AQ322" si="92">IF(AND(K259="PENDING",L259="WATO ON-HAND",M259&gt;0,S259="WATO",W259=0),1,0)</f>
        <v>0</v>
      </c>
      <c r="AR259" s="24">
        <f t="shared" ref="AR259:AR322" si="93">IF(AND(K259="PENDING",L259="SUBMITTED TO WFM",M259&gt;0,S259="WFM",W259=0),1,0)</f>
        <v>0</v>
      </c>
      <c r="AS259" s="24">
        <f t="shared" ref="AS259:AS322" si="94">IF(AND(K259="PENDING",W259&gt;0),1,0)</f>
        <v>0</v>
      </c>
    </row>
    <row r="260" spans="1:45" x14ac:dyDescent="0.25">
      <c r="A260" s="83"/>
      <c r="B260" s="83"/>
      <c r="C260" s="83"/>
      <c r="D260" s="15"/>
      <c r="E260" s="15"/>
      <c r="F260" s="83"/>
      <c r="G260" s="83"/>
      <c r="H260" s="16"/>
      <c r="I260" s="83"/>
      <c r="J260" s="83"/>
      <c r="K260" s="16"/>
      <c r="L260" s="15"/>
      <c r="M260" s="20"/>
      <c r="N260" s="15"/>
      <c r="O260" s="20"/>
      <c r="P260" s="15"/>
      <c r="Q260" s="15"/>
      <c r="R260" s="17" t="str">
        <f>IF(Q260="","",VLOOKUP(Q260,'References (2)'!C:D,2,0))</f>
        <v/>
      </c>
      <c r="S260" s="17" t="str">
        <f>IF(Q260="","",VLOOKUP(Q260,'References (2)'!C:F,4,0))</f>
        <v/>
      </c>
      <c r="T260" s="16"/>
      <c r="U260" s="20"/>
      <c r="V260" s="15"/>
      <c r="W260" s="22"/>
      <c r="X260" s="16"/>
      <c r="Y260" s="22"/>
      <c r="Z260" s="25" t="str">
        <f t="shared" si="76"/>
        <v/>
      </c>
      <c r="AA260" s="17" t="str">
        <f t="shared" ca="1" si="77"/>
        <v/>
      </c>
      <c r="AB260" s="17" t="str">
        <f t="shared" ca="1" si="78"/>
        <v/>
      </c>
      <c r="AC260" s="17" t="str">
        <f t="shared" ca="1" si="79"/>
        <v/>
      </c>
      <c r="AD260" s="17" t="str">
        <f t="shared" ca="1" si="80"/>
        <v/>
      </c>
      <c r="AE260" s="17" t="str">
        <f t="shared" si="81"/>
        <v/>
      </c>
      <c r="AF260" s="17" t="str">
        <f t="shared" si="82"/>
        <v/>
      </c>
      <c r="AG260" s="17" t="str">
        <f t="shared" si="83"/>
        <v/>
      </c>
      <c r="AH260" s="17">
        <f t="shared" si="84"/>
        <v>0</v>
      </c>
      <c r="AI260" s="17" t="str">
        <f t="shared" ca="1" si="85"/>
        <v/>
      </c>
      <c r="AJ260" s="17" t="str">
        <f t="shared" ca="1" si="86"/>
        <v/>
      </c>
      <c r="AK260" s="17" t="str">
        <f t="shared" si="87"/>
        <v/>
      </c>
      <c r="AL260" s="17" t="str">
        <f t="shared" ca="1" si="88"/>
        <v/>
      </c>
      <c r="AN260" s="24">
        <f t="shared" si="89"/>
        <v>0</v>
      </c>
      <c r="AO260" s="24">
        <f t="shared" si="90"/>
        <v>0</v>
      </c>
      <c r="AP260" s="24">
        <f t="shared" si="91"/>
        <v>0</v>
      </c>
      <c r="AQ260" s="24">
        <f t="shared" si="92"/>
        <v>0</v>
      </c>
      <c r="AR260" s="24">
        <f t="shared" si="93"/>
        <v>0</v>
      </c>
      <c r="AS260" s="24">
        <f t="shared" si="94"/>
        <v>0</v>
      </c>
    </row>
    <row r="261" spans="1:45" x14ac:dyDescent="0.25">
      <c r="A261" s="83"/>
      <c r="B261" s="83"/>
      <c r="C261" s="83"/>
      <c r="D261" s="15"/>
      <c r="E261" s="15"/>
      <c r="F261" s="83"/>
      <c r="G261" s="83"/>
      <c r="H261" s="16"/>
      <c r="I261" s="83"/>
      <c r="J261" s="83"/>
      <c r="K261" s="16"/>
      <c r="L261" s="15"/>
      <c r="M261" s="20"/>
      <c r="N261" s="15"/>
      <c r="O261" s="20"/>
      <c r="P261" s="15"/>
      <c r="Q261" s="15"/>
      <c r="R261" s="17" t="str">
        <f>IF(Q261="","",VLOOKUP(Q261,'References (2)'!C:D,2,0))</f>
        <v/>
      </c>
      <c r="S261" s="17" t="str">
        <f>IF(Q261="","",VLOOKUP(Q261,'References (2)'!C:F,4,0))</f>
        <v/>
      </c>
      <c r="T261" s="16"/>
      <c r="U261" s="20"/>
      <c r="V261" s="15"/>
      <c r="W261" s="22"/>
      <c r="X261" s="16"/>
      <c r="Y261" s="22"/>
      <c r="Z261" s="25" t="str">
        <f t="shared" si="76"/>
        <v/>
      </c>
      <c r="AA261" s="17" t="str">
        <f t="shared" ca="1" si="77"/>
        <v/>
      </c>
      <c r="AB261" s="17" t="str">
        <f t="shared" ca="1" si="78"/>
        <v/>
      </c>
      <c r="AC261" s="17" t="str">
        <f t="shared" ca="1" si="79"/>
        <v/>
      </c>
      <c r="AD261" s="17" t="str">
        <f t="shared" ca="1" si="80"/>
        <v/>
      </c>
      <c r="AE261" s="17" t="str">
        <f t="shared" si="81"/>
        <v/>
      </c>
      <c r="AF261" s="17" t="str">
        <f t="shared" si="82"/>
        <v/>
      </c>
      <c r="AG261" s="17" t="str">
        <f t="shared" si="83"/>
        <v/>
      </c>
      <c r="AH261" s="17">
        <f t="shared" si="84"/>
        <v>0</v>
      </c>
      <c r="AI261" s="17" t="str">
        <f t="shared" ca="1" si="85"/>
        <v/>
      </c>
      <c r="AJ261" s="17" t="str">
        <f t="shared" ca="1" si="86"/>
        <v/>
      </c>
      <c r="AK261" s="17" t="str">
        <f t="shared" si="87"/>
        <v/>
      </c>
      <c r="AL261" s="17" t="str">
        <f t="shared" ca="1" si="88"/>
        <v/>
      </c>
      <c r="AN261" s="24">
        <f t="shared" si="89"/>
        <v>0</v>
      </c>
      <c r="AO261" s="24">
        <f t="shared" si="90"/>
        <v>0</v>
      </c>
      <c r="AP261" s="24">
        <f t="shared" si="91"/>
        <v>0</v>
      </c>
      <c r="AQ261" s="24">
        <f t="shared" si="92"/>
        <v>0</v>
      </c>
      <c r="AR261" s="24">
        <f t="shared" si="93"/>
        <v>0</v>
      </c>
      <c r="AS261" s="24">
        <f t="shared" si="94"/>
        <v>0</v>
      </c>
    </row>
    <row r="262" spans="1:45" x14ac:dyDescent="0.25">
      <c r="A262" s="83"/>
      <c r="B262" s="83"/>
      <c r="C262" s="83"/>
      <c r="D262" s="15"/>
      <c r="E262" s="15"/>
      <c r="F262" s="83"/>
      <c r="G262" s="83"/>
      <c r="H262" s="16"/>
      <c r="I262" s="83"/>
      <c r="J262" s="83"/>
      <c r="K262" s="16"/>
      <c r="L262" s="15"/>
      <c r="M262" s="20"/>
      <c r="N262" s="15"/>
      <c r="O262" s="20"/>
      <c r="P262" s="15"/>
      <c r="Q262" s="15"/>
      <c r="R262" s="17" t="str">
        <f>IF(Q262="","",VLOOKUP(Q262,'References (2)'!C:D,2,0))</f>
        <v/>
      </c>
      <c r="S262" s="17" t="str">
        <f>IF(Q262="","",VLOOKUP(Q262,'References (2)'!C:F,4,0))</f>
        <v/>
      </c>
      <c r="T262" s="16"/>
      <c r="U262" s="20"/>
      <c r="V262" s="15"/>
      <c r="W262" s="22"/>
      <c r="X262" s="16"/>
      <c r="Y262" s="22"/>
      <c r="Z262" s="25" t="str">
        <f t="shared" si="76"/>
        <v/>
      </c>
      <c r="AA262" s="17" t="str">
        <f t="shared" ca="1" si="77"/>
        <v/>
      </c>
      <c r="AB262" s="17" t="str">
        <f t="shared" ca="1" si="78"/>
        <v/>
      </c>
      <c r="AC262" s="17" t="str">
        <f t="shared" ca="1" si="79"/>
        <v/>
      </c>
      <c r="AD262" s="17" t="str">
        <f t="shared" ca="1" si="80"/>
        <v/>
      </c>
      <c r="AE262" s="17" t="str">
        <f t="shared" si="81"/>
        <v/>
      </c>
      <c r="AF262" s="17" t="str">
        <f t="shared" si="82"/>
        <v/>
      </c>
      <c r="AG262" s="17" t="str">
        <f t="shared" si="83"/>
        <v/>
      </c>
      <c r="AH262" s="17">
        <f t="shared" si="84"/>
        <v>0</v>
      </c>
      <c r="AI262" s="17" t="str">
        <f t="shared" ca="1" si="85"/>
        <v/>
      </c>
      <c r="AJ262" s="17" t="str">
        <f t="shared" ca="1" si="86"/>
        <v/>
      </c>
      <c r="AK262" s="17" t="str">
        <f t="shared" si="87"/>
        <v/>
      </c>
      <c r="AL262" s="17" t="str">
        <f t="shared" ca="1" si="88"/>
        <v/>
      </c>
      <c r="AN262" s="24">
        <f t="shared" si="89"/>
        <v>0</v>
      </c>
      <c r="AO262" s="24">
        <f t="shared" si="90"/>
        <v>0</v>
      </c>
      <c r="AP262" s="24">
        <f t="shared" si="91"/>
        <v>0</v>
      </c>
      <c r="AQ262" s="24">
        <f t="shared" si="92"/>
        <v>0</v>
      </c>
      <c r="AR262" s="24">
        <f t="shared" si="93"/>
        <v>0</v>
      </c>
      <c r="AS262" s="24">
        <f t="shared" si="94"/>
        <v>0</v>
      </c>
    </row>
    <row r="263" spans="1:45" x14ac:dyDescent="0.25">
      <c r="A263" s="83"/>
      <c r="B263" s="83"/>
      <c r="C263" s="83"/>
      <c r="D263" s="15"/>
      <c r="E263" s="15"/>
      <c r="F263" s="83"/>
      <c r="G263" s="83"/>
      <c r="H263" s="16"/>
      <c r="I263" s="83"/>
      <c r="J263" s="83"/>
      <c r="K263" s="16"/>
      <c r="L263" s="15"/>
      <c r="M263" s="20"/>
      <c r="N263" s="15"/>
      <c r="O263" s="20"/>
      <c r="P263" s="15"/>
      <c r="Q263" s="15"/>
      <c r="R263" s="17" t="str">
        <f>IF(Q263="","",VLOOKUP(Q263,'References (2)'!C:D,2,0))</f>
        <v/>
      </c>
      <c r="S263" s="17" t="str">
        <f>IF(Q263="","",VLOOKUP(Q263,'References (2)'!C:F,4,0))</f>
        <v/>
      </c>
      <c r="T263" s="16"/>
      <c r="U263" s="20"/>
      <c r="V263" s="15"/>
      <c r="W263" s="22"/>
      <c r="X263" s="16"/>
      <c r="Y263" s="22"/>
      <c r="Z263" s="25" t="str">
        <f t="shared" si="76"/>
        <v/>
      </c>
      <c r="AA263" s="17" t="str">
        <f t="shared" ca="1" si="77"/>
        <v/>
      </c>
      <c r="AB263" s="17" t="str">
        <f t="shared" ca="1" si="78"/>
        <v/>
      </c>
      <c r="AC263" s="17" t="str">
        <f t="shared" ca="1" si="79"/>
        <v/>
      </c>
      <c r="AD263" s="17" t="str">
        <f t="shared" ca="1" si="80"/>
        <v/>
      </c>
      <c r="AE263" s="17" t="str">
        <f t="shared" si="81"/>
        <v/>
      </c>
      <c r="AF263" s="17" t="str">
        <f t="shared" si="82"/>
        <v/>
      </c>
      <c r="AG263" s="17" t="str">
        <f t="shared" si="83"/>
        <v/>
      </c>
      <c r="AH263" s="17">
        <f t="shared" si="84"/>
        <v>0</v>
      </c>
      <c r="AI263" s="17" t="str">
        <f t="shared" ca="1" si="85"/>
        <v/>
      </c>
      <c r="AJ263" s="17" t="str">
        <f t="shared" ca="1" si="86"/>
        <v/>
      </c>
      <c r="AK263" s="17" t="str">
        <f t="shared" si="87"/>
        <v/>
      </c>
      <c r="AL263" s="17" t="str">
        <f t="shared" ca="1" si="88"/>
        <v/>
      </c>
      <c r="AN263" s="24">
        <f t="shared" si="89"/>
        <v>0</v>
      </c>
      <c r="AO263" s="24">
        <f t="shared" si="90"/>
        <v>0</v>
      </c>
      <c r="AP263" s="24">
        <f t="shared" si="91"/>
        <v>0</v>
      </c>
      <c r="AQ263" s="24">
        <f t="shared" si="92"/>
        <v>0</v>
      </c>
      <c r="AR263" s="24">
        <f t="shared" si="93"/>
        <v>0</v>
      </c>
      <c r="AS263" s="24">
        <f t="shared" si="94"/>
        <v>0</v>
      </c>
    </row>
    <row r="264" spans="1:45" x14ac:dyDescent="0.25">
      <c r="A264" s="83"/>
      <c r="B264" s="83"/>
      <c r="C264" s="83"/>
      <c r="D264" s="15"/>
      <c r="E264" s="15"/>
      <c r="F264" s="83"/>
      <c r="G264" s="83"/>
      <c r="H264" s="16"/>
      <c r="I264" s="83"/>
      <c r="J264" s="83"/>
      <c r="K264" s="16"/>
      <c r="L264" s="15"/>
      <c r="M264" s="20"/>
      <c r="N264" s="15"/>
      <c r="O264" s="20"/>
      <c r="P264" s="15"/>
      <c r="Q264" s="15"/>
      <c r="R264" s="17" t="str">
        <f>IF(Q264="","",VLOOKUP(Q264,'References (2)'!C:D,2,0))</f>
        <v/>
      </c>
      <c r="S264" s="17" t="str">
        <f>IF(Q264="","",VLOOKUP(Q264,'References (2)'!C:F,4,0))</f>
        <v/>
      </c>
      <c r="T264" s="16"/>
      <c r="U264" s="20"/>
      <c r="V264" s="15"/>
      <c r="W264" s="22"/>
      <c r="X264" s="16"/>
      <c r="Y264" s="22"/>
      <c r="Z264" s="25" t="str">
        <f t="shared" si="76"/>
        <v/>
      </c>
      <c r="AA264" s="17" t="str">
        <f t="shared" ca="1" si="77"/>
        <v/>
      </c>
      <c r="AB264" s="17" t="str">
        <f t="shared" ca="1" si="78"/>
        <v/>
      </c>
      <c r="AC264" s="17" t="str">
        <f t="shared" ca="1" si="79"/>
        <v/>
      </c>
      <c r="AD264" s="17" t="str">
        <f t="shared" ca="1" si="80"/>
        <v/>
      </c>
      <c r="AE264" s="17" t="str">
        <f t="shared" si="81"/>
        <v/>
      </c>
      <c r="AF264" s="17" t="str">
        <f t="shared" si="82"/>
        <v/>
      </c>
      <c r="AG264" s="17" t="str">
        <f t="shared" si="83"/>
        <v/>
      </c>
      <c r="AH264" s="17">
        <f t="shared" si="84"/>
        <v>0</v>
      </c>
      <c r="AI264" s="17" t="str">
        <f t="shared" ca="1" si="85"/>
        <v/>
      </c>
      <c r="AJ264" s="17" t="str">
        <f t="shared" ca="1" si="86"/>
        <v/>
      </c>
      <c r="AK264" s="17" t="str">
        <f t="shared" si="87"/>
        <v/>
      </c>
      <c r="AL264" s="17" t="str">
        <f t="shared" ca="1" si="88"/>
        <v/>
      </c>
      <c r="AN264" s="24">
        <f t="shared" si="89"/>
        <v>0</v>
      </c>
      <c r="AO264" s="24">
        <f t="shared" si="90"/>
        <v>0</v>
      </c>
      <c r="AP264" s="24">
        <f t="shared" si="91"/>
        <v>0</v>
      </c>
      <c r="AQ264" s="24">
        <f t="shared" si="92"/>
        <v>0</v>
      </c>
      <c r="AR264" s="24">
        <f t="shared" si="93"/>
        <v>0</v>
      </c>
      <c r="AS264" s="24">
        <f t="shared" si="94"/>
        <v>0</v>
      </c>
    </row>
    <row r="265" spans="1:45" x14ac:dyDescent="0.25">
      <c r="A265" s="83"/>
      <c r="B265" s="83"/>
      <c r="C265" s="83"/>
      <c r="D265" s="15"/>
      <c r="E265" s="15"/>
      <c r="F265" s="83"/>
      <c r="G265" s="83"/>
      <c r="H265" s="16"/>
      <c r="I265" s="83"/>
      <c r="J265" s="83"/>
      <c r="K265" s="16"/>
      <c r="L265" s="15"/>
      <c r="M265" s="20"/>
      <c r="N265" s="15"/>
      <c r="O265" s="20"/>
      <c r="P265" s="15"/>
      <c r="Q265" s="15"/>
      <c r="R265" s="17" t="str">
        <f>IF(Q265="","",VLOOKUP(Q265,'References (2)'!C:D,2,0))</f>
        <v/>
      </c>
      <c r="S265" s="17" t="str">
        <f>IF(Q265="","",VLOOKUP(Q265,'References (2)'!C:F,4,0))</f>
        <v/>
      </c>
      <c r="T265" s="16"/>
      <c r="U265" s="20"/>
      <c r="V265" s="15"/>
      <c r="W265" s="22"/>
      <c r="X265" s="16"/>
      <c r="Y265" s="22"/>
      <c r="Z265" s="25" t="str">
        <f t="shared" si="76"/>
        <v/>
      </c>
      <c r="AA265" s="17" t="str">
        <f t="shared" ca="1" si="77"/>
        <v/>
      </c>
      <c r="AB265" s="17" t="str">
        <f t="shared" ca="1" si="78"/>
        <v/>
      </c>
      <c r="AC265" s="17" t="str">
        <f t="shared" ca="1" si="79"/>
        <v/>
      </c>
      <c r="AD265" s="17" t="str">
        <f t="shared" ca="1" si="80"/>
        <v/>
      </c>
      <c r="AE265" s="17" t="str">
        <f t="shared" si="81"/>
        <v/>
      </c>
      <c r="AF265" s="17" t="str">
        <f t="shared" si="82"/>
        <v/>
      </c>
      <c r="AG265" s="17" t="str">
        <f t="shared" si="83"/>
        <v/>
      </c>
      <c r="AH265" s="17">
        <f t="shared" si="84"/>
        <v>0</v>
      </c>
      <c r="AI265" s="17" t="str">
        <f t="shared" ca="1" si="85"/>
        <v/>
      </c>
      <c r="AJ265" s="17" t="str">
        <f t="shared" ca="1" si="86"/>
        <v/>
      </c>
      <c r="AK265" s="17" t="str">
        <f t="shared" si="87"/>
        <v/>
      </c>
      <c r="AL265" s="17" t="str">
        <f t="shared" ca="1" si="88"/>
        <v/>
      </c>
      <c r="AN265" s="24">
        <f t="shared" si="89"/>
        <v>0</v>
      </c>
      <c r="AO265" s="24">
        <f t="shared" si="90"/>
        <v>0</v>
      </c>
      <c r="AP265" s="24">
        <f t="shared" si="91"/>
        <v>0</v>
      </c>
      <c r="AQ265" s="24">
        <f t="shared" si="92"/>
        <v>0</v>
      </c>
      <c r="AR265" s="24">
        <f t="shared" si="93"/>
        <v>0</v>
      </c>
      <c r="AS265" s="24">
        <f t="shared" si="94"/>
        <v>0</v>
      </c>
    </row>
    <row r="266" spans="1:45" x14ac:dyDescent="0.25">
      <c r="A266" s="83"/>
      <c r="B266" s="83"/>
      <c r="C266" s="83"/>
      <c r="D266" s="15"/>
      <c r="E266" s="15"/>
      <c r="F266" s="83"/>
      <c r="G266" s="83"/>
      <c r="H266" s="16"/>
      <c r="I266" s="83"/>
      <c r="J266" s="83"/>
      <c r="K266" s="16"/>
      <c r="L266" s="15"/>
      <c r="M266" s="20"/>
      <c r="N266" s="15"/>
      <c r="O266" s="20"/>
      <c r="P266" s="15"/>
      <c r="Q266" s="15"/>
      <c r="R266" s="17" t="str">
        <f>IF(Q266="","",VLOOKUP(Q266,'References (2)'!C:D,2,0))</f>
        <v/>
      </c>
      <c r="S266" s="17" t="str">
        <f>IF(Q266="","",VLOOKUP(Q266,'References (2)'!C:F,4,0))</f>
        <v/>
      </c>
      <c r="T266" s="16"/>
      <c r="U266" s="20"/>
      <c r="V266" s="15"/>
      <c r="W266" s="22"/>
      <c r="X266" s="16"/>
      <c r="Y266" s="22"/>
      <c r="Z266" s="25" t="str">
        <f t="shared" si="76"/>
        <v/>
      </c>
      <c r="AA266" s="17" t="str">
        <f t="shared" ca="1" si="77"/>
        <v/>
      </c>
      <c r="AB266" s="17" t="str">
        <f t="shared" ca="1" si="78"/>
        <v/>
      </c>
      <c r="AC266" s="17" t="str">
        <f t="shared" ca="1" si="79"/>
        <v/>
      </c>
      <c r="AD266" s="17" t="str">
        <f t="shared" ca="1" si="80"/>
        <v/>
      </c>
      <c r="AE266" s="17" t="str">
        <f t="shared" si="81"/>
        <v/>
      </c>
      <c r="AF266" s="17" t="str">
        <f t="shared" si="82"/>
        <v/>
      </c>
      <c r="AG266" s="17" t="str">
        <f t="shared" si="83"/>
        <v/>
      </c>
      <c r="AH266" s="17">
        <f t="shared" si="84"/>
        <v>0</v>
      </c>
      <c r="AI266" s="17" t="str">
        <f t="shared" ca="1" si="85"/>
        <v/>
      </c>
      <c r="AJ266" s="17" t="str">
        <f t="shared" ca="1" si="86"/>
        <v/>
      </c>
      <c r="AK266" s="17" t="str">
        <f t="shared" si="87"/>
        <v/>
      </c>
      <c r="AL266" s="17" t="str">
        <f t="shared" ca="1" si="88"/>
        <v/>
      </c>
      <c r="AN266" s="24">
        <f t="shared" si="89"/>
        <v>0</v>
      </c>
      <c r="AO266" s="24">
        <f t="shared" si="90"/>
        <v>0</v>
      </c>
      <c r="AP266" s="24">
        <f t="shared" si="91"/>
        <v>0</v>
      </c>
      <c r="AQ266" s="24">
        <f t="shared" si="92"/>
        <v>0</v>
      </c>
      <c r="AR266" s="24">
        <f t="shared" si="93"/>
        <v>0</v>
      </c>
      <c r="AS266" s="24">
        <f t="shared" si="94"/>
        <v>0</v>
      </c>
    </row>
    <row r="267" spans="1:45" x14ac:dyDescent="0.25">
      <c r="A267" s="83"/>
      <c r="B267" s="83"/>
      <c r="C267" s="83"/>
      <c r="D267" s="15"/>
      <c r="E267" s="15"/>
      <c r="F267" s="83"/>
      <c r="G267" s="83"/>
      <c r="H267" s="16"/>
      <c r="I267" s="83"/>
      <c r="J267" s="83"/>
      <c r="K267" s="16"/>
      <c r="L267" s="15"/>
      <c r="M267" s="20"/>
      <c r="N267" s="15"/>
      <c r="O267" s="20"/>
      <c r="P267" s="15"/>
      <c r="Q267" s="15"/>
      <c r="R267" s="17" t="str">
        <f>IF(Q267="","",VLOOKUP(Q267,'References (2)'!C:D,2,0))</f>
        <v/>
      </c>
      <c r="S267" s="17" t="str">
        <f>IF(Q267="","",VLOOKUP(Q267,'References (2)'!C:F,4,0))</f>
        <v/>
      </c>
      <c r="T267" s="16"/>
      <c r="U267" s="20"/>
      <c r="V267" s="15"/>
      <c r="W267" s="22"/>
      <c r="X267" s="16"/>
      <c r="Y267" s="22"/>
      <c r="Z267" s="25" t="str">
        <f t="shared" si="76"/>
        <v/>
      </c>
      <c r="AA267" s="17" t="str">
        <f t="shared" ca="1" si="77"/>
        <v/>
      </c>
      <c r="AB267" s="17" t="str">
        <f t="shared" ca="1" si="78"/>
        <v/>
      </c>
      <c r="AC267" s="17" t="str">
        <f t="shared" ca="1" si="79"/>
        <v/>
      </c>
      <c r="AD267" s="17" t="str">
        <f t="shared" ca="1" si="80"/>
        <v/>
      </c>
      <c r="AE267" s="17" t="str">
        <f t="shared" si="81"/>
        <v/>
      </c>
      <c r="AF267" s="17" t="str">
        <f t="shared" si="82"/>
        <v/>
      </c>
      <c r="AG267" s="17" t="str">
        <f t="shared" si="83"/>
        <v/>
      </c>
      <c r="AH267" s="17">
        <f t="shared" si="84"/>
        <v>0</v>
      </c>
      <c r="AI267" s="17" t="str">
        <f t="shared" ca="1" si="85"/>
        <v/>
      </c>
      <c r="AJ267" s="17" t="str">
        <f t="shared" ca="1" si="86"/>
        <v/>
      </c>
      <c r="AK267" s="17" t="str">
        <f t="shared" si="87"/>
        <v/>
      </c>
      <c r="AL267" s="17" t="str">
        <f t="shared" ca="1" si="88"/>
        <v/>
      </c>
      <c r="AN267" s="24">
        <f t="shared" si="89"/>
        <v>0</v>
      </c>
      <c r="AO267" s="24">
        <f t="shared" si="90"/>
        <v>0</v>
      </c>
      <c r="AP267" s="24">
        <f t="shared" si="91"/>
        <v>0</v>
      </c>
      <c r="AQ267" s="24">
        <f t="shared" si="92"/>
        <v>0</v>
      </c>
      <c r="AR267" s="24">
        <f t="shared" si="93"/>
        <v>0</v>
      </c>
      <c r="AS267" s="24">
        <f t="shared" si="94"/>
        <v>0</v>
      </c>
    </row>
    <row r="268" spans="1:45" x14ac:dyDescent="0.25">
      <c r="A268" s="83"/>
      <c r="B268" s="83"/>
      <c r="C268" s="83"/>
      <c r="D268" s="15"/>
      <c r="E268" s="15"/>
      <c r="F268" s="83"/>
      <c r="G268" s="83"/>
      <c r="H268" s="16"/>
      <c r="I268" s="83"/>
      <c r="J268" s="83"/>
      <c r="K268" s="16"/>
      <c r="L268" s="15"/>
      <c r="M268" s="20"/>
      <c r="N268" s="15"/>
      <c r="O268" s="20"/>
      <c r="P268" s="15"/>
      <c r="Q268" s="15"/>
      <c r="R268" s="17" t="str">
        <f>IF(Q268="","",VLOOKUP(Q268,'References (2)'!C:D,2,0))</f>
        <v/>
      </c>
      <c r="S268" s="17" t="str">
        <f>IF(Q268="","",VLOOKUP(Q268,'References (2)'!C:F,4,0))</f>
        <v/>
      </c>
      <c r="T268" s="16"/>
      <c r="U268" s="20"/>
      <c r="V268" s="15"/>
      <c r="W268" s="22"/>
      <c r="X268" s="16"/>
      <c r="Y268" s="22"/>
      <c r="Z268" s="25" t="str">
        <f t="shared" si="76"/>
        <v/>
      </c>
      <c r="AA268" s="17" t="str">
        <f t="shared" ca="1" si="77"/>
        <v/>
      </c>
      <c r="AB268" s="17" t="str">
        <f t="shared" ca="1" si="78"/>
        <v/>
      </c>
      <c r="AC268" s="17" t="str">
        <f t="shared" ca="1" si="79"/>
        <v/>
      </c>
      <c r="AD268" s="17" t="str">
        <f t="shared" ca="1" si="80"/>
        <v/>
      </c>
      <c r="AE268" s="17" t="str">
        <f t="shared" si="81"/>
        <v/>
      </c>
      <c r="AF268" s="17" t="str">
        <f t="shared" si="82"/>
        <v/>
      </c>
      <c r="AG268" s="17" t="str">
        <f t="shared" si="83"/>
        <v/>
      </c>
      <c r="AH268" s="17">
        <f t="shared" si="84"/>
        <v>0</v>
      </c>
      <c r="AI268" s="17" t="str">
        <f t="shared" ca="1" si="85"/>
        <v/>
      </c>
      <c r="AJ268" s="17" t="str">
        <f t="shared" ca="1" si="86"/>
        <v/>
      </c>
      <c r="AK268" s="17" t="str">
        <f t="shared" si="87"/>
        <v/>
      </c>
      <c r="AL268" s="17" t="str">
        <f t="shared" ca="1" si="88"/>
        <v/>
      </c>
      <c r="AN268" s="24">
        <f t="shared" si="89"/>
        <v>0</v>
      </c>
      <c r="AO268" s="24">
        <f t="shared" si="90"/>
        <v>0</v>
      </c>
      <c r="AP268" s="24">
        <f t="shared" si="91"/>
        <v>0</v>
      </c>
      <c r="AQ268" s="24">
        <f t="shared" si="92"/>
        <v>0</v>
      </c>
      <c r="AR268" s="24">
        <f t="shared" si="93"/>
        <v>0</v>
      </c>
      <c r="AS268" s="24">
        <f t="shared" si="94"/>
        <v>0</v>
      </c>
    </row>
    <row r="269" spans="1:45" x14ac:dyDescent="0.25">
      <c r="A269" s="83"/>
      <c r="B269" s="83"/>
      <c r="C269" s="83"/>
      <c r="D269" s="15"/>
      <c r="E269" s="15"/>
      <c r="F269" s="83"/>
      <c r="G269" s="83"/>
      <c r="H269" s="16"/>
      <c r="I269" s="83"/>
      <c r="J269" s="83"/>
      <c r="K269" s="16"/>
      <c r="L269" s="15"/>
      <c r="M269" s="20"/>
      <c r="N269" s="15"/>
      <c r="O269" s="20"/>
      <c r="P269" s="15"/>
      <c r="Q269" s="15"/>
      <c r="R269" s="17" t="str">
        <f>IF(Q269="","",VLOOKUP(Q269,'References (2)'!C:D,2,0))</f>
        <v/>
      </c>
      <c r="S269" s="17" t="str">
        <f>IF(Q269="","",VLOOKUP(Q269,'References (2)'!C:F,4,0))</f>
        <v/>
      </c>
      <c r="T269" s="16"/>
      <c r="U269" s="20"/>
      <c r="V269" s="15"/>
      <c r="W269" s="22"/>
      <c r="X269" s="16"/>
      <c r="Y269" s="22"/>
      <c r="Z269" s="25" t="str">
        <f t="shared" si="76"/>
        <v/>
      </c>
      <c r="AA269" s="17" t="str">
        <f t="shared" ca="1" si="77"/>
        <v/>
      </c>
      <c r="AB269" s="17" t="str">
        <f t="shared" ca="1" si="78"/>
        <v/>
      </c>
      <c r="AC269" s="17" t="str">
        <f t="shared" ca="1" si="79"/>
        <v/>
      </c>
      <c r="AD269" s="17" t="str">
        <f t="shared" ca="1" si="80"/>
        <v/>
      </c>
      <c r="AE269" s="17" t="str">
        <f t="shared" si="81"/>
        <v/>
      </c>
      <c r="AF269" s="17" t="str">
        <f t="shared" si="82"/>
        <v/>
      </c>
      <c r="AG269" s="17" t="str">
        <f t="shared" si="83"/>
        <v/>
      </c>
      <c r="AH269" s="17">
        <f t="shared" si="84"/>
        <v>0</v>
      </c>
      <c r="AI269" s="17" t="str">
        <f t="shared" ca="1" si="85"/>
        <v/>
      </c>
      <c r="AJ269" s="17" t="str">
        <f t="shared" ca="1" si="86"/>
        <v/>
      </c>
      <c r="AK269" s="17" t="str">
        <f t="shared" si="87"/>
        <v/>
      </c>
      <c r="AL269" s="17" t="str">
        <f t="shared" ca="1" si="88"/>
        <v/>
      </c>
      <c r="AN269" s="24">
        <f t="shared" si="89"/>
        <v>0</v>
      </c>
      <c r="AO269" s="24">
        <f t="shared" si="90"/>
        <v>0</v>
      </c>
      <c r="AP269" s="24">
        <f t="shared" si="91"/>
        <v>0</v>
      </c>
      <c r="AQ269" s="24">
        <f t="shared" si="92"/>
        <v>0</v>
      </c>
      <c r="AR269" s="24">
        <f t="shared" si="93"/>
        <v>0</v>
      </c>
      <c r="AS269" s="24">
        <f t="shared" si="94"/>
        <v>0</v>
      </c>
    </row>
    <row r="270" spans="1:45" x14ac:dyDescent="0.25">
      <c r="A270" s="83"/>
      <c r="B270" s="83"/>
      <c r="C270" s="83"/>
      <c r="D270" s="15"/>
      <c r="E270" s="15"/>
      <c r="F270" s="83"/>
      <c r="G270" s="83"/>
      <c r="H270" s="16"/>
      <c r="I270" s="83"/>
      <c r="J270" s="83"/>
      <c r="K270" s="16"/>
      <c r="L270" s="15"/>
      <c r="M270" s="20"/>
      <c r="N270" s="15"/>
      <c r="O270" s="20"/>
      <c r="P270" s="15"/>
      <c r="Q270" s="15"/>
      <c r="R270" s="17" t="str">
        <f>IF(Q270="","",VLOOKUP(Q270,'References (2)'!C:D,2,0))</f>
        <v/>
      </c>
      <c r="S270" s="17" t="str">
        <f>IF(Q270="","",VLOOKUP(Q270,'References (2)'!C:F,4,0))</f>
        <v/>
      </c>
      <c r="T270" s="16"/>
      <c r="U270" s="20"/>
      <c r="V270" s="15"/>
      <c r="W270" s="22"/>
      <c r="X270" s="16"/>
      <c r="Y270" s="22"/>
      <c r="Z270" s="25" t="str">
        <f t="shared" si="76"/>
        <v/>
      </c>
      <c r="AA270" s="17" t="str">
        <f t="shared" ca="1" si="77"/>
        <v/>
      </c>
      <c r="AB270" s="17" t="str">
        <f t="shared" ca="1" si="78"/>
        <v/>
      </c>
      <c r="AC270" s="17" t="str">
        <f t="shared" ca="1" si="79"/>
        <v/>
      </c>
      <c r="AD270" s="17" t="str">
        <f t="shared" ca="1" si="80"/>
        <v/>
      </c>
      <c r="AE270" s="17" t="str">
        <f t="shared" si="81"/>
        <v/>
      </c>
      <c r="AF270" s="17" t="str">
        <f t="shared" si="82"/>
        <v/>
      </c>
      <c r="AG270" s="17" t="str">
        <f t="shared" si="83"/>
        <v/>
      </c>
      <c r="AH270" s="17">
        <f t="shared" si="84"/>
        <v>0</v>
      </c>
      <c r="AI270" s="17" t="str">
        <f t="shared" ca="1" si="85"/>
        <v/>
      </c>
      <c r="AJ270" s="17" t="str">
        <f t="shared" ca="1" si="86"/>
        <v/>
      </c>
      <c r="AK270" s="17" t="str">
        <f t="shared" si="87"/>
        <v/>
      </c>
      <c r="AL270" s="17" t="str">
        <f t="shared" ca="1" si="88"/>
        <v/>
      </c>
      <c r="AN270" s="24">
        <f t="shared" si="89"/>
        <v>0</v>
      </c>
      <c r="AO270" s="24">
        <f t="shared" si="90"/>
        <v>0</v>
      </c>
      <c r="AP270" s="24">
        <f t="shared" si="91"/>
        <v>0</v>
      </c>
      <c r="AQ270" s="24">
        <f t="shared" si="92"/>
        <v>0</v>
      </c>
      <c r="AR270" s="24">
        <f t="shared" si="93"/>
        <v>0</v>
      </c>
      <c r="AS270" s="24">
        <f t="shared" si="94"/>
        <v>0</v>
      </c>
    </row>
    <row r="271" spans="1:45" x14ac:dyDescent="0.25">
      <c r="A271" s="83"/>
      <c r="B271" s="83"/>
      <c r="C271" s="83"/>
      <c r="D271" s="15"/>
      <c r="E271" s="15"/>
      <c r="F271" s="83"/>
      <c r="G271" s="83"/>
      <c r="H271" s="16"/>
      <c r="I271" s="83"/>
      <c r="J271" s="83"/>
      <c r="K271" s="16"/>
      <c r="L271" s="15"/>
      <c r="M271" s="20"/>
      <c r="N271" s="15"/>
      <c r="O271" s="20"/>
      <c r="P271" s="15"/>
      <c r="Q271" s="15"/>
      <c r="R271" s="17" t="str">
        <f>IF(Q271="","",VLOOKUP(Q271,'References (2)'!C:D,2,0))</f>
        <v/>
      </c>
      <c r="S271" s="17" t="str">
        <f>IF(Q271="","",VLOOKUP(Q271,'References (2)'!C:F,4,0))</f>
        <v/>
      </c>
      <c r="T271" s="16"/>
      <c r="U271" s="20"/>
      <c r="V271" s="15"/>
      <c r="W271" s="22"/>
      <c r="X271" s="16"/>
      <c r="Y271" s="22"/>
      <c r="Z271" s="25" t="str">
        <f t="shared" si="76"/>
        <v/>
      </c>
      <c r="AA271" s="17" t="str">
        <f t="shared" ca="1" si="77"/>
        <v/>
      </c>
      <c r="AB271" s="17" t="str">
        <f t="shared" ca="1" si="78"/>
        <v/>
      </c>
      <c r="AC271" s="17" t="str">
        <f t="shared" ca="1" si="79"/>
        <v/>
      </c>
      <c r="AD271" s="17" t="str">
        <f t="shared" ca="1" si="80"/>
        <v/>
      </c>
      <c r="AE271" s="17" t="str">
        <f t="shared" si="81"/>
        <v/>
      </c>
      <c r="AF271" s="17" t="str">
        <f t="shared" si="82"/>
        <v/>
      </c>
      <c r="AG271" s="17" t="str">
        <f t="shared" si="83"/>
        <v/>
      </c>
      <c r="AH271" s="17">
        <f t="shared" si="84"/>
        <v>0</v>
      </c>
      <c r="AI271" s="17" t="str">
        <f t="shared" ca="1" si="85"/>
        <v/>
      </c>
      <c r="AJ271" s="17" t="str">
        <f t="shared" ca="1" si="86"/>
        <v/>
      </c>
      <c r="AK271" s="17" t="str">
        <f t="shared" si="87"/>
        <v/>
      </c>
      <c r="AL271" s="17" t="str">
        <f t="shared" ca="1" si="88"/>
        <v/>
      </c>
      <c r="AN271" s="24">
        <f t="shared" si="89"/>
        <v>0</v>
      </c>
      <c r="AO271" s="24">
        <f t="shared" si="90"/>
        <v>0</v>
      </c>
      <c r="AP271" s="24">
        <f t="shared" si="91"/>
        <v>0</v>
      </c>
      <c r="AQ271" s="24">
        <f t="shared" si="92"/>
        <v>0</v>
      </c>
      <c r="AR271" s="24">
        <f t="shared" si="93"/>
        <v>0</v>
      </c>
      <c r="AS271" s="24">
        <f t="shared" si="94"/>
        <v>0</v>
      </c>
    </row>
    <row r="272" spans="1:45" x14ac:dyDescent="0.25">
      <c r="A272" s="83"/>
      <c r="B272" s="83"/>
      <c r="C272" s="83"/>
      <c r="D272" s="15"/>
      <c r="E272" s="15"/>
      <c r="F272" s="83"/>
      <c r="G272" s="83"/>
      <c r="H272" s="16"/>
      <c r="I272" s="83"/>
      <c r="J272" s="83"/>
      <c r="K272" s="16"/>
      <c r="L272" s="15"/>
      <c r="M272" s="20"/>
      <c r="N272" s="15"/>
      <c r="O272" s="20"/>
      <c r="P272" s="15"/>
      <c r="Q272" s="15"/>
      <c r="R272" s="17" t="str">
        <f>IF(Q272="","",VLOOKUP(Q272,'References (2)'!C:D,2,0))</f>
        <v/>
      </c>
      <c r="S272" s="17" t="str">
        <f>IF(Q272="","",VLOOKUP(Q272,'References (2)'!C:F,4,0))</f>
        <v/>
      </c>
      <c r="T272" s="16"/>
      <c r="U272" s="20"/>
      <c r="V272" s="15"/>
      <c r="W272" s="22"/>
      <c r="X272" s="16"/>
      <c r="Y272" s="22"/>
      <c r="Z272" s="25" t="str">
        <f t="shared" si="76"/>
        <v/>
      </c>
      <c r="AA272" s="17" t="str">
        <f t="shared" ca="1" si="77"/>
        <v/>
      </c>
      <c r="AB272" s="17" t="str">
        <f t="shared" ca="1" si="78"/>
        <v/>
      </c>
      <c r="AC272" s="17" t="str">
        <f t="shared" ca="1" si="79"/>
        <v/>
      </c>
      <c r="AD272" s="17" t="str">
        <f t="shared" ca="1" si="80"/>
        <v/>
      </c>
      <c r="AE272" s="17" t="str">
        <f t="shared" si="81"/>
        <v/>
      </c>
      <c r="AF272" s="17" t="str">
        <f t="shared" si="82"/>
        <v/>
      </c>
      <c r="AG272" s="17" t="str">
        <f t="shared" si="83"/>
        <v/>
      </c>
      <c r="AH272" s="17">
        <f t="shared" si="84"/>
        <v>0</v>
      </c>
      <c r="AI272" s="17" t="str">
        <f t="shared" ca="1" si="85"/>
        <v/>
      </c>
      <c r="AJ272" s="17" t="str">
        <f t="shared" ca="1" si="86"/>
        <v/>
      </c>
      <c r="AK272" s="17" t="str">
        <f t="shared" si="87"/>
        <v/>
      </c>
      <c r="AL272" s="17" t="str">
        <f t="shared" ca="1" si="88"/>
        <v/>
      </c>
      <c r="AN272" s="24">
        <f t="shared" si="89"/>
        <v>0</v>
      </c>
      <c r="AO272" s="24">
        <f t="shared" si="90"/>
        <v>0</v>
      </c>
      <c r="AP272" s="24">
        <f t="shared" si="91"/>
        <v>0</v>
      </c>
      <c r="AQ272" s="24">
        <f t="shared" si="92"/>
        <v>0</v>
      </c>
      <c r="AR272" s="24">
        <f t="shared" si="93"/>
        <v>0</v>
      </c>
      <c r="AS272" s="24">
        <f t="shared" si="94"/>
        <v>0</v>
      </c>
    </row>
    <row r="273" spans="1:45" x14ac:dyDescent="0.25">
      <c r="A273" s="83"/>
      <c r="B273" s="83"/>
      <c r="C273" s="83"/>
      <c r="D273" s="15"/>
      <c r="E273" s="15"/>
      <c r="F273" s="83"/>
      <c r="G273" s="83"/>
      <c r="H273" s="16"/>
      <c r="I273" s="83"/>
      <c r="J273" s="83"/>
      <c r="K273" s="16"/>
      <c r="L273" s="15"/>
      <c r="M273" s="20"/>
      <c r="N273" s="15"/>
      <c r="O273" s="20"/>
      <c r="P273" s="15"/>
      <c r="Q273" s="15"/>
      <c r="R273" s="17" t="str">
        <f>IF(Q273="","",VLOOKUP(Q273,'References (2)'!C:D,2,0))</f>
        <v/>
      </c>
      <c r="S273" s="17" t="str">
        <f>IF(Q273="","",VLOOKUP(Q273,'References (2)'!C:F,4,0))</f>
        <v/>
      </c>
      <c r="T273" s="16"/>
      <c r="U273" s="20"/>
      <c r="V273" s="15"/>
      <c r="W273" s="22"/>
      <c r="X273" s="16"/>
      <c r="Y273" s="22"/>
      <c r="Z273" s="25" t="str">
        <f t="shared" si="76"/>
        <v/>
      </c>
      <c r="AA273" s="17" t="str">
        <f t="shared" ca="1" si="77"/>
        <v/>
      </c>
      <c r="AB273" s="17" t="str">
        <f t="shared" ca="1" si="78"/>
        <v/>
      </c>
      <c r="AC273" s="17" t="str">
        <f t="shared" ca="1" si="79"/>
        <v/>
      </c>
      <c r="AD273" s="17" t="str">
        <f t="shared" ca="1" si="80"/>
        <v/>
      </c>
      <c r="AE273" s="17" t="str">
        <f t="shared" si="81"/>
        <v/>
      </c>
      <c r="AF273" s="17" t="str">
        <f t="shared" si="82"/>
        <v/>
      </c>
      <c r="AG273" s="17" t="str">
        <f t="shared" si="83"/>
        <v/>
      </c>
      <c r="AH273" s="17">
        <f t="shared" si="84"/>
        <v>0</v>
      </c>
      <c r="AI273" s="17" t="str">
        <f t="shared" ca="1" si="85"/>
        <v/>
      </c>
      <c r="AJ273" s="17" t="str">
        <f t="shared" ca="1" si="86"/>
        <v/>
      </c>
      <c r="AK273" s="17" t="str">
        <f t="shared" si="87"/>
        <v/>
      </c>
      <c r="AL273" s="17" t="str">
        <f t="shared" ca="1" si="88"/>
        <v/>
      </c>
      <c r="AN273" s="24">
        <f t="shared" si="89"/>
        <v>0</v>
      </c>
      <c r="AO273" s="24">
        <f t="shared" si="90"/>
        <v>0</v>
      </c>
      <c r="AP273" s="24">
        <f t="shared" si="91"/>
        <v>0</v>
      </c>
      <c r="AQ273" s="24">
        <f t="shared" si="92"/>
        <v>0</v>
      </c>
      <c r="AR273" s="24">
        <f t="shared" si="93"/>
        <v>0</v>
      </c>
      <c r="AS273" s="24">
        <f t="shared" si="94"/>
        <v>0</v>
      </c>
    </row>
    <row r="274" spans="1:45" x14ac:dyDescent="0.25">
      <c r="A274" s="83"/>
      <c r="B274" s="83"/>
      <c r="C274" s="83"/>
      <c r="D274" s="15"/>
      <c r="E274" s="15"/>
      <c r="F274" s="83"/>
      <c r="G274" s="83"/>
      <c r="H274" s="16"/>
      <c r="I274" s="83"/>
      <c r="J274" s="83"/>
      <c r="K274" s="16"/>
      <c r="L274" s="15"/>
      <c r="M274" s="20"/>
      <c r="N274" s="15"/>
      <c r="O274" s="20"/>
      <c r="P274" s="15"/>
      <c r="Q274" s="15"/>
      <c r="R274" s="17" t="str">
        <f>IF(Q274="","",VLOOKUP(Q274,'References (2)'!C:D,2,0))</f>
        <v/>
      </c>
      <c r="S274" s="17" t="str">
        <f>IF(Q274="","",VLOOKUP(Q274,'References (2)'!C:F,4,0))</f>
        <v/>
      </c>
      <c r="T274" s="16"/>
      <c r="U274" s="20"/>
      <c r="V274" s="15"/>
      <c r="W274" s="22"/>
      <c r="X274" s="16"/>
      <c r="Y274" s="22"/>
      <c r="Z274" s="25" t="str">
        <f t="shared" si="76"/>
        <v/>
      </c>
      <c r="AA274" s="17" t="str">
        <f t="shared" ca="1" si="77"/>
        <v/>
      </c>
      <c r="AB274" s="17" t="str">
        <f t="shared" ca="1" si="78"/>
        <v/>
      </c>
      <c r="AC274" s="17" t="str">
        <f t="shared" ca="1" si="79"/>
        <v/>
      </c>
      <c r="AD274" s="17" t="str">
        <f t="shared" ca="1" si="80"/>
        <v/>
      </c>
      <c r="AE274" s="17" t="str">
        <f t="shared" si="81"/>
        <v/>
      </c>
      <c r="AF274" s="17" t="str">
        <f t="shared" si="82"/>
        <v/>
      </c>
      <c r="AG274" s="17" t="str">
        <f t="shared" si="83"/>
        <v/>
      </c>
      <c r="AH274" s="17">
        <f t="shared" si="84"/>
        <v>0</v>
      </c>
      <c r="AI274" s="17" t="str">
        <f t="shared" ca="1" si="85"/>
        <v/>
      </c>
      <c r="AJ274" s="17" t="str">
        <f t="shared" ca="1" si="86"/>
        <v/>
      </c>
      <c r="AK274" s="17" t="str">
        <f t="shared" si="87"/>
        <v/>
      </c>
      <c r="AL274" s="17" t="str">
        <f t="shared" ca="1" si="88"/>
        <v/>
      </c>
      <c r="AN274" s="24">
        <f t="shared" si="89"/>
        <v>0</v>
      </c>
      <c r="AO274" s="24">
        <f t="shared" si="90"/>
        <v>0</v>
      </c>
      <c r="AP274" s="24">
        <f t="shared" si="91"/>
        <v>0</v>
      </c>
      <c r="AQ274" s="24">
        <f t="shared" si="92"/>
        <v>0</v>
      </c>
      <c r="AR274" s="24">
        <f t="shared" si="93"/>
        <v>0</v>
      </c>
      <c r="AS274" s="24">
        <f t="shared" si="94"/>
        <v>0</v>
      </c>
    </row>
    <row r="275" spans="1:45" x14ac:dyDescent="0.25">
      <c r="A275" s="83"/>
      <c r="B275" s="83"/>
      <c r="C275" s="83"/>
      <c r="D275" s="15"/>
      <c r="E275" s="15"/>
      <c r="F275" s="83"/>
      <c r="G275" s="83"/>
      <c r="H275" s="16"/>
      <c r="I275" s="83"/>
      <c r="J275" s="83"/>
      <c r="K275" s="16"/>
      <c r="L275" s="15"/>
      <c r="M275" s="20"/>
      <c r="N275" s="15"/>
      <c r="O275" s="20"/>
      <c r="P275" s="15"/>
      <c r="Q275" s="15"/>
      <c r="R275" s="17" t="str">
        <f>IF(Q275="","",VLOOKUP(Q275,'References (2)'!C:D,2,0))</f>
        <v/>
      </c>
      <c r="S275" s="17" t="str">
        <f>IF(Q275="","",VLOOKUP(Q275,'References (2)'!C:F,4,0))</f>
        <v/>
      </c>
      <c r="T275" s="16"/>
      <c r="U275" s="20"/>
      <c r="V275" s="15"/>
      <c r="W275" s="22"/>
      <c r="X275" s="16"/>
      <c r="Y275" s="22"/>
      <c r="Z275" s="25" t="str">
        <f t="shared" si="76"/>
        <v/>
      </c>
      <c r="AA275" s="17" t="str">
        <f t="shared" ca="1" si="77"/>
        <v/>
      </c>
      <c r="AB275" s="17" t="str">
        <f t="shared" ca="1" si="78"/>
        <v/>
      </c>
      <c r="AC275" s="17" t="str">
        <f t="shared" ca="1" si="79"/>
        <v/>
      </c>
      <c r="AD275" s="17" t="str">
        <f t="shared" ca="1" si="80"/>
        <v/>
      </c>
      <c r="AE275" s="17" t="str">
        <f t="shared" si="81"/>
        <v/>
      </c>
      <c r="AF275" s="17" t="str">
        <f t="shared" si="82"/>
        <v/>
      </c>
      <c r="AG275" s="17" t="str">
        <f t="shared" si="83"/>
        <v/>
      </c>
      <c r="AH275" s="17">
        <f t="shared" si="84"/>
        <v>0</v>
      </c>
      <c r="AI275" s="17" t="str">
        <f t="shared" ca="1" si="85"/>
        <v/>
      </c>
      <c r="AJ275" s="17" t="str">
        <f t="shared" ca="1" si="86"/>
        <v/>
      </c>
      <c r="AK275" s="17" t="str">
        <f t="shared" si="87"/>
        <v/>
      </c>
      <c r="AL275" s="17" t="str">
        <f t="shared" ca="1" si="88"/>
        <v/>
      </c>
      <c r="AN275" s="24">
        <f t="shared" si="89"/>
        <v>0</v>
      </c>
      <c r="AO275" s="24">
        <f t="shared" si="90"/>
        <v>0</v>
      </c>
      <c r="AP275" s="24">
        <f t="shared" si="91"/>
        <v>0</v>
      </c>
      <c r="AQ275" s="24">
        <f t="shared" si="92"/>
        <v>0</v>
      </c>
      <c r="AR275" s="24">
        <f t="shared" si="93"/>
        <v>0</v>
      </c>
      <c r="AS275" s="24">
        <f t="shared" si="94"/>
        <v>0</v>
      </c>
    </row>
    <row r="276" spans="1:45" x14ac:dyDescent="0.25">
      <c r="A276" s="83"/>
      <c r="B276" s="83"/>
      <c r="C276" s="83"/>
      <c r="D276" s="15"/>
      <c r="E276" s="15"/>
      <c r="F276" s="83"/>
      <c r="G276" s="83"/>
      <c r="H276" s="16"/>
      <c r="I276" s="83"/>
      <c r="J276" s="83"/>
      <c r="K276" s="16"/>
      <c r="L276" s="15"/>
      <c r="M276" s="20"/>
      <c r="N276" s="15"/>
      <c r="O276" s="20"/>
      <c r="P276" s="15"/>
      <c r="Q276" s="15"/>
      <c r="R276" s="17" t="str">
        <f>IF(Q276="","",VLOOKUP(Q276,'References (2)'!C:D,2,0))</f>
        <v/>
      </c>
      <c r="S276" s="17" t="str">
        <f>IF(Q276="","",VLOOKUP(Q276,'References (2)'!C:F,4,0))</f>
        <v/>
      </c>
      <c r="T276" s="16"/>
      <c r="U276" s="20"/>
      <c r="V276" s="15"/>
      <c r="W276" s="22"/>
      <c r="X276" s="16"/>
      <c r="Y276" s="22"/>
      <c r="Z276" s="25" t="str">
        <f t="shared" si="76"/>
        <v/>
      </c>
      <c r="AA276" s="17" t="str">
        <f t="shared" ca="1" si="77"/>
        <v/>
      </c>
      <c r="AB276" s="17" t="str">
        <f t="shared" ca="1" si="78"/>
        <v/>
      </c>
      <c r="AC276" s="17" t="str">
        <f t="shared" ca="1" si="79"/>
        <v/>
      </c>
      <c r="AD276" s="17" t="str">
        <f t="shared" ca="1" si="80"/>
        <v/>
      </c>
      <c r="AE276" s="17" t="str">
        <f t="shared" si="81"/>
        <v/>
      </c>
      <c r="AF276" s="17" t="str">
        <f t="shared" si="82"/>
        <v/>
      </c>
      <c r="AG276" s="17" t="str">
        <f t="shared" si="83"/>
        <v/>
      </c>
      <c r="AH276" s="17">
        <f t="shared" si="84"/>
        <v>0</v>
      </c>
      <c r="AI276" s="17" t="str">
        <f t="shared" ca="1" si="85"/>
        <v/>
      </c>
      <c r="AJ276" s="17" t="str">
        <f t="shared" ca="1" si="86"/>
        <v/>
      </c>
      <c r="AK276" s="17" t="str">
        <f t="shared" si="87"/>
        <v/>
      </c>
      <c r="AL276" s="17" t="str">
        <f t="shared" ca="1" si="88"/>
        <v/>
      </c>
      <c r="AN276" s="24">
        <f t="shared" si="89"/>
        <v>0</v>
      </c>
      <c r="AO276" s="24">
        <f t="shared" si="90"/>
        <v>0</v>
      </c>
      <c r="AP276" s="24">
        <f t="shared" si="91"/>
        <v>0</v>
      </c>
      <c r="AQ276" s="24">
        <f t="shared" si="92"/>
        <v>0</v>
      </c>
      <c r="AR276" s="24">
        <f t="shared" si="93"/>
        <v>0</v>
      </c>
      <c r="AS276" s="24">
        <f t="shared" si="94"/>
        <v>0</v>
      </c>
    </row>
    <row r="277" spans="1:45" x14ac:dyDescent="0.25">
      <c r="A277" s="83"/>
      <c r="B277" s="83"/>
      <c r="C277" s="83"/>
      <c r="D277" s="15"/>
      <c r="E277" s="15"/>
      <c r="F277" s="83"/>
      <c r="G277" s="83"/>
      <c r="H277" s="16"/>
      <c r="I277" s="83"/>
      <c r="J277" s="83"/>
      <c r="K277" s="16"/>
      <c r="L277" s="15"/>
      <c r="M277" s="20"/>
      <c r="N277" s="15"/>
      <c r="O277" s="20"/>
      <c r="P277" s="15"/>
      <c r="Q277" s="15"/>
      <c r="R277" s="17" t="str">
        <f>IF(Q277="","",VLOOKUP(Q277,'References (2)'!C:D,2,0))</f>
        <v/>
      </c>
      <c r="S277" s="17" t="str">
        <f>IF(Q277="","",VLOOKUP(Q277,'References (2)'!C:F,4,0))</f>
        <v/>
      </c>
      <c r="T277" s="16"/>
      <c r="U277" s="20"/>
      <c r="V277" s="15"/>
      <c r="W277" s="22"/>
      <c r="X277" s="16"/>
      <c r="Y277" s="22"/>
      <c r="Z277" s="25" t="str">
        <f t="shared" si="76"/>
        <v/>
      </c>
      <c r="AA277" s="17" t="str">
        <f t="shared" ca="1" si="77"/>
        <v/>
      </c>
      <c r="AB277" s="17" t="str">
        <f t="shared" ca="1" si="78"/>
        <v/>
      </c>
      <c r="AC277" s="17" t="str">
        <f t="shared" ca="1" si="79"/>
        <v/>
      </c>
      <c r="AD277" s="17" t="str">
        <f t="shared" ca="1" si="80"/>
        <v/>
      </c>
      <c r="AE277" s="17" t="str">
        <f t="shared" si="81"/>
        <v/>
      </c>
      <c r="AF277" s="17" t="str">
        <f t="shared" si="82"/>
        <v/>
      </c>
      <c r="AG277" s="17" t="str">
        <f t="shared" si="83"/>
        <v/>
      </c>
      <c r="AH277" s="17">
        <f t="shared" si="84"/>
        <v>0</v>
      </c>
      <c r="AI277" s="17" t="str">
        <f t="shared" ca="1" si="85"/>
        <v/>
      </c>
      <c r="AJ277" s="17" t="str">
        <f t="shared" ca="1" si="86"/>
        <v/>
      </c>
      <c r="AK277" s="17" t="str">
        <f t="shared" si="87"/>
        <v/>
      </c>
      <c r="AL277" s="17" t="str">
        <f t="shared" ca="1" si="88"/>
        <v/>
      </c>
      <c r="AN277" s="24">
        <f t="shared" si="89"/>
        <v>0</v>
      </c>
      <c r="AO277" s="24">
        <f t="shared" si="90"/>
        <v>0</v>
      </c>
      <c r="AP277" s="24">
        <f t="shared" si="91"/>
        <v>0</v>
      </c>
      <c r="AQ277" s="24">
        <f t="shared" si="92"/>
        <v>0</v>
      </c>
      <c r="AR277" s="24">
        <f t="shared" si="93"/>
        <v>0</v>
      </c>
      <c r="AS277" s="24">
        <f t="shared" si="94"/>
        <v>0</v>
      </c>
    </row>
    <row r="278" spans="1:45" x14ac:dyDescent="0.25">
      <c r="A278" s="83"/>
      <c r="B278" s="83"/>
      <c r="C278" s="83"/>
      <c r="D278" s="15"/>
      <c r="E278" s="15"/>
      <c r="F278" s="83"/>
      <c r="G278" s="83"/>
      <c r="H278" s="16"/>
      <c r="I278" s="83"/>
      <c r="J278" s="83"/>
      <c r="K278" s="16"/>
      <c r="L278" s="15"/>
      <c r="M278" s="20"/>
      <c r="N278" s="15"/>
      <c r="O278" s="20"/>
      <c r="P278" s="15"/>
      <c r="Q278" s="15"/>
      <c r="R278" s="17" t="str">
        <f>IF(Q278="","",VLOOKUP(Q278,'References (2)'!C:D,2,0))</f>
        <v/>
      </c>
      <c r="S278" s="17" t="str">
        <f>IF(Q278="","",VLOOKUP(Q278,'References (2)'!C:F,4,0))</f>
        <v/>
      </c>
      <c r="T278" s="16"/>
      <c r="U278" s="20"/>
      <c r="V278" s="15"/>
      <c r="W278" s="22"/>
      <c r="X278" s="16"/>
      <c r="Y278" s="22"/>
      <c r="Z278" s="25" t="str">
        <f t="shared" si="76"/>
        <v/>
      </c>
      <c r="AA278" s="17" t="str">
        <f t="shared" ca="1" si="77"/>
        <v/>
      </c>
      <c r="AB278" s="17" t="str">
        <f t="shared" ca="1" si="78"/>
        <v/>
      </c>
      <c r="AC278" s="17" t="str">
        <f t="shared" ca="1" si="79"/>
        <v/>
      </c>
      <c r="AD278" s="17" t="str">
        <f t="shared" ca="1" si="80"/>
        <v/>
      </c>
      <c r="AE278" s="17" t="str">
        <f t="shared" si="81"/>
        <v/>
      </c>
      <c r="AF278" s="17" t="str">
        <f t="shared" si="82"/>
        <v/>
      </c>
      <c r="AG278" s="17" t="str">
        <f t="shared" si="83"/>
        <v/>
      </c>
      <c r="AH278" s="17">
        <f t="shared" si="84"/>
        <v>0</v>
      </c>
      <c r="AI278" s="17" t="str">
        <f t="shared" ca="1" si="85"/>
        <v/>
      </c>
      <c r="AJ278" s="17" t="str">
        <f t="shared" ca="1" si="86"/>
        <v/>
      </c>
      <c r="AK278" s="17" t="str">
        <f t="shared" si="87"/>
        <v/>
      </c>
      <c r="AL278" s="17" t="str">
        <f t="shared" ca="1" si="88"/>
        <v/>
      </c>
      <c r="AN278" s="24">
        <f t="shared" si="89"/>
        <v>0</v>
      </c>
      <c r="AO278" s="24">
        <f t="shared" si="90"/>
        <v>0</v>
      </c>
      <c r="AP278" s="24">
        <f t="shared" si="91"/>
        <v>0</v>
      </c>
      <c r="AQ278" s="24">
        <f t="shared" si="92"/>
        <v>0</v>
      </c>
      <c r="AR278" s="24">
        <f t="shared" si="93"/>
        <v>0</v>
      </c>
      <c r="AS278" s="24">
        <f t="shared" si="94"/>
        <v>0</v>
      </c>
    </row>
    <row r="279" spans="1:45" x14ac:dyDescent="0.25">
      <c r="A279" s="83"/>
      <c r="B279" s="83"/>
      <c r="C279" s="83"/>
      <c r="D279" s="15"/>
      <c r="E279" s="15"/>
      <c r="F279" s="83"/>
      <c r="G279" s="83"/>
      <c r="H279" s="16"/>
      <c r="I279" s="83"/>
      <c r="J279" s="83"/>
      <c r="K279" s="16"/>
      <c r="L279" s="15"/>
      <c r="M279" s="20"/>
      <c r="N279" s="15"/>
      <c r="O279" s="20"/>
      <c r="P279" s="15"/>
      <c r="Q279" s="15"/>
      <c r="R279" s="17" t="str">
        <f>IF(Q279="","",VLOOKUP(Q279,'References (2)'!C:D,2,0))</f>
        <v/>
      </c>
      <c r="S279" s="17" t="str">
        <f>IF(Q279="","",VLOOKUP(Q279,'References (2)'!C:F,4,0))</f>
        <v/>
      </c>
      <c r="T279" s="16"/>
      <c r="U279" s="20"/>
      <c r="V279" s="15"/>
      <c r="W279" s="22"/>
      <c r="X279" s="16"/>
      <c r="Y279" s="22"/>
      <c r="Z279" s="25" t="str">
        <f t="shared" si="76"/>
        <v/>
      </c>
      <c r="AA279" s="17" t="str">
        <f t="shared" ca="1" si="77"/>
        <v/>
      </c>
      <c r="AB279" s="17" t="str">
        <f t="shared" ca="1" si="78"/>
        <v/>
      </c>
      <c r="AC279" s="17" t="str">
        <f t="shared" ca="1" si="79"/>
        <v/>
      </c>
      <c r="AD279" s="17" t="str">
        <f t="shared" ca="1" si="80"/>
        <v/>
      </c>
      <c r="AE279" s="17" t="str">
        <f t="shared" si="81"/>
        <v/>
      </c>
      <c r="AF279" s="17" t="str">
        <f t="shared" si="82"/>
        <v/>
      </c>
      <c r="AG279" s="17" t="str">
        <f t="shared" si="83"/>
        <v/>
      </c>
      <c r="AH279" s="17">
        <f t="shared" si="84"/>
        <v>0</v>
      </c>
      <c r="AI279" s="17" t="str">
        <f t="shared" ca="1" si="85"/>
        <v/>
      </c>
      <c r="AJ279" s="17" t="str">
        <f t="shared" ca="1" si="86"/>
        <v/>
      </c>
      <c r="AK279" s="17" t="str">
        <f t="shared" si="87"/>
        <v/>
      </c>
      <c r="AL279" s="17" t="str">
        <f t="shared" ca="1" si="88"/>
        <v/>
      </c>
      <c r="AN279" s="24">
        <f t="shared" si="89"/>
        <v>0</v>
      </c>
      <c r="AO279" s="24">
        <f t="shared" si="90"/>
        <v>0</v>
      </c>
      <c r="AP279" s="24">
        <f t="shared" si="91"/>
        <v>0</v>
      </c>
      <c r="AQ279" s="24">
        <f t="shared" si="92"/>
        <v>0</v>
      </c>
      <c r="AR279" s="24">
        <f t="shared" si="93"/>
        <v>0</v>
      </c>
      <c r="AS279" s="24">
        <f t="shared" si="94"/>
        <v>0</v>
      </c>
    </row>
    <row r="280" spans="1:45" x14ac:dyDescent="0.25">
      <c r="A280" s="83"/>
      <c r="B280" s="83"/>
      <c r="C280" s="83"/>
      <c r="D280" s="15"/>
      <c r="E280" s="15"/>
      <c r="F280" s="83"/>
      <c r="G280" s="83"/>
      <c r="H280" s="16"/>
      <c r="I280" s="83"/>
      <c r="J280" s="83"/>
      <c r="K280" s="16"/>
      <c r="L280" s="15"/>
      <c r="M280" s="20"/>
      <c r="N280" s="15"/>
      <c r="O280" s="20"/>
      <c r="P280" s="15"/>
      <c r="Q280" s="15"/>
      <c r="R280" s="17" t="str">
        <f>IF(Q280="","",VLOOKUP(Q280,'References (2)'!C:D,2,0))</f>
        <v/>
      </c>
      <c r="S280" s="17" t="str">
        <f>IF(Q280="","",VLOOKUP(Q280,'References (2)'!C:F,4,0))</f>
        <v/>
      </c>
      <c r="T280" s="16"/>
      <c r="U280" s="20"/>
      <c r="V280" s="15"/>
      <c r="W280" s="22"/>
      <c r="X280" s="16"/>
      <c r="Y280" s="22"/>
      <c r="Z280" s="25" t="str">
        <f t="shared" si="76"/>
        <v/>
      </c>
      <c r="AA280" s="17" t="str">
        <f t="shared" ca="1" si="77"/>
        <v/>
      </c>
      <c r="AB280" s="17" t="str">
        <f t="shared" ca="1" si="78"/>
        <v/>
      </c>
      <c r="AC280" s="17" t="str">
        <f t="shared" ca="1" si="79"/>
        <v/>
      </c>
      <c r="AD280" s="17" t="str">
        <f t="shared" ca="1" si="80"/>
        <v/>
      </c>
      <c r="AE280" s="17" t="str">
        <f t="shared" si="81"/>
        <v/>
      </c>
      <c r="AF280" s="17" t="str">
        <f t="shared" si="82"/>
        <v/>
      </c>
      <c r="AG280" s="17" t="str">
        <f t="shared" si="83"/>
        <v/>
      </c>
      <c r="AH280" s="17">
        <f t="shared" si="84"/>
        <v>0</v>
      </c>
      <c r="AI280" s="17" t="str">
        <f t="shared" ca="1" si="85"/>
        <v/>
      </c>
      <c r="AJ280" s="17" t="str">
        <f t="shared" ca="1" si="86"/>
        <v/>
      </c>
      <c r="AK280" s="17" t="str">
        <f t="shared" si="87"/>
        <v/>
      </c>
      <c r="AL280" s="17" t="str">
        <f t="shared" ca="1" si="88"/>
        <v/>
      </c>
      <c r="AN280" s="24">
        <f t="shared" si="89"/>
        <v>0</v>
      </c>
      <c r="AO280" s="24">
        <f t="shared" si="90"/>
        <v>0</v>
      </c>
      <c r="AP280" s="24">
        <f t="shared" si="91"/>
        <v>0</v>
      </c>
      <c r="AQ280" s="24">
        <f t="shared" si="92"/>
        <v>0</v>
      </c>
      <c r="AR280" s="24">
        <f t="shared" si="93"/>
        <v>0</v>
      </c>
      <c r="AS280" s="24">
        <f t="shared" si="94"/>
        <v>0</v>
      </c>
    </row>
    <row r="281" spans="1:45" x14ac:dyDescent="0.25">
      <c r="A281" s="83"/>
      <c r="B281" s="83"/>
      <c r="C281" s="83"/>
      <c r="D281" s="15"/>
      <c r="E281" s="15"/>
      <c r="F281" s="83"/>
      <c r="G281" s="83"/>
      <c r="H281" s="16"/>
      <c r="I281" s="83"/>
      <c r="J281" s="83"/>
      <c r="K281" s="16"/>
      <c r="L281" s="15"/>
      <c r="M281" s="20"/>
      <c r="N281" s="15"/>
      <c r="O281" s="20"/>
      <c r="P281" s="15"/>
      <c r="Q281" s="15"/>
      <c r="R281" s="17" t="str">
        <f>IF(Q281="","",VLOOKUP(Q281,'References (2)'!C:D,2,0))</f>
        <v/>
      </c>
      <c r="S281" s="17" t="str">
        <f>IF(Q281="","",VLOOKUP(Q281,'References (2)'!C:F,4,0))</f>
        <v/>
      </c>
      <c r="T281" s="16"/>
      <c r="U281" s="20"/>
      <c r="V281" s="15"/>
      <c r="W281" s="22"/>
      <c r="X281" s="16"/>
      <c r="Y281" s="22"/>
      <c r="Z281" s="25" t="str">
        <f t="shared" si="76"/>
        <v/>
      </c>
      <c r="AA281" s="17" t="str">
        <f t="shared" ca="1" si="77"/>
        <v/>
      </c>
      <c r="AB281" s="17" t="str">
        <f t="shared" ca="1" si="78"/>
        <v/>
      </c>
      <c r="AC281" s="17" t="str">
        <f t="shared" ca="1" si="79"/>
        <v/>
      </c>
      <c r="AD281" s="17" t="str">
        <f t="shared" ca="1" si="80"/>
        <v/>
      </c>
      <c r="AE281" s="17" t="str">
        <f t="shared" si="81"/>
        <v/>
      </c>
      <c r="AF281" s="17" t="str">
        <f t="shared" si="82"/>
        <v/>
      </c>
      <c r="AG281" s="17" t="str">
        <f t="shared" si="83"/>
        <v/>
      </c>
      <c r="AH281" s="17">
        <f t="shared" si="84"/>
        <v>0</v>
      </c>
      <c r="AI281" s="17" t="str">
        <f t="shared" ca="1" si="85"/>
        <v/>
      </c>
      <c r="AJ281" s="17" t="str">
        <f t="shared" ca="1" si="86"/>
        <v/>
      </c>
      <c r="AK281" s="17" t="str">
        <f t="shared" si="87"/>
        <v/>
      </c>
      <c r="AL281" s="17" t="str">
        <f t="shared" ca="1" si="88"/>
        <v/>
      </c>
      <c r="AN281" s="24">
        <f t="shared" si="89"/>
        <v>0</v>
      </c>
      <c r="AO281" s="24">
        <f t="shared" si="90"/>
        <v>0</v>
      </c>
      <c r="AP281" s="24">
        <f t="shared" si="91"/>
        <v>0</v>
      </c>
      <c r="AQ281" s="24">
        <f t="shared" si="92"/>
        <v>0</v>
      </c>
      <c r="AR281" s="24">
        <f t="shared" si="93"/>
        <v>0</v>
      </c>
      <c r="AS281" s="24">
        <f t="shared" si="94"/>
        <v>0</v>
      </c>
    </row>
    <row r="282" spans="1:45" x14ac:dyDescent="0.25">
      <c r="A282" s="83"/>
      <c r="B282" s="83"/>
      <c r="C282" s="83"/>
      <c r="D282" s="15"/>
      <c r="E282" s="15"/>
      <c r="F282" s="83"/>
      <c r="G282" s="83"/>
      <c r="H282" s="16"/>
      <c r="I282" s="83"/>
      <c r="J282" s="83"/>
      <c r="K282" s="16"/>
      <c r="L282" s="15"/>
      <c r="M282" s="20"/>
      <c r="N282" s="15"/>
      <c r="O282" s="20"/>
      <c r="P282" s="15"/>
      <c r="Q282" s="15"/>
      <c r="R282" s="17" t="str">
        <f>IF(Q282="","",VLOOKUP(Q282,'References (2)'!C:D,2,0))</f>
        <v/>
      </c>
      <c r="S282" s="17" t="str">
        <f>IF(Q282="","",VLOOKUP(Q282,'References (2)'!C:F,4,0))</f>
        <v/>
      </c>
      <c r="T282" s="16"/>
      <c r="U282" s="20"/>
      <c r="V282" s="15"/>
      <c r="W282" s="22"/>
      <c r="X282" s="16"/>
      <c r="Y282" s="22"/>
      <c r="Z282" s="25" t="str">
        <f t="shared" si="76"/>
        <v/>
      </c>
      <c r="AA282" s="17" t="str">
        <f t="shared" ca="1" si="77"/>
        <v/>
      </c>
      <c r="AB282" s="17" t="str">
        <f t="shared" ca="1" si="78"/>
        <v/>
      </c>
      <c r="AC282" s="17" t="str">
        <f t="shared" ca="1" si="79"/>
        <v/>
      </c>
      <c r="AD282" s="17" t="str">
        <f t="shared" ca="1" si="80"/>
        <v/>
      </c>
      <c r="AE282" s="17" t="str">
        <f t="shared" si="81"/>
        <v/>
      </c>
      <c r="AF282" s="17" t="str">
        <f t="shared" si="82"/>
        <v/>
      </c>
      <c r="AG282" s="17" t="str">
        <f t="shared" si="83"/>
        <v/>
      </c>
      <c r="AH282" s="17">
        <f t="shared" si="84"/>
        <v>0</v>
      </c>
      <c r="AI282" s="17" t="str">
        <f t="shared" ca="1" si="85"/>
        <v/>
      </c>
      <c r="AJ282" s="17" t="str">
        <f t="shared" ca="1" si="86"/>
        <v/>
      </c>
      <c r="AK282" s="17" t="str">
        <f t="shared" si="87"/>
        <v/>
      </c>
      <c r="AL282" s="17" t="str">
        <f t="shared" ca="1" si="88"/>
        <v/>
      </c>
      <c r="AN282" s="24">
        <f t="shared" si="89"/>
        <v>0</v>
      </c>
      <c r="AO282" s="24">
        <f t="shared" si="90"/>
        <v>0</v>
      </c>
      <c r="AP282" s="24">
        <f t="shared" si="91"/>
        <v>0</v>
      </c>
      <c r="AQ282" s="24">
        <f t="shared" si="92"/>
        <v>0</v>
      </c>
      <c r="AR282" s="24">
        <f t="shared" si="93"/>
        <v>0</v>
      </c>
      <c r="AS282" s="24">
        <f t="shared" si="94"/>
        <v>0</v>
      </c>
    </row>
    <row r="283" spans="1:45" x14ac:dyDescent="0.25">
      <c r="A283" s="83"/>
      <c r="B283" s="83"/>
      <c r="C283" s="83"/>
      <c r="D283" s="15"/>
      <c r="E283" s="15"/>
      <c r="F283" s="83"/>
      <c r="G283" s="83"/>
      <c r="H283" s="16"/>
      <c r="I283" s="83"/>
      <c r="J283" s="83"/>
      <c r="K283" s="16"/>
      <c r="L283" s="15"/>
      <c r="M283" s="20"/>
      <c r="N283" s="15"/>
      <c r="O283" s="20"/>
      <c r="P283" s="15"/>
      <c r="Q283" s="15"/>
      <c r="R283" s="17" t="str">
        <f>IF(Q283="","",VLOOKUP(Q283,'References (2)'!C:D,2,0))</f>
        <v/>
      </c>
      <c r="S283" s="17" t="str">
        <f>IF(Q283="","",VLOOKUP(Q283,'References (2)'!C:F,4,0))</f>
        <v/>
      </c>
      <c r="T283" s="16"/>
      <c r="U283" s="20"/>
      <c r="V283" s="15"/>
      <c r="W283" s="22"/>
      <c r="X283" s="16"/>
      <c r="Y283" s="22"/>
      <c r="Z283" s="25" t="str">
        <f t="shared" si="76"/>
        <v/>
      </c>
      <c r="AA283" s="17" t="str">
        <f t="shared" ca="1" si="77"/>
        <v/>
      </c>
      <c r="AB283" s="17" t="str">
        <f t="shared" ca="1" si="78"/>
        <v/>
      </c>
      <c r="AC283" s="17" t="str">
        <f t="shared" ca="1" si="79"/>
        <v/>
      </c>
      <c r="AD283" s="17" t="str">
        <f t="shared" ca="1" si="80"/>
        <v/>
      </c>
      <c r="AE283" s="17" t="str">
        <f t="shared" si="81"/>
        <v/>
      </c>
      <c r="AF283" s="17" t="str">
        <f t="shared" si="82"/>
        <v/>
      </c>
      <c r="AG283" s="17" t="str">
        <f t="shared" si="83"/>
        <v/>
      </c>
      <c r="AH283" s="17">
        <f t="shared" si="84"/>
        <v>0</v>
      </c>
      <c r="AI283" s="17" t="str">
        <f t="shared" ca="1" si="85"/>
        <v/>
      </c>
      <c r="AJ283" s="17" t="str">
        <f t="shared" ca="1" si="86"/>
        <v/>
      </c>
      <c r="AK283" s="17" t="str">
        <f t="shared" si="87"/>
        <v/>
      </c>
      <c r="AL283" s="17" t="str">
        <f t="shared" ca="1" si="88"/>
        <v/>
      </c>
      <c r="AN283" s="24">
        <f t="shared" si="89"/>
        <v>0</v>
      </c>
      <c r="AO283" s="24">
        <f t="shared" si="90"/>
        <v>0</v>
      </c>
      <c r="AP283" s="24">
        <f t="shared" si="91"/>
        <v>0</v>
      </c>
      <c r="AQ283" s="24">
        <f t="shared" si="92"/>
        <v>0</v>
      </c>
      <c r="AR283" s="24">
        <f t="shared" si="93"/>
        <v>0</v>
      </c>
      <c r="AS283" s="24">
        <f t="shared" si="94"/>
        <v>0</v>
      </c>
    </row>
    <row r="284" spans="1:45" x14ac:dyDescent="0.25">
      <c r="A284" s="83"/>
      <c r="B284" s="83"/>
      <c r="C284" s="83"/>
      <c r="D284" s="15"/>
      <c r="E284" s="15"/>
      <c r="F284" s="83"/>
      <c r="G284" s="83"/>
      <c r="H284" s="16"/>
      <c r="I284" s="83"/>
      <c r="J284" s="83"/>
      <c r="K284" s="16"/>
      <c r="L284" s="15"/>
      <c r="M284" s="20"/>
      <c r="N284" s="15"/>
      <c r="O284" s="20"/>
      <c r="P284" s="15"/>
      <c r="Q284" s="15"/>
      <c r="R284" s="17" t="str">
        <f>IF(Q284="","",VLOOKUP(Q284,'References (2)'!C:D,2,0))</f>
        <v/>
      </c>
      <c r="S284" s="17" t="str">
        <f>IF(Q284="","",VLOOKUP(Q284,'References (2)'!C:F,4,0))</f>
        <v/>
      </c>
      <c r="T284" s="16"/>
      <c r="U284" s="20"/>
      <c r="V284" s="15"/>
      <c r="W284" s="22"/>
      <c r="X284" s="16"/>
      <c r="Y284" s="22"/>
      <c r="Z284" s="25" t="str">
        <f t="shared" si="76"/>
        <v/>
      </c>
      <c r="AA284" s="17" t="str">
        <f t="shared" ca="1" si="77"/>
        <v/>
      </c>
      <c r="AB284" s="17" t="str">
        <f t="shared" ca="1" si="78"/>
        <v/>
      </c>
      <c r="AC284" s="17" t="str">
        <f t="shared" ca="1" si="79"/>
        <v/>
      </c>
      <c r="AD284" s="17" t="str">
        <f t="shared" ca="1" si="80"/>
        <v/>
      </c>
      <c r="AE284" s="17" t="str">
        <f t="shared" si="81"/>
        <v/>
      </c>
      <c r="AF284" s="17" t="str">
        <f t="shared" si="82"/>
        <v/>
      </c>
      <c r="AG284" s="17" t="str">
        <f t="shared" si="83"/>
        <v/>
      </c>
      <c r="AH284" s="17">
        <f t="shared" si="84"/>
        <v>0</v>
      </c>
      <c r="AI284" s="17" t="str">
        <f t="shared" ca="1" si="85"/>
        <v/>
      </c>
      <c r="AJ284" s="17" t="str">
        <f t="shared" ca="1" si="86"/>
        <v/>
      </c>
      <c r="AK284" s="17" t="str">
        <f t="shared" si="87"/>
        <v/>
      </c>
      <c r="AL284" s="17" t="str">
        <f t="shared" ca="1" si="88"/>
        <v/>
      </c>
      <c r="AN284" s="24">
        <f t="shared" si="89"/>
        <v>0</v>
      </c>
      <c r="AO284" s="24">
        <f t="shared" si="90"/>
        <v>0</v>
      </c>
      <c r="AP284" s="24">
        <f t="shared" si="91"/>
        <v>0</v>
      </c>
      <c r="AQ284" s="24">
        <f t="shared" si="92"/>
        <v>0</v>
      </c>
      <c r="AR284" s="24">
        <f t="shared" si="93"/>
        <v>0</v>
      </c>
      <c r="AS284" s="24">
        <f t="shared" si="94"/>
        <v>0</v>
      </c>
    </row>
    <row r="285" spans="1:45" x14ac:dyDescent="0.25">
      <c r="A285" s="83"/>
      <c r="B285" s="83"/>
      <c r="C285" s="83"/>
      <c r="D285" s="15"/>
      <c r="E285" s="15"/>
      <c r="F285" s="83"/>
      <c r="G285" s="83"/>
      <c r="H285" s="16"/>
      <c r="I285" s="83"/>
      <c r="J285" s="83"/>
      <c r="K285" s="16"/>
      <c r="L285" s="15"/>
      <c r="M285" s="20"/>
      <c r="N285" s="15"/>
      <c r="O285" s="20"/>
      <c r="P285" s="15"/>
      <c r="Q285" s="15"/>
      <c r="R285" s="17" t="str">
        <f>IF(Q285="","",VLOOKUP(Q285,'References (2)'!C:D,2,0))</f>
        <v/>
      </c>
      <c r="S285" s="17" t="str">
        <f>IF(Q285="","",VLOOKUP(Q285,'References (2)'!C:F,4,0))</f>
        <v/>
      </c>
      <c r="T285" s="16"/>
      <c r="U285" s="20"/>
      <c r="V285" s="15"/>
      <c r="W285" s="22"/>
      <c r="X285" s="16"/>
      <c r="Y285" s="22"/>
      <c r="Z285" s="25" t="str">
        <f t="shared" si="76"/>
        <v/>
      </c>
      <c r="AA285" s="17" t="str">
        <f t="shared" ca="1" si="77"/>
        <v/>
      </c>
      <c r="AB285" s="17" t="str">
        <f t="shared" ca="1" si="78"/>
        <v/>
      </c>
      <c r="AC285" s="17" t="str">
        <f t="shared" ca="1" si="79"/>
        <v/>
      </c>
      <c r="AD285" s="17" t="str">
        <f t="shared" ca="1" si="80"/>
        <v/>
      </c>
      <c r="AE285" s="17" t="str">
        <f t="shared" si="81"/>
        <v/>
      </c>
      <c r="AF285" s="17" t="str">
        <f t="shared" si="82"/>
        <v/>
      </c>
      <c r="AG285" s="17" t="str">
        <f t="shared" si="83"/>
        <v/>
      </c>
      <c r="AH285" s="17">
        <f t="shared" si="84"/>
        <v>0</v>
      </c>
      <c r="AI285" s="17" t="str">
        <f t="shared" ca="1" si="85"/>
        <v/>
      </c>
      <c r="AJ285" s="17" t="str">
        <f t="shared" ca="1" si="86"/>
        <v/>
      </c>
      <c r="AK285" s="17" t="str">
        <f t="shared" si="87"/>
        <v/>
      </c>
      <c r="AL285" s="17" t="str">
        <f t="shared" ca="1" si="88"/>
        <v/>
      </c>
      <c r="AN285" s="24">
        <f t="shared" si="89"/>
        <v>0</v>
      </c>
      <c r="AO285" s="24">
        <f t="shared" si="90"/>
        <v>0</v>
      </c>
      <c r="AP285" s="24">
        <f t="shared" si="91"/>
        <v>0</v>
      </c>
      <c r="AQ285" s="24">
        <f t="shared" si="92"/>
        <v>0</v>
      </c>
      <c r="AR285" s="24">
        <f t="shared" si="93"/>
        <v>0</v>
      </c>
      <c r="AS285" s="24">
        <f t="shared" si="94"/>
        <v>0</v>
      </c>
    </row>
    <row r="286" spans="1:45" x14ac:dyDescent="0.25">
      <c r="A286" s="83"/>
      <c r="B286" s="83"/>
      <c r="C286" s="83"/>
      <c r="D286" s="15"/>
      <c r="E286" s="15"/>
      <c r="F286" s="83"/>
      <c r="G286" s="83"/>
      <c r="H286" s="16"/>
      <c r="I286" s="83"/>
      <c r="J286" s="83"/>
      <c r="K286" s="16"/>
      <c r="L286" s="15"/>
      <c r="M286" s="20"/>
      <c r="N286" s="15"/>
      <c r="O286" s="20"/>
      <c r="P286" s="15"/>
      <c r="Q286" s="15"/>
      <c r="R286" s="17" t="str">
        <f>IF(Q286="","",VLOOKUP(Q286,'References (2)'!C:D,2,0))</f>
        <v/>
      </c>
      <c r="S286" s="17" t="str">
        <f>IF(Q286="","",VLOOKUP(Q286,'References (2)'!C:F,4,0))</f>
        <v/>
      </c>
      <c r="T286" s="16"/>
      <c r="U286" s="20"/>
      <c r="V286" s="15"/>
      <c r="W286" s="22"/>
      <c r="X286" s="16"/>
      <c r="Y286" s="22"/>
      <c r="Z286" s="25" t="str">
        <f t="shared" si="76"/>
        <v/>
      </c>
      <c r="AA286" s="17" t="str">
        <f t="shared" ca="1" si="77"/>
        <v/>
      </c>
      <c r="AB286" s="17" t="str">
        <f t="shared" ca="1" si="78"/>
        <v/>
      </c>
      <c r="AC286" s="17" t="str">
        <f t="shared" ca="1" si="79"/>
        <v/>
      </c>
      <c r="AD286" s="17" t="str">
        <f t="shared" ca="1" si="80"/>
        <v/>
      </c>
      <c r="AE286" s="17" t="str">
        <f t="shared" si="81"/>
        <v/>
      </c>
      <c r="AF286" s="17" t="str">
        <f t="shared" si="82"/>
        <v/>
      </c>
      <c r="AG286" s="17" t="str">
        <f t="shared" si="83"/>
        <v/>
      </c>
      <c r="AH286" s="17">
        <f t="shared" si="84"/>
        <v>0</v>
      </c>
      <c r="AI286" s="17" t="str">
        <f t="shared" ca="1" si="85"/>
        <v/>
      </c>
      <c r="AJ286" s="17" t="str">
        <f t="shared" ca="1" si="86"/>
        <v/>
      </c>
      <c r="AK286" s="17" t="str">
        <f t="shared" si="87"/>
        <v/>
      </c>
      <c r="AL286" s="17" t="str">
        <f t="shared" ca="1" si="88"/>
        <v/>
      </c>
      <c r="AN286" s="24">
        <f t="shared" si="89"/>
        <v>0</v>
      </c>
      <c r="AO286" s="24">
        <f t="shared" si="90"/>
        <v>0</v>
      </c>
      <c r="AP286" s="24">
        <f t="shared" si="91"/>
        <v>0</v>
      </c>
      <c r="AQ286" s="24">
        <f t="shared" si="92"/>
        <v>0</v>
      </c>
      <c r="AR286" s="24">
        <f t="shared" si="93"/>
        <v>0</v>
      </c>
      <c r="AS286" s="24">
        <f t="shared" si="94"/>
        <v>0</v>
      </c>
    </row>
    <row r="287" spans="1:45" x14ac:dyDescent="0.25">
      <c r="A287" s="83"/>
      <c r="B287" s="83"/>
      <c r="C287" s="83"/>
      <c r="D287" s="15"/>
      <c r="E287" s="15"/>
      <c r="F287" s="83"/>
      <c r="G287" s="83"/>
      <c r="H287" s="16"/>
      <c r="I287" s="83"/>
      <c r="J287" s="83"/>
      <c r="K287" s="16"/>
      <c r="L287" s="15"/>
      <c r="M287" s="20"/>
      <c r="N287" s="15"/>
      <c r="O287" s="20"/>
      <c r="P287" s="15"/>
      <c r="Q287" s="15"/>
      <c r="R287" s="17" t="str">
        <f>IF(Q287="","",VLOOKUP(Q287,'References (2)'!C:D,2,0))</f>
        <v/>
      </c>
      <c r="S287" s="17" t="str">
        <f>IF(Q287="","",VLOOKUP(Q287,'References (2)'!C:F,4,0))</f>
        <v/>
      </c>
      <c r="T287" s="16"/>
      <c r="U287" s="20"/>
      <c r="V287" s="15"/>
      <c r="W287" s="22"/>
      <c r="X287" s="16"/>
      <c r="Y287" s="22"/>
      <c r="Z287" s="25" t="str">
        <f t="shared" si="76"/>
        <v/>
      </c>
      <c r="AA287" s="17" t="str">
        <f t="shared" ca="1" si="77"/>
        <v/>
      </c>
      <c r="AB287" s="17" t="str">
        <f t="shared" ca="1" si="78"/>
        <v/>
      </c>
      <c r="AC287" s="17" t="str">
        <f t="shared" ca="1" si="79"/>
        <v/>
      </c>
      <c r="AD287" s="17" t="str">
        <f t="shared" ca="1" si="80"/>
        <v/>
      </c>
      <c r="AE287" s="17" t="str">
        <f t="shared" si="81"/>
        <v/>
      </c>
      <c r="AF287" s="17" t="str">
        <f t="shared" si="82"/>
        <v/>
      </c>
      <c r="AG287" s="17" t="str">
        <f t="shared" si="83"/>
        <v/>
      </c>
      <c r="AH287" s="17">
        <f t="shared" si="84"/>
        <v>0</v>
      </c>
      <c r="AI287" s="17" t="str">
        <f t="shared" ca="1" si="85"/>
        <v/>
      </c>
      <c r="AJ287" s="17" t="str">
        <f t="shared" ca="1" si="86"/>
        <v/>
      </c>
      <c r="AK287" s="17" t="str">
        <f t="shared" si="87"/>
        <v/>
      </c>
      <c r="AL287" s="17" t="str">
        <f t="shared" ca="1" si="88"/>
        <v/>
      </c>
      <c r="AN287" s="24">
        <f t="shared" si="89"/>
        <v>0</v>
      </c>
      <c r="AO287" s="24">
        <f t="shared" si="90"/>
        <v>0</v>
      </c>
      <c r="AP287" s="24">
        <f t="shared" si="91"/>
        <v>0</v>
      </c>
      <c r="AQ287" s="24">
        <f t="shared" si="92"/>
        <v>0</v>
      </c>
      <c r="AR287" s="24">
        <f t="shared" si="93"/>
        <v>0</v>
      </c>
      <c r="AS287" s="24">
        <f t="shared" si="94"/>
        <v>0</v>
      </c>
    </row>
    <row r="288" spans="1:45" x14ac:dyDescent="0.25">
      <c r="A288" s="83"/>
      <c r="B288" s="83"/>
      <c r="C288" s="83"/>
      <c r="D288" s="15"/>
      <c r="E288" s="15"/>
      <c r="F288" s="83"/>
      <c r="G288" s="83"/>
      <c r="H288" s="16"/>
      <c r="I288" s="83"/>
      <c r="J288" s="83"/>
      <c r="K288" s="16"/>
      <c r="L288" s="15"/>
      <c r="M288" s="20"/>
      <c r="N288" s="15"/>
      <c r="O288" s="20"/>
      <c r="P288" s="15"/>
      <c r="Q288" s="15"/>
      <c r="R288" s="17" t="str">
        <f>IF(Q288="","",VLOOKUP(Q288,'References (2)'!C:D,2,0))</f>
        <v/>
      </c>
      <c r="S288" s="17" t="str">
        <f>IF(Q288="","",VLOOKUP(Q288,'References (2)'!C:F,4,0))</f>
        <v/>
      </c>
      <c r="T288" s="16"/>
      <c r="U288" s="20"/>
      <c r="V288" s="15"/>
      <c r="W288" s="22"/>
      <c r="X288" s="16"/>
      <c r="Y288" s="22"/>
      <c r="Z288" s="25" t="str">
        <f t="shared" si="76"/>
        <v/>
      </c>
      <c r="AA288" s="17" t="str">
        <f t="shared" ca="1" si="77"/>
        <v/>
      </c>
      <c r="AB288" s="17" t="str">
        <f t="shared" ca="1" si="78"/>
        <v/>
      </c>
      <c r="AC288" s="17" t="str">
        <f t="shared" ca="1" si="79"/>
        <v/>
      </c>
      <c r="AD288" s="17" t="str">
        <f t="shared" ca="1" si="80"/>
        <v/>
      </c>
      <c r="AE288" s="17" t="str">
        <f t="shared" si="81"/>
        <v/>
      </c>
      <c r="AF288" s="17" t="str">
        <f t="shared" si="82"/>
        <v/>
      </c>
      <c r="AG288" s="17" t="str">
        <f t="shared" si="83"/>
        <v/>
      </c>
      <c r="AH288" s="17">
        <f t="shared" si="84"/>
        <v>0</v>
      </c>
      <c r="AI288" s="17" t="str">
        <f t="shared" ca="1" si="85"/>
        <v/>
      </c>
      <c r="AJ288" s="17" t="str">
        <f t="shared" ca="1" si="86"/>
        <v/>
      </c>
      <c r="AK288" s="17" t="str">
        <f t="shared" si="87"/>
        <v/>
      </c>
      <c r="AL288" s="17" t="str">
        <f t="shared" ca="1" si="88"/>
        <v/>
      </c>
      <c r="AN288" s="24">
        <f t="shared" si="89"/>
        <v>0</v>
      </c>
      <c r="AO288" s="24">
        <f t="shared" si="90"/>
        <v>0</v>
      </c>
      <c r="AP288" s="24">
        <f t="shared" si="91"/>
        <v>0</v>
      </c>
      <c r="AQ288" s="24">
        <f t="shared" si="92"/>
        <v>0</v>
      </c>
      <c r="AR288" s="24">
        <f t="shared" si="93"/>
        <v>0</v>
      </c>
      <c r="AS288" s="24">
        <f t="shared" si="94"/>
        <v>0</v>
      </c>
    </row>
    <row r="289" spans="1:45" x14ac:dyDescent="0.25">
      <c r="A289" s="83"/>
      <c r="B289" s="83"/>
      <c r="C289" s="83"/>
      <c r="D289" s="15"/>
      <c r="E289" s="15"/>
      <c r="F289" s="83"/>
      <c r="G289" s="83"/>
      <c r="H289" s="16"/>
      <c r="I289" s="83"/>
      <c r="J289" s="83"/>
      <c r="K289" s="16"/>
      <c r="L289" s="15"/>
      <c r="M289" s="20"/>
      <c r="N289" s="15"/>
      <c r="O289" s="20"/>
      <c r="P289" s="15"/>
      <c r="Q289" s="15"/>
      <c r="R289" s="17" t="str">
        <f>IF(Q289="","",VLOOKUP(Q289,'References (2)'!C:D,2,0))</f>
        <v/>
      </c>
      <c r="S289" s="17" t="str">
        <f>IF(Q289="","",VLOOKUP(Q289,'References (2)'!C:F,4,0))</f>
        <v/>
      </c>
      <c r="T289" s="16"/>
      <c r="U289" s="20"/>
      <c r="V289" s="15"/>
      <c r="W289" s="22"/>
      <c r="X289" s="16"/>
      <c r="Y289" s="22"/>
      <c r="Z289" s="25" t="str">
        <f t="shared" si="76"/>
        <v/>
      </c>
      <c r="AA289" s="17" t="str">
        <f t="shared" ca="1" si="77"/>
        <v/>
      </c>
      <c r="AB289" s="17" t="str">
        <f t="shared" ca="1" si="78"/>
        <v/>
      </c>
      <c r="AC289" s="17" t="str">
        <f t="shared" ca="1" si="79"/>
        <v/>
      </c>
      <c r="AD289" s="17" t="str">
        <f t="shared" ca="1" si="80"/>
        <v/>
      </c>
      <c r="AE289" s="17" t="str">
        <f t="shared" si="81"/>
        <v/>
      </c>
      <c r="AF289" s="17" t="str">
        <f t="shared" si="82"/>
        <v/>
      </c>
      <c r="AG289" s="17" t="str">
        <f t="shared" si="83"/>
        <v/>
      </c>
      <c r="AH289" s="17">
        <f t="shared" si="84"/>
        <v>0</v>
      </c>
      <c r="AI289" s="17" t="str">
        <f t="shared" ca="1" si="85"/>
        <v/>
      </c>
      <c r="AJ289" s="17" t="str">
        <f t="shared" ca="1" si="86"/>
        <v/>
      </c>
      <c r="AK289" s="17" t="str">
        <f t="shared" si="87"/>
        <v/>
      </c>
      <c r="AL289" s="17" t="str">
        <f t="shared" ca="1" si="88"/>
        <v/>
      </c>
      <c r="AN289" s="24">
        <f t="shared" si="89"/>
        <v>0</v>
      </c>
      <c r="AO289" s="24">
        <f t="shared" si="90"/>
        <v>0</v>
      </c>
      <c r="AP289" s="24">
        <f t="shared" si="91"/>
        <v>0</v>
      </c>
      <c r="AQ289" s="24">
        <f t="shared" si="92"/>
        <v>0</v>
      </c>
      <c r="AR289" s="24">
        <f t="shared" si="93"/>
        <v>0</v>
      </c>
      <c r="AS289" s="24">
        <f t="shared" si="94"/>
        <v>0</v>
      </c>
    </row>
    <row r="290" spans="1:45" x14ac:dyDescent="0.25">
      <c r="A290" s="83"/>
      <c r="B290" s="83"/>
      <c r="C290" s="83"/>
      <c r="D290" s="15"/>
      <c r="E290" s="15"/>
      <c r="F290" s="83"/>
      <c r="G290" s="83"/>
      <c r="H290" s="16"/>
      <c r="I290" s="83"/>
      <c r="J290" s="83"/>
      <c r="K290" s="16"/>
      <c r="L290" s="15"/>
      <c r="M290" s="20"/>
      <c r="N290" s="15"/>
      <c r="O290" s="20"/>
      <c r="P290" s="15"/>
      <c r="Q290" s="15"/>
      <c r="R290" s="17" t="str">
        <f>IF(Q290="","",VLOOKUP(Q290,'References (2)'!C:D,2,0))</f>
        <v/>
      </c>
      <c r="S290" s="17" t="str">
        <f>IF(Q290="","",VLOOKUP(Q290,'References (2)'!C:F,4,0))</f>
        <v/>
      </c>
      <c r="T290" s="16"/>
      <c r="U290" s="20"/>
      <c r="V290" s="15"/>
      <c r="W290" s="22"/>
      <c r="X290" s="16"/>
      <c r="Y290" s="22"/>
      <c r="Z290" s="25" t="str">
        <f t="shared" si="76"/>
        <v/>
      </c>
      <c r="AA290" s="17" t="str">
        <f t="shared" ca="1" si="77"/>
        <v/>
      </c>
      <c r="AB290" s="17" t="str">
        <f t="shared" ca="1" si="78"/>
        <v/>
      </c>
      <c r="AC290" s="17" t="str">
        <f t="shared" ca="1" si="79"/>
        <v/>
      </c>
      <c r="AD290" s="17" t="str">
        <f t="shared" ca="1" si="80"/>
        <v/>
      </c>
      <c r="AE290" s="17" t="str">
        <f t="shared" si="81"/>
        <v/>
      </c>
      <c r="AF290" s="17" t="str">
        <f t="shared" si="82"/>
        <v/>
      </c>
      <c r="AG290" s="17" t="str">
        <f t="shared" si="83"/>
        <v/>
      </c>
      <c r="AH290" s="17">
        <f t="shared" si="84"/>
        <v>0</v>
      </c>
      <c r="AI290" s="17" t="str">
        <f t="shared" ca="1" si="85"/>
        <v/>
      </c>
      <c r="AJ290" s="17" t="str">
        <f t="shared" ca="1" si="86"/>
        <v/>
      </c>
      <c r="AK290" s="17" t="str">
        <f t="shared" si="87"/>
        <v/>
      </c>
      <c r="AL290" s="17" t="str">
        <f t="shared" ca="1" si="88"/>
        <v/>
      </c>
      <c r="AN290" s="24">
        <f t="shared" si="89"/>
        <v>0</v>
      </c>
      <c r="AO290" s="24">
        <f t="shared" si="90"/>
        <v>0</v>
      </c>
      <c r="AP290" s="24">
        <f t="shared" si="91"/>
        <v>0</v>
      </c>
      <c r="AQ290" s="24">
        <f t="shared" si="92"/>
        <v>0</v>
      </c>
      <c r="AR290" s="24">
        <f t="shared" si="93"/>
        <v>0</v>
      </c>
      <c r="AS290" s="24">
        <f t="shared" si="94"/>
        <v>0</v>
      </c>
    </row>
    <row r="291" spans="1:45" x14ac:dyDescent="0.25">
      <c r="A291" s="83"/>
      <c r="B291" s="83"/>
      <c r="C291" s="83"/>
      <c r="D291" s="15"/>
      <c r="E291" s="15"/>
      <c r="F291" s="83"/>
      <c r="G291" s="83"/>
      <c r="H291" s="16"/>
      <c r="I291" s="83"/>
      <c r="J291" s="83"/>
      <c r="K291" s="16"/>
      <c r="L291" s="15"/>
      <c r="M291" s="20"/>
      <c r="N291" s="15"/>
      <c r="O291" s="20"/>
      <c r="P291" s="15"/>
      <c r="Q291" s="15"/>
      <c r="R291" s="17" t="str">
        <f>IF(Q291="","",VLOOKUP(Q291,'References (2)'!C:D,2,0))</f>
        <v/>
      </c>
      <c r="S291" s="17" t="str">
        <f>IF(Q291="","",VLOOKUP(Q291,'References (2)'!C:F,4,0))</f>
        <v/>
      </c>
      <c r="T291" s="16"/>
      <c r="U291" s="20"/>
      <c r="V291" s="15"/>
      <c r="W291" s="22"/>
      <c r="X291" s="16"/>
      <c r="Y291" s="22"/>
      <c r="Z291" s="25" t="str">
        <f t="shared" si="76"/>
        <v/>
      </c>
      <c r="AA291" s="17" t="str">
        <f t="shared" ca="1" si="77"/>
        <v/>
      </c>
      <c r="AB291" s="17" t="str">
        <f t="shared" ca="1" si="78"/>
        <v/>
      </c>
      <c r="AC291" s="17" t="str">
        <f t="shared" ca="1" si="79"/>
        <v/>
      </c>
      <c r="AD291" s="17" t="str">
        <f t="shared" ca="1" si="80"/>
        <v/>
      </c>
      <c r="AE291" s="17" t="str">
        <f t="shared" si="81"/>
        <v/>
      </c>
      <c r="AF291" s="17" t="str">
        <f t="shared" si="82"/>
        <v/>
      </c>
      <c r="AG291" s="17" t="str">
        <f t="shared" si="83"/>
        <v/>
      </c>
      <c r="AH291" s="17">
        <f t="shared" si="84"/>
        <v>0</v>
      </c>
      <c r="AI291" s="17" t="str">
        <f t="shared" ca="1" si="85"/>
        <v/>
      </c>
      <c r="AJ291" s="17" t="str">
        <f t="shared" ca="1" si="86"/>
        <v/>
      </c>
      <c r="AK291" s="17" t="str">
        <f t="shared" si="87"/>
        <v/>
      </c>
      <c r="AL291" s="17" t="str">
        <f t="shared" ca="1" si="88"/>
        <v/>
      </c>
      <c r="AN291" s="24">
        <f t="shared" si="89"/>
        <v>0</v>
      </c>
      <c r="AO291" s="24">
        <f t="shared" si="90"/>
        <v>0</v>
      </c>
      <c r="AP291" s="24">
        <f t="shared" si="91"/>
        <v>0</v>
      </c>
      <c r="AQ291" s="24">
        <f t="shared" si="92"/>
        <v>0</v>
      </c>
      <c r="AR291" s="24">
        <f t="shared" si="93"/>
        <v>0</v>
      </c>
      <c r="AS291" s="24">
        <f t="shared" si="94"/>
        <v>0</v>
      </c>
    </row>
    <row r="292" spans="1:45" x14ac:dyDescent="0.25">
      <c r="A292" s="83"/>
      <c r="B292" s="83"/>
      <c r="C292" s="83"/>
      <c r="D292" s="15"/>
      <c r="E292" s="15"/>
      <c r="F292" s="83"/>
      <c r="G292" s="83"/>
      <c r="H292" s="16"/>
      <c r="I292" s="83"/>
      <c r="J292" s="83"/>
      <c r="K292" s="16"/>
      <c r="L292" s="15"/>
      <c r="M292" s="20"/>
      <c r="N292" s="15"/>
      <c r="O292" s="20"/>
      <c r="P292" s="15"/>
      <c r="Q292" s="15"/>
      <c r="R292" s="17" t="str">
        <f>IF(Q292="","",VLOOKUP(Q292,'References (2)'!C:D,2,0))</f>
        <v/>
      </c>
      <c r="S292" s="17" t="str">
        <f>IF(Q292="","",VLOOKUP(Q292,'References (2)'!C:F,4,0))</f>
        <v/>
      </c>
      <c r="T292" s="16"/>
      <c r="U292" s="20"/>
      <c r="V292" s="15"/>
      <c r="W292" s="22"/>
      <c r="X292" s="16"/>
      <c r="Y292" s="22"/>
      <c r="Z292" s="25" t="str">
        <f t="shared" si="76"/>
        <v/>
      </c>
      <c r="AA292" s="17" t="str">
        <f t="shared" ca="1" si="77"/>
        <v/>
      </c>
      <c r="AB292" s="17" t="str">
        <f t="shared" ca="1" si="78"/>
        <v/>
      </c>
      <c r="AC292" s="17" t="str">
        <f t="shared" ca="1" si="79"/>
        <v/>
      </c>
      <c r="AD292" s="17" t="str">
        <f t="shared" ca="1" si="80"/>
        <v/>
      </c>
      <c r="AE292" s="17" t="str">
        <f t="shared" si="81"/>
        <v/>
      </c>
      <c r="AF292" s="17" t="str">
        <f t="shared" si="82"/>
        <v/>
      </c>
      <c r="AG292" s="17" t="str">
        <f t="shared" si="83"/>
        <v/>
      </c>
      <c r="AH292" s="17">
        <f t="shared" si="84"/>
        <v>0</v>
      </c>
      <c r="AI292" s="17" t="str">
        <f t="shared" ca="1" si="85"/>
        <v/>
      </c>
      <c r="AJ292" s="17" t="str">
        <f t="shared" ca="1" si="86"/>
        <v/>
      </c>
      <c r="AK292" s="17" t="str">
        <f t="shared" si="87"/>
        <v/>
      </c>
      <c r="AL292" s="17" t="str">
        <f t="shared" ca="1" si="88"/>
        <v/>
      </c>
      <c r="AN292" s="24">
        <f t="shared" si="89"/>
        <v>0</v>
      </c>
      <c r="AO292" s="24">
        <f t="shared" si="90"/>
        <v>0</v>
      </c>
      <c r="AP292" s="24">
        <f t="shared" si="91"/>
        <v>0</v>
      </c>
      <c r="AQ292" s="24">
        <f t="shared" si="92"/>
        <v>0</v>
      </c>
      <c r="AR292" s="24">
        <f t="shared" si="93"/>
        <v>0</v>
      </c>
      <c r="AS292" s="24">
        <f t="shared" si="94"/>
        <v>0</v>
      </c>
    </row>
    <row r="293" spans="1:45" x14ac:dyDescent="0.25">
      <c r="A293" s="83"/>
      <c r="B293" s="83"/>
      <c r="C293" s="83"/>
      <c r="D293" s="15"/>
      <c r="E293" s="15"/>
      <c r="F293" s="83"/>
      <c r="G293" s="83"/>
      <c r="H293" s="16"/>
      <c r="I293" s="83"/>
      <c r="J293" s="83"/>
      <c r="K293" s="16"/>
      <c r="L293" s="15"/>
      <c r="M293" s="20"/>
      <c r="N293" s="15"/>
      <c r="O293" s="20"/>
      <c r="P293" s="15"/>
      <c r="Q293" s="15"/>
      <c r="R293" s="17" t="str">
        <f>IF(Q293="","",VLOOKUP(Q293,'References (2)'!C:D,2,0))</f>
        <v/>
      </c>
      <c r="S293" s="17" t="str">
        <f>IF(Q293="","",VLOOKUP(Q293,'References (2)'!C:F,4,0))</f>
        <v/>
      </c>
      <c r="T293" s="16"/>
      <c r="U293" s="20"/>
      <c r="V293" s="15"/>
      <c r="W293" s="22"/>
      <c r="X293" s="16"/>
      <c r="Y293" s="22"/>
      <c r="Z293" s="25" t="str">
        <f t="shared" si="76"/>
        <v/>
      </c>
      <c r="AA293" s="17" t="str">
        <f t="shared" ca="1" si="77"/>
        <v/>
      </c>
      <c r="AB293" s="17" t="str">
        <f t="shared" ca="1" si="78"/>
        <v/>
      </c>
      <c r="AC293" s="17" t="str">
        <f t="shared" ca="1" si="79"/>
        <v/>
      </c>
      <c r="AD293" s="17" t="str">
        <f t="shared" ca="1" si="80"/>
        <v/>
      </c>
      <c r="AE293" s="17" t="str">
        <f t="shared" si="81"/>
        <v/>
      </c>
      <c r="AF293" s="17" t="str">
        <f t="shared" si="82"/>
        <v/>
      </c>
      <c r="AG293" s="17" t="str">
        <f t="shared" si="83"/>
        <v/>
      </c>
      <c r="AH293" s="17">
        <f t="shared" si="84"/>
        <v>0</v>
      </c>
      <c r="AI293" s="17" t="str">
        <f t="shared" ca="1" si="85"/>
        <v/>
      </c>
      <c r="AJ293" s="17" t="str">
        <f t="shared" ca="1" si="86"/>
        <v/>
      </c>
      <c r="AK293" s="17" t="str">
        <f t="shared" si="87"/>
        <v/>
      </c>
      <c r="AL293" s="17" t="str">
        <f t="shared" ca="1" si="88"/>
        <v/>
      </c>
      <c r="AN293" s="24">
        <f t="shared" si="89"/>
        <v>0</v>
      </c>
      <c r="AO293" s="24">
        <f t="shared" si="90"/>
        <v>0</v>
      </c>
      <c r="AP293" s="24">
        <f t="shared" si="91"/>
        <v>0</v>
      </c>
      <c r="AQ293" s="24">
        <f t="shared" si="92"/>
        <v>0</v>
      </c>
      <c r="AR293" s="24">
        <f t="shared" si="93"/>
        <v>0</v>
      </c>
      <c r="AS293" s="24">
        <f t="shared" si="94"/>
        <v>0</v>
      </c>
    </row>
    <row r="294" spans="1:45" x14ac:dyDescent="0.25">
      <c r="A294" s="83"/>
      <c r="B294" s="83"/>
      <c r="C294" s="83"/>
      <c r="D294" s="15"/>
      <c r="E294" s="15"/>
      <c r="F294" s="83"/>
      <c r="G294" s="83"/>
      <c r="H294" s="16"/>
      <c r="I294" s="83"/>
      <c r="J294" s="83"/>
      <c r="K294" s="16"/>
      <c r="L294" s="15"/>
      <c r="M294" s="20"/>
      <c r="N294" s="15"/>
      <c r="O294" s="20"/>
      <c r="P294" s="15"/>
      <c r="Q294" s="15"/>
      <c r="R294" s="17" t="str">
        <f>IF(Q294="","",VLOOKUP(Q294,'References (2)'!C:D,2,0))</f>
        <v/>
      </c>
      <c r="S294" s="17" t="str">
        <f>IF(Q294="","",VLOOKUP(Q294,'References (2)'!C:F,4,0))</f>
        <v/>
      </c>
      <c r="T294" s="16"/>
      <c r="U294" s="20"/>
      <c r="V294" s="15"/>
      <c r="W294" s="22"/>
      <c r="X294" s="16"/>
      <c r="Y294" s="22"/>
      <c r="Z294" s="25" t="str">
        <f t="shared" si="76"/>
        <v/>
      </c>
      <c r="AA294" s="17" t="str">
        <f t="shared" ca="1" si="77"/>
        <v/>
      </c>
      <c r="AB294" s="17" t="str">
        <f t="shared" ca="1" si="78"/>
        <v/>
      </c>
      <c r="AC294" s="17" t="str">
        <f t="shared" ca="1" si="79"/>
        <v/>
      </c>
      <c r="AD294" s="17" t="str">
        <f t="shared" ca="1" si="80"/>
        <v/>
      </c>
      <c r="AE294" s="17" t="str">
        <f t="shared" si="81"/>
        <v/>
      </c>
      <c r="AF294" s="17" t="str">
        <f t="shared" si="82"/>
        <v/>
      </c>
      <c r="AG294" s="17" t="str">
        <f t="shared" si="83"/>
        <v/>
      </c>
      <c r="AH294" s="17">
        <f t="shared" si="84"/>
        <v>0</v>
      </c>
      <c r="AI294" s="17" t="str">
        <f t="shared" ca="1" si="85"/>
        <v/>
      </c>
      <c r="AJ294" s="17" t="str">
        <f t="shared" ca="1" si="86"/>
        <v/>
      </c>
      <c r="AK294" s="17" t="str">
        <f t="shared" si="87"/>
        <v/>
      </c>
      <c r="AL294" s="17" t="str">
        <f t="shared" ca="1" si="88"/>
        <v/>
      </c>
      <c r="AN294" s="24">
        <f t="shared" si="89"/>
        <v>0</v>
      </c>
      <c r="AO294" s="24">
        <f t="shared" si="90"/>
        <v>0</v>
      </c>
      <c r="AP294" s="24">
        <f t="shared" si="91"/>
        <v>0</v>
      </c>
      <c r="AQ294" s="24">
        <f t="shared" si="92"/>
        <v>0</v>
      </c>
      <c r="AR294" s="24">
        <f t="shared" si="93"/>
        <v>0</v>
      </c>
      <c r="AS294" s="24">
        <f t="shared" si="94"/>
        <v>0</v>
      </c>
    </row>
    <row r="295" spans="1:45" x14ac:dyDescent="0.25">
      <c r="A295" s="83"/>
      <c r="B295" s="83"/>
      <c r="C295" s="83"/>
      <c r="D295" s="15"/>
      <c r="E295" s="15"/>
      <c r="F295" s="83"/>
      <c r="G295" s="83"/>
      <c r="H295" s="16"/>
      <c r="I295" s="83"/>
      <c r="J295" s="83"/>
      <c r="K295" s="16"/>
      <c r="L295" s="15"/>
      <c r="M295" s="20"/>
      <c r="N295" s="15"/>
      <c r="O295" s="20"/>
      <c r="P295" s="15"/>
      <c r="Q295" s="15"/>
      <c r="R295" s="17" t="str">
        <f>IF(Q295="","",VLOOKUP(Q295,'References (2)'!C:D,2,0))</f>
        <v/>
      </c>
      <c r="S295" s="17" t="str">
        <f>IF(Q295="","",VLOOKUP(Q295,'References (2)'!C:F,4,0))</f>
        <v/>
      </c>
      <c r="T295" s="16"/>
      <c r="U295" s="20"/>
      <c r="V295" s="15"/>
      <c r="W295" s="22"/>
      <c r="X295" s="16"/>
      <c r="Y295" s="22"/>
      <c r="Z295" s="25" t="str">
        <f t="shared" si="76"/>
        <v/>
      </c>
      <c r="AA295" s="17" t="str">
        <f t="shared" ca="1" si="77"/>
        <v/>
      </c>
      <c r="AB295" s="17" t="str">
        <f t="shared" ca="1" si="78"/>
        <v/>
      </c>
      <c r="AC295" s="17" t="str">
        <f t="shared" ca="1" si="79"/>
        <v/>
      </c>
      <c r="AD295" s="17" t="str">
        <f t="shared" ca="1" si="80"/>
        <v/>
      </c>
      <c r="AE295" s="17" t="str">
        <f t="shared" si="81"/>
        <v/>
      </c>
      <c r="AF295" s="17" t="str">
        <f t="shared" si="82"/>
        <v/>
      </c>
      <c r="AG295" s="17" t="str">
        <f t="shared" si="83"/>
        <v/>
      </c>
      <c r="AH295" s="17">
        <f t="shared" si="84"/>
        <v>0</v>
      </c>
      <c r="AI295" s="17" t="str">
        <f t="shared" ca="1" si="85"/>
        <v/>
      </c>
      <c r="AJ295" s="17" t="str">
        <f t="shared" ca="1" si="86"/>
        <v/>
      </c>
      <c r="AK295" s="17" t="str">
        <f t="shared" si="87"/>
        <v/>
      </c>
      <c r="AL295" s="17" t="str">
        <f t="shared" ca="1" si="88"/>
        <v/>
      </c>
      <c r="AN295" s="24">
        <f t="shared" si="89"/>
        <v>0</v>
      </c>
      <c r="AO295" s="24">
        <f t="shared" si="90"/>
        <v>0</v>
      </c>
      <c r="AP295" s="24">
        <f t="shared" si="91"/>
        <v>0</v>
      </c>
      <c r="AQ295" s="24">
        <f t="shared" si="92"/>
        <v>0</v>
      </c>
      <c r="AR295" s="24">
        <f t="shared" si="93"/>
        <v>0</v>
      </c>
      <c r="AS295" s="24">
        <f t="shared" si="94"/>
        <v>0</v>
      </c>
    </row>
    <row r="296" spans="1:45" x14ac:dyDescent="0.25">
      <c r="A296" s="83"/>
      <c r="B296" s="83"/>
      <c r="C296" s="83"/>
      <c r="D296" s="15"/>
      <c r="E296" s="15"/>
      <c r="F296" s="83"/>
      <c r="G296" s="83"/>
      <c r="H296" s="16"/>
      <c r="I296" s="83"/>
      <c r="J296" s="83"/>
      <c r="K296" s="16"/>
      <c r="L296" s="15"/>
      <c r="M296" s="20"/>
      <c r="N296" s="15"/>
      <c r="O296" s="20"/>
      <c r="P296" s="15"/>
      <c r="Q296" s="15"/>
      <c r="R296" s="17" t="str">
        <f>IF(Q296="","",VLOOKUP(Q296,'References (2)'!C:D,2,0))</f>
        <v/>
      </c>
      <c r="S296" s="17" t="str">
        <f>IF(Q296="","",VLOOKUP(Q296,'References (2)'!C:F,4,0))</f>
        <v/>
      </c>
      <c r="T296" s="16"/>
      <c r="U296" s="20"/>
      <c r="V296" s="15"/>
      <c r="W296" s="22"/>
      <c r="X296" s="16"/>
      <c r="Y296" s="22"/>
      <c r="Z296" s="25" t="str">
        <f t="shared" si="76"/>
        <v/>
      </c>
      <c r="AA296" s="17" t="str">
        <f t="shared" ca="1" si="77"/>
        <v/>
      </c>
      <c r="AB296" s="17" t="str">
        <f t="shared" ca="1" si="78"/>
        <v/>
      </c>
      <c r="AC296" s="17" t="str">
        <f t="shared" ca="1" si="79"/>
        <v/>
      </c>
      <c r="AD296" s="17" t="str">
        <f t="shared" ca="1" si="80"/>
        <v/>
      </c>
      <c r="AE296" s="17" t="str">
        <f t="shared" si="81"/>
        <v/>
      </c>
      <c r="AF296" s="17" t="str">
        <f t="shared" si="82"/>
        <v/>
      </c>
      <c r="AG296" s="17" t="str">
        <f t="shared" si="83"/>
        <v/>
      </c>
      <c r="AH296" s="17">
        <f t="shared" si="84"/>
        <v>0</v>
      </c>
      <c r="AI296" s="17" t="str">
        <f t="shared" ca="1" si="85"/>
        <v/>
      </c>
      <c r="AJ296" s="17" t="str">
        <f t="shared" ca="1" si="86"/>
        <v/>
      </c>
      <c r="AK296" s="17" t="str">
        <f t="shared" si="87"/>
        <v/>
      </c>
      <c r="AL296" s="17" t="str">
        <f t="shared" ca="1" si="88"/>
        <v/>
      </c>
      <c r="AN296" s="24">
        <f t="shared" si="89"/>
        <v>0</v>
      </c>
      <c r="AO296" s="24">
        <f t="shared" si="90"/>
        <v>0</v>
      </c>
      <c r="AP296" s="24">
        <f t="shared" si="91"/>
        <v>0</v>
      </c>
      <c r="AQ296" s="24">
        <f t="shared" si="92"/>
        <v>0</v>
      </c>
      <c r="AR296" s="24">
        <f t="shared" si="93"/>
        <v>0</v>
      </c>
      <c r="AS296" s="24">
        <f t="shared" si="94"/>
        <v>0</v>
      </c>
    </row>
    <row r="297" spans="1:45" x14ac:dyDescent="0.25">
      <c r="A297" s="83"/>
      <c r="B297" s="83"/>
      <c r="C297" s="83"/>
      <c r="D297" s="15"/>
      <c r="E297" s="15"/>
      <c r="F297" s="83"/>
      <c r="G297" s="83"/>
      <c r="H297" s="16"/>
      <c r="I297" s="83"/>
      <c r="J297" s="83"/>
      <c r="K297" s="16"/>
      <c r="L297" s="15"/>
      <c r="M297" s="20"/>
      <c r="N297" s="15"/>
      <c r="O297" s="20"/>
      <c r="P297" s="15"/>
      <c r="Q297" s="15"/>
      <c r="R297" s="17" t="str">
        <f>IF(Q297="","",VLOOKUP(Q297,'References (2)'!C:D,2,0))</f>
        <v/>
      </c>
      <c r="S297" s="17" t="str">
        <f>IF(Q297="","",VLOOKUP(Q297,'References (2)'!C:F,4,0))</f>
        <v/>
      </c>
      <c r="T297" s="16"/>
      <c r="U297" s="20"/>
      <c r="V297" s="15"/>
      <c r="W297" s="22"/>
      <c r="X297" s="16"/>
      <c r="Y297" s="22"/>
      <c r="Z297" s="25" t="str">
        <f t="shared" si="76"/>
        <v/>
      </c>
      <c r="AA297" s="17" t="str">
        <f t="shared" ca="1" si="77"/>
        <v/>
      </c>
      <c r="AB297" s="17" t="str">
        <f t="shared" ca="1" si="78"/>
        <v/>
      </c>
      <c r="AC297" s="17" t="str">
        <f t="shared" ca="1" si="79"/>
        <v/>
      </c>
      <c r="AD297" s="17" t="str">
        <f t="shared" ca="1" si="80"/>
        <v/>
      </c>
      <c r="AE297" s="17" t="str">
        <f t="shared" si="81"/>
        <v/>
      </c>
      <c r="AF297" s="17" t="str">
        <f t="shared" si="82"/>
        <v/>
      </c>
      <c r="AG297" s="17" t="str">
        <f t="shared" si="83"/>
        <v/>
      </c>
      <c r="AH297" s="17">
        <f t="shared" si="84"/>
        <v>0</v>
      </c>
      <c r="AI297" s="17" t="str">
        <f t="shared" ca="1" si="85"/>
        <v/>
      </c>
      <c r="AJ297" s="17" t="str">
        <f t="shared" ca="1" si="86"/>
        <v/>
      </c>
      <c r="AK297" s="17" t="str">
        <f t="shared" si="87"/>
        <v/>
      </c>
      <c r="AL297" s="17" t="str">
        <f t="shared" ca="1" si="88"/>
        <v/>
      </c>
      <c r="AN297" s="24">
        <f t="shared" si="89"/>
        <v>0</v>
      </c>
      <c r="AO297" s="24">
        <f t="shared" si="90"/>
        <v>0</v>
      </c>
      <c r="AP297" s="24">
        <f t="shared" si="91"/>
        <v>0</v>
      </c>
      <c r="AQ297" s="24">
        <f t="shared" si="92"/>
        <v>0</v>
      </c>
      <c r="AR297" s="24">
        <f t="shared" si="93"/>
        <v>0</v>
      </c>
      <c r="AS297" s="24">
        <f t="shared" si="94"/>
        <v>0</v>
      </c>
    </row>
    <row r="298" spans="1:45" x14ac:dyDescent="0.25">
      <c r="A298" s="83"/>
      <c r="B298" s="83"/>
      <c r="C298" s="83"/>
      <c r="D298" s="15"/>
      <c r="E298" s="15"/>
      <c r="F298" s="83"/>
      <c r="G298" s="83"/>
      <c r="H298" s="16"/>
      <c r="I298" s="83"/>
      <c r="J298" s="83"/>
      <c r="K298" s="16"/>
      <c r="L298" s="15"/>
      <c r="M298" s="20"/>
      <c r="N298" s="15"/>
      <c r="O298" s="20"/>
      <c r="P298" s="15"/>
      <c r="Q298" s="15"/>
      <c r="R298" s="17" t="str">
        <f>IF(Q298="","",VLOOKUP(Q298,'References (2)'!C:D,2,0))</f>
        <v/>
      </c>
      <c r="S298" s="17" t="str">
        <f>IF(Q298="","",VLOOKUP(Q298,'References (2)'!C:F,4,0))</f>
        <v/>
      </c>
      <c r="T298" s="16"/>
      <c r="U298" s="20"/>
      <c r="V298" s="15"/>
      <c r="W298" s="22"/>
      <c r="X298" s="16"/>
      <c r="Y298" s="22"/>
      <c r="Z298" s="25" t="str">
        <f t="shared" si="76"/>
        <v/>
      </c>
      <c r="AA298" s="17" t="str">
        <f t="shared" ca="1" si="77"/>
        <v/>
      </c>
      <c r="AB298" s="17" t="str">
        <f t="shared" ca="1" si="78"/>
        <v/>
      </c>
      <c r="AC298" s="17" t="str">
        <f t="shared" ca="1" si="79"/>
        <v/>
      </c>
      <c r="AD298" s="17" t="str">
        <f t="shared" ca="1" si="80"/>
        <v/>
      </c>
      <c r="AE298" s="17" t="str">
        <f t="shared" si="81"/>
        <v/>
      </c>
      <c r="AF298" s="17" t="str">
        <f t="shared" si="82"/>
        <v/>
      </c>
      <c r="AG298" s="17" t="str">
        <f t="shared" si="83"/>
        <v/>
      </c>
      <c r="AH298" s="17">
        <f t="shared" si="84"/>
        <v>0</v>
      </c>
      <c r="AI298" s="17" t="str">
        <f t="shared" ca="1" si="85"/>
        <v/>
      </c>
      <c r="AJ298" s="17" t="str">
        <f t="shared" ca="1" si="86"/>
        <v/>
      </c>
      <c r="AK298" s="17" t="str">
        <f t="shared" si="87"/>
        <v/>
      </c>
      <c r="AL298" s="17" t="str">
        <f t="shared" ca="1" si="88"/>
        <v/>
      </c>
      <c r="AN298" s="24">
        <f t="shared" si="89"/>
        <v>0</v>
      </c>
      <c r="AO298" s="24">
        <f t="shared" si="90"/>
        <v>0</v>
      </c>
      <c r="AP298" s="24">
        <f t="shared" si="91"/>
        <v>0</v>
      </c>
      <c r="AQ298" s="24">
        <f t="shared" si="92"/>
        <v>0</v>
      </c>
      <c r="AR298" s="24">
        <f t="shared" si="93"/>
        <v>0</v>
      </c>
      <c r="AS298" s="24">
        <f t="shared" si="94"/>
        <v>0</v>
      </c>
    </row>
    <row r="299" spans="1:45" x14ac:dyDescent="0.25">
      <c r="A299" s="83"/>
      <c r="B299" s="83"/>
      <c r="C299" s="83"/>
      <c r="D299" s="15"/>
      <c r="E299" s="15"/>
      <c r="F299" s="83"/>
      <c r="G299" s="83"/>
      <c r="H299" s="16"/>
      <c r="I299" s="83"/>
      <c r="J299" s="83"/>
      <c r="K299" s="16"/>
      <c r="L299" s="15"/>
      <c r="M299" s="20"/>
      <c r="N299" s="15"/>
      <c r="O299" s="20"/>
      <c r="P299" s="15"/>
      <c r="Q299" s="15"/>
      <c r="R299" s="17" t="str">
        <f>IF(Q299="","",VLOOKUP(Q299,'References (2)'!C:D,2,0))</f>
        <v/>
      </c>
      <c r="S299" s="17" t="str">
        <f>IF(Q299="","",VLOOKUP(Q299,'References (2)'!C:F,4,0))</f>
        <v/>
      </c>
      <c r="T299" s="16"/>
      <c r="U299" s="20"/>
      <c r="V299" s="15"/>
      <c r="W299" s="22"/>
      <c r="X299" s="16"/>
      <c r="Y299" s="22"/>
      <c r="Z299" s="25" t="str">
        <f t="shared" si="76"/>
        <v/>
      </c>
      <c r="AA299" s="17" t="str">
        <f t="shared" ca="1" si="77"/>
        <v/>
      </c>
      <c r="AB299" s="17" t="str">
        <f t="shared" ca="1" si="78"/>
        <v/>
      </c>
      <c r="AC299" s="17" t="str">
        <f t="shared" ca="1" si="79"/>
        <v/>
      </c>
      <c r="AD299" s="17" t="str">
        <f t="shared" ca="1" si="80"/>
        <v/>
      </c>
      <c r="AE299" s="17" t="str">
        <f t="shared" si="81"/>
        <v/>
      </c>
      <c r="AF299" s="17" t="str">
        <f t="shared" si="82"/>
        <v/>
      </c>
      <c r="AG299" s="17" t="str">
        <f t="shared" si="83"/>
        <v/>
      </c>
      <c r="AH299" s="17">
        <f t="shared" si="84"/>
        <v>0</v>
      </c>
      <c r="AI299" s="17" t="str">
        <f t="shared" ca="1" si="85"/>
        <v/>
      </c>
      <c r="AJ299" s="17" t="str">
        <f t="shared" ca="1" si="86"/>
        <v/>
      </c>
      <c r="AK299" s="17" t="str">
        <f t="shared" si="87"/>
        <v/>
      </c>
      <c r="AL299" s="17" t="str">
        <f t="shared" ca="1" si="88"/>
        <v/>
      </c>
      <c r="AN299" s="24">
        <f t="shared" si="89"/>
        <v>0</v>
      </c>
      <c r="AO299" s="24">
        <f t="shared" si="90"/>
        <v>0</v>
      </c>
      <c r="AP299" s="24">
        <f t="shared" si="91"/>
        <v>0</v>
      </c>
      <c r="AQ299" s="24">
        <f t="shared" si="92"/>
        <v>0</v>
      </c>
      <c r="AR299" s="24">
        <f t="shared" si="93"/>
        <v>0</v>
      </c>
      <c r="AS299" s="24">
        <f t="shared" si="94"/>
        <v>0</v>
      </c>
    </row>
    <row r="300" spans="1:45" x14ac:dyDescent="0.25">
      <c r="A300" s="83"/>
      <c r="B300" s="83"/>
      <c r="C300" s="83"/>
      <c r="D300" s="15"/>
      <c r="E300" s="15"/>
      <c r="F300" s="83"/>
      <c r="G300" s="83"/>
      <c r="H300" s="16"/>
      <c r="I300" s="83"/>
      <c r="J300" s="83"/>
      <c r="K300" s="16"/>
      <c r="L300" s="15"/>
      <c r="M300" s="20"/>
      <c r="N300" s="15"/>
      <c r="O300" s="20"/>
      <c r="P300" s="15"/>
      <c r="Q300" s="15"/>
      <c r="R300" s="17" t="str">
        <f>IF(Q300="","",VLOOKUP(Q300,'References (2)'!C:D,2,0))</f>
        <v/>
      </c>
      <c r="S300" s="17" t="str">
        <f>IF(Q300="","",VLOOKUP(Q300,'References (2)'!C:F,4,0))</f>
        <v/>
      </c>
      <c r="T300" s="16"/>
      <c r="U300" s="20"/>
      <c r="V300" s="15"/>
      <c r="W300" s="22"/>
      <c r="X300" s="16"/>
      <c r="Y300" s="22"/>
      <c r="Z300" s="25" t="str">
        <f t="shared" si="76"/>
        <v/>
      </c>
      <c r="AA300" s="17" t="str">
        <f t="shared" ca="1" si="77"/>
        <v/>
      </c>
      <c r="AB300" s="17" t="str">
        <f t="shared" ca="1" si="78"/>
        <v/>
      </c>
      <c r="AC300" s="17" t="str">
        <f t="shared" ca="1" si="79"/>
        <v/>
      </c>
      <c r="AD300" s="17" t="str">
        <f t="shared" ca="1" si="80"/>
        <v/>
      </c>
      <c r="AE300" s="17" t="str">
        <f t="shared" si="81"/>
        <v/>
      </c>
      <c r="AF300" s="17" t="str">
        <f t="shared" si="82"/>
        <v/>
      </c>
      <c r="AG300" s="17" t="str">
        <f t="shared" si="83"/>
        <v/>
      </c>
      <c r="AH300" s="17">
        <f t="shared" si="84"/>
        <v>0</v>
      </c>
      <c r="AI300" s="17" t="str">
        <f t="shared" ca="1" si="85"/>
        <v/>
      </c>
      <c r="AJ300" s="17" t="str">
        <f t="shared" ca="1" si="86"/>
        <v/>
      </c>
      <c r="AK300" s="17" t="str">
        <f t="shared" si="87"/>
        <v/>
      </c>
      <c r="AL300" s="17" t="str">
        <f t="shared" ca="1" si="88"/>
        <v/>
      </c>
      <c r="AN300" s="24">
        <f t="shared" si="89"/>
        <v>0</v>
      </c>
      <c r="AO300" s="24">
        <f t="shared" si="90"/>
        <v>0</v>
      </c>
      <c r="AP300" s="24">
        <f t="shared" si="91"/>
        <v>0</v>
      </c>
      <c r="AQ300" s="24">
        <f t="shared" si="92"/>
        <v>0</v>
      </c>
      <c r="AR300" s="24">
        <f t="shared" si="93"/>
        <v>0</v>
      </c>
      <c r="AS300" s="24">
        <f t="shared" si="94"/>
        <v>0</v>
      </c>
    </row>
    <row r="301" spans="1:45" x14ac:dyDescent="0.25">
      <c r="A301" s="83"/>
      <c r="B301" s="83"/>
      <c r="C301" s="83"/>
      <c r="D301" s="15"/>
      <c r="E301" s="15"/>
      <c r="F301" s="83"/>
      <c r="G301" s="83"/>
      <c r="H301" s="16"/>
      <c r="I301" s="83"/>
      <c r="J301" s="83"/>
      <c r="K301" s="16"/>
      <c r="L301" s="15"/>
      <c r="M301" s="20"/>
      <c r="N301" s="15"/>
      <c r="O301" s="20"/>
      <c r="P301" s="15"/>
      <c r="Q301" s="15"/>
      <c r="R301" s="17" t="str">
        <f>IF(Q301="","",VLOOKUP(Q301,'References (2)'!C:D,2,0))</f>
        <v/>
      </c>
      <c r="S301" s="17" t="str">
        <f>IF(Q301="","",VLOOKUP(Q301,'References (2)'!C:F,4,0))</f>
        <v/>
      </c>
      <c r="T301" s="16"/>
      <c r="U301" s="20"/>
      <c r="V301" s="15"/>
      <c r="W301" s="22"/>
      <c r="X301" s="16"/>
      <c r="Y301" s="22"/>
      <c r="Z301" s="25" t="str">
        <f t="shared" si="76"/>
        <v/>
      </c>
      <c r="AA301" s="17" t="str">
        <f t="shared" ca="1" si="77"/>
        <v/>
      </c>
      <c r="AB301" s="17" t="str">
        <f t="shared" ca="1" si="78"/>
        <v/>
      </c>
      <c r="AC301" s="17" t="str">
        <f t="shared" ca="1" si="79"/>
        <v/>
      </c>
      <c r="AD301" s="17" t="str">
        <f t="shared" ca="1" si="80"/>
        <v/>
      </c>
      <c r="AE301" s="17" t="str">
        <f t="shared" si="81"/>
        <v/>
      </c>
      <c r="AF301" s="17" t="str">
        <f t="shared" si="82"/>
        <v/>
      </c>
      <c r="AG301" s="17" t="str">
        <f t="shared" si="83"/>
        <v/>
      </c>
      <c r="AH301" s="17">
        <f t="shared" si="84"/>
        <v>0</v>
      </c>
      <c r="AI301" s="17" t="str">
        <f t="shared" ca="1" si="85"/>
        <v/>
      </c>
      <c r="AJ301" s="17" t="str">
        <f t="shared" ca="1" si="86"/>
        <v/>
      </c>
      <c r="AK301" s="17" t="str">
        <f t="shared" si="87"/>
        <v/>
      </c>
      <c r="AL301" s="17" t="str">
        <f t="shared" ca="1" si="88"/>
        <v/>
      </c>
      <c r="AN301" s="24">
        <f t="shared" si="89"/>
        <v>0</v>
      </c>
      <c r="AO301" s="24">
        <f t="shared" si="90"/>
        <v>0</v>
      </c>
      <c r="AP301" s="24">
        <f t="shared" si="91"/>
        <v>0</v>
      </c>
      <c r="AQ301" s="24">
        <f t="shared" si="92"/>
        <v>0</v>
      </c>
      <c r="AR301" s="24">
        <f t="shared" si="93"/>
        <v>0</v>
      </c>
      <c r="AS301" s="24">
        <f t="shared" si="94"/>
        <v>0</v>
      </c>
    </row>
    <row r="302" spans="1:45" x14ac:dyDescent="0.25">
      <c r="A302" s="83"/>
      <c r="B302" s="83"/>
      <c r="C302" s="83"/>
      <c r="D302" s="15"/>
      <c r="E302" s="15"/>
      <c r="F302" s="83"/>
      <c r="G302" s="83"/>
      <c r="H302" s="16"/>
      <c r="I302" s="83"/>
      <c r="J302" s="83"/>
      <c r="K302" s="16"/>
      <c r="L302" s="15"/>
      <c r="M302" s="20"/>
      <c r="N302" s="15"/>
      <c r="O302" s="20"/>
      <c r="P302" s="15"/>
      <c r="Q302" s="15"/>
      <c r="R302" s="17" t="str">
        <f>IF(Q302="","",VLOOKUP(Q302,'References (2)'!C:D,2,0))</f>
        <v/>
      </c>
      <c r="S302" s="17" t="str">
        <f>IF(Q302="","",VLOOKUP(Q302,'References (2)'!C:F,4,0))</f>
        <v/>
      </c>
      <c r="T302" s="16"/>
      <c r="U302" s="20"/>
      <c r="V302" s="15"/>
      <c r="W302" s="22"/>
      <c r="X302" s="16"/>
      <c r="Y302" s="22"/>
      <c r="Z302" s="25" t="str">
        <f t="shared" si="76"/>
        <v/>
      </c>
      <c r="AA302" s="17" t="str">
        <f t="shared" ca="1" si="77"/>
        <v/>
      </c>
      <c r="AB302" s="17" t="str">
        <f t="shared" ca="1" si="78"/>
        <v/>
      </c>
      <c r="AC302" s="17" t="str">
        <f t="shared" ca="1" si="79"/>
        <v/>
      </c>
      <c r="AD302" s="17" t="str">
        <f t="shared" ca="1" si="80"/>
        <v/>
      </c>
      <c r="AE302" s="17" t="str">
        <f t="shared" si="81"/>
        <v/>
      </c>
      <c r="AF302" s="17" t="str">
        <f t="shared" si="82"/>
        <v/>
      </c>
      <c r="AG302" s="17" t="str">
        <f t="shared" si="83"/>
        <v/>
      </c>
      <c r="AH302" s="17">
        <f t="shared" si="84"/>
        <v>0</v>
      </c>
      <c r="AI302" s="17" t="str">
        <f t="shared" ca="1" si="85"/>
        <v/>
      </c>
      <c r="AJ302" s="17" t="str">
        <f t="shared" ca="1" si="86"/>
        <v/>
      </c>
      <c r="AK302" s="17" t="str">
        <f t="shared" si="87"/>
        <v/>
      </c>
      <c r="AL302" s="17" t="str">
        <f t="shared" ca="1" si="88"/>
        <v/>
      </c>
      <c r="AN302" s="24">
        <f t="shared" si="89"/>
        <v>0</v>
      </c>
      <c r="AO302" s="24">
        <f t="shared" si="90"/>
        <v>0</v>
      </c>
      <c r="AP302" s="24">
        <f t="shared" si="91"/>
        <v>0</v>
      </c>
      <c r="AQ302" s="24">
        <f t="shared" si="92"/>
        <v>0</v>
      </c>
      <c r="AR302" s="24">
        <f t="shared" si="93"/>
        <v>0</v>
      </c>
      <c r="AS302" s="24">
        <f t="shared" si="94"/>
        <v>0</v>
      </c>
    </row>
    <row r="303" spans="1:45" x14ac:dyDescent="0.25">
      <c r="A303" s="83"/>
      <c r="B303" s="83"/>
      <c r="C303" s="83"/>
      <c r="D303" s="15"/>
      <c r="E303" s="15"/>
      <c r="F303" s="83"/>
      <c r="G303" s="83"/>
      <c r="H303" s="16"/>
      <c r="I303" s="83"/>
      <c r="J303" s="83"/>
      <c r="K303" s="16"/>
      <c r="L303" s="15"/>
      <c r="M303" s="20"/>
      <c r="N303" s="15"/>
      <c r="O303" s="20"/>
      <c r="P303" s="15"/>
      <c r="Q303" s="15"/>
      <c r="R303" s="17" t="str">
        <f>IF(Q303="","",VLOOKUP(Q303,'References (2)'!C:D,2,0))</f>
        <v/>
      </c>
      <c r="S303" s="17" t="str">
        <f>IF(Q303="","",VLOOKUP(Q303,'References (2)'!C:F,4,0))</f>
        <v/>
      </c>
      <c r="T303" s="16"/>
      <c r="U303" s="20"/>
      <c r="V303" s="15"/>
      <c r="W303" s="22"/>
      <c r="X303" s="16"/>
      <c r="Y303" s="22"/>
      <c r="Z303" s="25" t="str">
        <f t="shared" si="76"/>
        <v/>
      </c>
      <c r="AA303" s="17" t="str">
        <f t="shared" ca="1" si="77"/>
        <v/>
      </c>
      <c r="AB303" s="17" t="str">
        <f t="shared" ca="1" si="78"/>
        <v/>
      </c>
      <c r="AC303" s="17" t="str">
        <f t="shared" ca="1" si="79"/>
        <v/>
      </c>
      <c r="AD303" s="17" t="str">
        <f t="shared" ca="1" si="80"/>
        <v/>
      </c>
      <c r="AE303" s="17" t="str">
        <f t="shared" si="81"/>
        <v/>
      </c>
      <c r="AF303" s="17" t="str">
        <f t="shared" si="82"/>
        <v/>
      </c>
      <c r="AG303" s="17" t="str">
        <f t="shared" si="83"/>
        <v/>
      </c>
      <c r="AH303" s="17">
        <f t="shared" si="84"/>
        <v>0</v>
      </c>
      <c r="AI303" s="17" t="str">
        <f t="shared" ca="1" si="85"/>
        <v/>
      </c>
      <c r="AJ303" s="17" t="str">
        <f t="shared" ca="1" si="86"/>
        <v/>
      </c>
      <c r="AK303" s="17" t="str">
        <f t="shared" si="87"/>
        <v/>
      </c>
      <c r="AL303" s="17" t="str">
        <f t="shared" ca="1" si="88"/>
        <v/>
      </c>
      <c r="AN303" s="24">
        <f t="shared" si="89"/>
        <v>0</v>
      </c>
      <c r="AO303" s="24">
        <f t="shared" si="90"/>
        <v>0</v>
      </c>
      <c r="AP303" s="24">
        <f t="shared" si="91"/>
        <v>0</v>
      </c>
      <c r="AQ303" s="24">
        <f t="shared" si="92"/>
        <v>0</v>
      </c>
      <c r="AR303" s="24">
        <f t="shared" si="93"/>
        <v>0</v>
      </c>
      <c r="AS303" s="24">
        <f t="shared" si="94"/>
        <v>0</v>
      </c>
    </row>
    <row r="304" spans="1:45" x14ac:dyDescent="0.25">
      <c r="A304" s="83"/>
      <c r="B304" s="83"/>
      <c r="C304" s="83"/>
      <c r="D304" s="15"/>
      <c r="E304" s="15"/>
      <c r="F304" s="83"/>
      <c r="G304" s="83"/>
      <c r="H304" s="16"/>
      <c r="I304" s="83"/>
      <c r="J304" s="83"/>
      <c r="K304" s="16"/>
      <c r="L304" s="15"/>
      <c r="M304" s="20"/>
      <c r="N304" s="15"/>
      <c r="O304" s="20"/>
      <c r="P304" s="15"/>
      <c r="Q304" s="15"/>
      <c r="R304" s="17" t="str">
        <f>IF(Q304="","",VLOOKUP(Q304,'References (2)'!C:D,2,0))</f>
        <v/>
      </c>
      <c r="S304" s="17" t="str">
        <f>IF(Q304="","",VLOOKUP(Q304,'References (2)'!C:F,4,0))</f>
        <v/>
      </c>
      <c r="T304" s="16"/>
      <c r="U304" s="20"/>
      <c r="V304" s="15"/>
      <c r="W304" s="22"/>
      <c r="X304" s="16"/>
      <c r="Y304" s="22"/>
      <c r="Z304" s="25" t="str">
        <f t="shared" si="76"/>
        <v/>
      </c>
      <c r="AA304" s="17" t="str">
        <f t="shared" ca="1" si="77"/>
        <v/>
      </c>
      <c r="AB304" s="17" t="str">
        <f t="shared" ca="1" si="78"/>
        <v/>
      </c>
      <c r="AC304" s="17" t="str">
        <f t="shared" ca="1" si="79"/>
        <v/>
      </c>
      <c r="AD304" s="17" t="str">
        <f t="shared" ca="1" si="80"/>
        <v/>
      </c>
      <c r="AE304" s="17" t="str">
        <f t="shared" si="81"/>
        <v/>
      </c>
      <c r="AF304" s="17" t="str">
        <f t="shared" si="82"/>
        <v/>
      </c>
      <c r="AG304" s="17" t="str">
        <f t="shared" si="83"/>
        <v/>
      </c>
      <c r="AH304" s="17">
        <f t="shared" si="84"/>
        <v>0</v>
      </c>
      <c r="AI304" s="17" t="str">
        <f t="shared" ca="1" si="85"/>
        <v/>
      </c>
      <c r="AJ304" s="17" t="str">
        <f t="shared" ca="1" si="86"/>
        <v/>
      </c>
      <c r="AK304" s="17" t="str">
        <f t="shared" si="87"/>
        <v/>
      </c>
      <c r="AL304" s="17" t="str">
        <f t="shared" ca="1" si="88"/>
        <v/>
      </c>
      <c r="AN304" s="24">
        <f t="shared" si="89"/>
        <v>0</v>
      </c>
      <c r="AO304" s="24">
        <f t="shared" si="90"/>
        <v>0</v>
      </c>
      <c r="AP304" s="24">
        <f t="shared" si="91"/>
        <v>0</v>
      </c>
      <c r="AQ304" s="24">
        <f t="shared" si="92"/>
        <v>0</v>
      </c>
      <c r="AR304" s="24">
        <f t="shared" si="93"/>
        <v>0</v>
      </c>
      <c r="AS304" s="24">
        <f t="shared" si="94"/>
        <v>0</v>
      </c>
    </row>
    <row r="305" spans="1:45" x14ac:dyDescent="0.25">
      <c r="A305" s="83"/>
      <c r="B305" s="83"/>
      <c r="C305" s="83"/>
      <c r="D305" s="15"/>
      <c r="E305" s="15"/>
      <c r="F305" s="83"/>
      <c r="G305" s="83"/>
      <c r="H305" s="16"/>
      <c r="I305" s="83"/>
      <c r="J305" s="83"/>
      <c r="K305" s="16"/>
      <c r="L305" s="15"/>
      <c r="M305" s="20"/>
      <c r="N305" s="15"/>
      <c r="O305" s="20"/>
      <c r="P305" s="15"/>
      <c r="Q305" s="15"/>
      <c r="R305" s="17" t="str">
        <f>IF(Q305="","",VLOOKUP(Q305,'References (2)'!C:D,2,0))</f>
        <v/>
      </c>
      <c r="S305" s="17" t="str">
        <f>IF(Q305="","",VLOOKUP(Q305,'References (2)'!C:F,4,0))</f>
        <v/>
      </c>
      <c r="T305" s="16"/>
      <c r="U305" s="20"/>
      <c r="V305" s="15"/>
      <c r="W305" s="22"/>
      <c r="X305" s="16"/>
      <c r="Y305" s="22"/>
      <c r="Z305" s="25" t="str">
        <f t="shared" si="76"/>
        <v/>
      </c>
      <c r="AA305" s="17" t="str">
        <f t="shared" ca="1" si="77"/>
        <v/>
      </c>
      <c r="AB305" s="17" t="str">
        <f t="shared" ca="1" si="78"/>
        <v/>
      </c>
      <c r="AC305" s="17" t="str">
        <f t="shared" ca="1" si="79"/>
        <v/>
      </c>
      <c r="AD305" s="17" t="str">
        <f t="shared" ca="1" si="80"/>
        <v/>
      </c>
      <c r="AE305" s="17" t="str">
        <f t="shared" si="81"/>
        <v/>
      </c>
      <c r="AF305" s="17" t="str">
        <f t="shared" si="82"/>
        <v/>
      </c>
      <c r="AG305" s="17" t="str">
        <f t="shared" si="83"/>
        <v/>
      </c>
      <c r="AH305" s="17">
        <f t="shared" si="84"/>
        <v>0</v>
      </c>
      <c r="AI305" s="17" t="str">
        <f t="shared" ca="1" si="85"/>
        <v/>
      </c>
      <c r="AJ305" s="17" t="str">
        <f t="shared" ca="1" si="86"/>
        <v/>
      </c>
      <c r="AK305" s="17" t="str">
        <f t="shared" si="87"/>
        <v/>
      </c>
      <c r="AL305" s="17" t="str">
        <f t="shared" ca="1" si="88"/>
        <v/>
      </c>
      <c r="AN305" s="24">
        <f t="shared" si="89"/>
        <v>0</v>
      </c>
      <c r="AO305" s="24">
        <f t="shared" si="90"/>
        <v>0</v>
      </c>
      <c r="AP305" s="24">
        <f t="shared" si="91"/>
        <v>0</v>
      </c>
      <c r="AQ305" s="24">
        <f t="shared" si="92"/>
        <v>0</v>
      </c>
      <c r="AR305" s="24">
        <f t="shared" si="93"/>
        <v>0</v>
      </c>
      <c r="AS305" s="24">
        <f t="shared" si="94"/>
        <v>0</v>
      </c>
    </row>
    <row r="306" spans="1:45" x14ac:dyDescent="0.25">
      <c r="A306" s="83"/>
      <c r="B306" s="83"/>
      <c r="C306" s="83"/>
      <c r="D306" s="15"/>
      <c r="E306" s="15"/>
      <c r="F306" s="83"/>
      <c r="G306" s="83"/>
      <c r="H306" s="16"/>
      <c r="I306" s="83"/>
      <c r="J306" s="83"/>
      <c r="K306" s="16"/>
      <c r="L306" s="15"/>
      <c r="M306" s="20"/>
      <c r="N306" s="15"/>
      <c r="O306" s="20"/>
      <c r="P306" s="15"/>
      <c r="Q306" s="15"/>
      <c r="R306" s="17" t="str">
        <f>IF(Q306="","",VLOOKUP(Q306,'References (2)'!C:D,2,0))</f>
        <v/>
      </c>
      <c r="S306" s="17" t="str">
        <f>IF(Q306="","",VLOOKUP(Q306,'References (2)'!C:F,4,0))</f>
        <v/>
      </c>
      <c r="T306" s="16"/>
      <c r="U306" s="20"/>
      <c r="V306" s="15"/>
      <c r="W306" s="22"/>
      <c r="X306" s="16"/>
      <c r="Y306" s="22"/>
      <c r="Z306" s="25" t="str">
        <f t="shared" si="76"/>
        <v/>
      </c>
      <c r="AA306" s="17" t="str">
        <f t="shared" ca="1" si="77"/>
        <v/>
      </c>
      <c r="AB306" s="17" t="str">
        <f t="shared" ca="1" si="78"/>
        <v/>
      </c>
      <c r="AC306" s="17" t="str">
        <f t="shared" ca="1" si="79"/>
        <v/>
      </c>
      <c r="AD306" s="17" t="str">
        <f t="shared" ca="1" si="80"/>
        <v/>
      </c>
      <c r="AE306" s="17" t="str">
        <f t="shared" si="81"/>
        <v/>
      </c>
      <c r="AF306" s="17" t="str">
        <f t="shared" si="82"/>
        <v/>
      </c>
      <c r="AG306" s="17" t="str">
        <f t="shared" si="83"/>
        <v/>
      </c>
      <c r="AH306" s="17">
        <f t="shared" si="84"/>
        <v>0</v>
      </c>
      <c r="AI306" s="17" t="str">
        <f t="shared" ca="1" si="85"/>
        <v/>
      </c>
      <c r="AJ306" s="17" t="str">
        <f t="shared" ca="1" si="86"/>
        <v/>
      </c>
      <c r="AK306" s="17" t="str">
        <f t="shared" si="87"/>
        <v/>
      </c>
      <c r="AL306" s="17" t="str">
        <f t="shared" ca="1" si="88"/>
        <v/>
      </c>
      <c r="AN306" s="24">
        <f t="shared" si="89"/>
        <v>0</v>
      </c>
      <c r="AO306" s="24">
        <f t="shared" si="90"/>
        <v>0</v>
      </c>
      <c r="AP306" s="24">
        <f t="shared" si="91"/>
        <v>0</v>
      </c>
      <c r="AQ306" s="24">
        <f t="shared" si="92"/>
        <v>0</v>
      </c>
      <c r="AR306" s="24">
        <f t="shared" si="93"/>
        <v>0</v>
      </c>
      <c r="AS306" s="24">
        <f t="shared" si="94"/>
        <v>0</v>
      </c>
    </row>
    <row r="307" spans="1:45" x14ac:dyDescent="0.25">
      <c r="A307" s="83"/>
      <c r="B307" s="83"/>
      <c r="C307" s="83"/>
      <c r="D307" s="15"/>
      <c r="E307" s="15"/>
      <c r="F307" s="83"/>
      <c r="G307" s="83"/>
      <c r="H307" s="16"/>
      <c r="I307" s="83"/>
      <c r="J307" s="83"/>
      <c r="K307" s="16"/>
      <c r="L307" s="15"/>
      <c r="M307" s="20"/>
      <c r="N307" s="15"/>
      <c r="O307" s="20"/>
      <c r="P307" s="15"/>
      <c r="Q307" s="15"/>
      <c r="R307" s="17" t="str">
        <f>IF(Q307="","",VLOOKUP(Q307,'References (2)'!C:D,2,0))</f>
        <v/>
      </c>
      <c r="S307" s="17" t="str">
        <f>IF(Q307="","",VLOOKUP(Q307,'References (2)'!C:F,4,0))</f>
        <v/>
      </c>
      <c r="T307" s="16"/>
      <c r="U307" s="20"/>
      <c r="V307" s="15"/>
      <c r="W307" s="22"/>
      <c r="X307" s="16"/>
      <c r="Y307" s="22"/>
      <c r="Z307" s="25" t="str">
        <f t="shared" si="76"/>
        <v/>
      </c>
      <c r="AA307" s="17" t="str">
        <f t="shared" ca="1" si="77"/>
        <v/>
      </c>
      <c r="AB307" s="17" t="str">
        <f t="shared" ca="1" si="78"/>
        <v/>
      </c>
      <c r="AC307" s="17" t="str">
        <f t="shared" ca="1" si="79"/>
        <v/>
      </c>
      <c r="AD307" s="17" t="str">
        <f t="shared" ca="1" si="80"/>
        <v/>
      </c>
      <c r="AE307" s="17" t="str">
        <f t="shared" si="81"/>
        <v/>
      </c>
      <c r="AF307" s="17" t="str">
        <f t="shared" si="82"/>
        <v/>
      </c>
      <c r="AG307" s="17" t="str">
        <f t="shared" si="83"/>
        <v/>
      </c>
      <c r="AH307" s="17">
        <f t="shared" si="84"/>
        <v>0</v>
      </c>
      <c r="AI307" s="17" t="str">
        <f t="shared" ca="1" si="85"/>
        <v/>
      </c>
      <c r="AJ307" s="17" t="str">
        <f t="shared" ca="1" si="86"/>
        <v/>
      </c>
      <c r="AK307" s="17" t="str">
        <f t="shared" si="87"/>
        <v/>
      </c>
      <c r="AL307" s="17" t="str">
        <f t="shared" ca="1" si="88"/>
        <v/>
      </c>
      <c r="AN307" s="24">
        <f t="shared" si="89"/>
        <v>0</v>
      </c>
      <c r="AO307" s="24">
        <f t="shared" si="90"/>
        <v>0</v>
      </c>
      <c r="AP307" s="24">
        <f t="shared" si="91"/>
        <v>0</v>
      </c>
      <c r="AQ307" s="24">
        <f t="shared" si="92"/>
        <v>0</v>
      </c>
      <c r="AR307" s="24">
        <f t="shared" si="93"/>
        <v>0</v>
      </c>
      <c r="AS307" s="24">
        <f t="shared" si="94"/>
        <v>0</v>
      </c>
    </row>
    <row r="308" spans="1:45" x14ac:dyDescent="0.25">
      <c r="A308" s="83"/>
      <c r="B308" s="83"/>
      <c r="C308" s="83"/>
      <c r="D308" s="15"/>
      <c r="E308" s="15"/>
      <c r="F308" s="83"/>
      <c r="G308" s="83"/>
      <c r="H308" s="16"/>
      <c r="I308" s="83"/>
      <c r="J308" s="83"/>
      <c r="K308" s="16"/>
      <c r="L308" s="15"/>
      <c r="M308" s="20"/>
      <c r="N308" s="15"/>
      <c r="O308" s="20"/>
      <c r="P308" s="15"/>
      <c r="Q308" s="15"/>
      <c r="R308" s="17" t="str">
        <f>IF(Q308="","",VLOOKUP(Q308,'References (2)'!C:D,2,0))</f>
        <v/>
      </c>
      <c r="S308" s="17" t="str">
        <f>IF(Q308="","",VLOOKUP(Q308,'References (2)'!C:F,4,0))</f>
        <v/>
      </c>
      <c r="T308" s="16"/>
      <c r="U308" s="20"/>
      <c r="V308" s="15"/>
      <c r="W308" s="22"/>
      <c r="X308" s="16"/>
      <c r="Y308" s="22"/>
      <c r="Z308" s="25" t="str">
        <f t="shared" si="76"/>
        <v/>
      </c>
      <c r="AA308" s="17" t="str">
        <f t="shared" ca="1" si="77"/>
        <v/>
      </c>
      <c r="AB308" s="17" t="str">
        <f t="shared" ca="1" si="78"/>
        <v/>
      </c>
      <c r="AC308" s="17" t="str">
        <f t="shared" ca="1" si="79"/>
        <v/>
      </c>
      <c r="AD308" s="17" t="str">
        <f t="shared" ca="1" si="80"/>
        <v/>
      </c>
      <c r="AE308" s="17" t="str">
        <f t="shared" si="81"/>
        <v/>
      </c>
      <c r="AF308" s="17" t="str">
        <f t="shared" si="82"/>
        <v/>
      </c>
      <c r="AG308" s="17" t="str">
        <f t="shared" si="83"/>
        <v/>
      </c>
      <c r="AH308" s="17">
        <f t="shared" si="84"/>
        <v>0</v>
      </c>
      <c r="AI308" s="17" t="str">
        <f t="shared" ca="1" si="85"/>
        <v/>
      </c>
      <c r="AJ308" s="17" t="str">
        <f t="shared" ca="1" si="86"/>
        <v/>
      </c>
      <c r="AK308" s="17" t="str">
        <f t="shared" si="87"/>
        <v/>
      </c>
      <c r="AL308" s="17" t="str">
        <f t="shared" ca="1" si="88"/>
        <v/>
      </c>
      <c r="AN308" s="24">
        <f t="shared" si="89"/>
        <v>0</v>
      </c>
      <c r="AO308" s="24">
        <f t="shared" si="90"/>
        <v>0</v>
      </c>
      <c r="AP308" s="24">
        <f t="shared" si="91"/>
        <v>0</v>
      </c>
      <c r="AQ308" s="24">
        <f t="shared" si="92"/>
        <v>0</v>
      </c>
      <c r="AR308" s="24">
        <f t="shared" si="93"/>
        <v>0</v>
      </c>
      <c r="AS308" s="24">
        <f t="shared" si="94"/>
        <v>0</v>
      </c>
    </row>
    <row r="309" spans="1:45" x14ac:dyDescent="0.25">
      <c r="A309" s="83"/>
      <c r="B309" s="83"/>
      <c r="C309" s="83"/>
      <c r="D309" s="15"/>
      <c r="E309" s="15"/>
      <c r="F309" s="83"/>
      <c r="G309" s="83"/>
      <c r="H309" s="16"/>
      <c r="I309" s="83"/>
      <c r="J309" s="83"/>
      <c r="K309" s="16"/>
      <c r="L309" s="15"/>
      <c r="M309" s="20"/>
      <c r="N309" s="15"/>
      <c r="O309" s="20"/>
      <c r="P309" s="15"/>
      <c r="Q309" s="15"/>
      <c r="R309" s="17" t="str">
        <f>IF(Q309="","",VLOOKUP(Q309,'References (2)'!C:D,2,0))</f>
        <v/>
      </c>
      <c r="S309" s="17" t="str">
        <f>IF(Q309="","",VLOOKUP(Q309,'References (2)'!C:F,4,0))</f>
        <v/>
      </c>
      <c r="T309" s="16"/>
      <c r="U309" s="20"/>
      <c r="V309" s="15"/>
      <c r="W309" s="22"/>
      <c r="X309" s="16"/>
      <c r="Y309" s="22"/>
      <c r="Z309" s="25" t="str">
        <f t="shared" si="76"/>
        <v/>
      </c>
      <c r="AA309" s="17" t="str">
        <f t="shared" ca="1" si="77"/>
        <v/>
      </c>
      <c r="AB309" s="17" t="str">
        <f t="shared" ca="1" si="78"/>
        <v/>
      </c>
      <c r="AC309" s="17" t="str">
        <f t="shared" ca="1" si="79"/>
        <v/>
      </c>
      <c r="AD309" s="17" t="str">
        <f t="shared" ca="1" si="80"/>
        <v/>
      </c>
      <c r="AE309" s="17" t="str">
        <f t="shared" si="81"/>
        <v/>
      </c>
      <c r="AF309" s="17" t="str">
        <f t="shared" si="82"/>
        <v/>
      </c>
      <c r="AG309" s="17" t="str">
        <f t="shared" si="83"/>
        <v/>
      </c>
      <c r="AH309" s="17">
        <f t="shared" si="84"/>
        <v>0</v>
      </c>
      <c r="AI309" s="17" t="str">
        <f t="shared" ca="1" si="85"/>
        <v/>
      </c>
      <c r="AJ309" s="17" t="str">
        <f t="shared" ca="1" si="86"/>
        <v/>
      </c>
      <c r="AK309" s="17" t="str">
        <f t="shared" si="87"/>
        <v/>
      </c>
      <c r="AL309" s="17" t="str">
        <f t="shared" ca="1" si="88"/>
        <v/>
      </c>
      <c r="AN309" s="24">
        <f t="shared" si="89"/>
        <v>0</v>
      </c>
      <c r="AO309" s="24">
        <f t="shared" si="90"/>
        <v>0</v>
      </c>
      <c r="AP309" s="24">
        <f t="shared" si="91"/>
        <v>0</v>
      </c>
      <c r="AQ309" s="24">
        <f t="shared" si="92"/>
        <v>0</v>
      </c>
      <c r="AR309" s="24">
        <f t="shared" si="93"/>
        <v>0</v>
      </c>
      <c r="AS309" s="24">
        <f t="shared" si="94"/>
        <v>0</v>
      </c>
    </row>
    <row r="310" spans="1:45" x14ac:dyDescent="0.25">
      <c r="A310" s="83"/>
      <c r="B310" s="83"/>
      <c r="C310" s="83"/>
      <c r="D310" s="15"/>
      <c r="E310" s="15"/>
      <c r="F310" s="83"/>
      <c r="G310" s="83"/>
      <c r="H310" s="16"/>
      <c r="I310" s="83"/>
      <c r="J310" s="83"/>
      <c r="K310" s="16"/>
      <c r="L310" s="15"/>
      <c r="M310" s="20"/>
      <c r="N310" s="15"/>
      <c r="O310" s="20"/>
      <c r="P310" s="15"/>
      <c r="Q310" s="15"/>
      <c r="R310" s="17" t="str">
        <f>IF(Q310="","",VLOOKUP(Q310,'References (2)'!C:D,2,0))</f>
        <v/>
      </c>
      <c r="S310" s="17" t="str">
        <f>IF(Q310="","",VLOOKUP(Q310,'References (2)'!C:F,4,0))</f>
        <v/>
      </c>
      <c r="T310" s="16"/>
      <c r="U310" s="20"/>
      <c r="V310" s="15"/>
      <c r="W310" s="22"/>
      <c r="X310" s="16"/>
      <c r="Y310" s="22"/>
      <c r="Z310" s="25" t="str">
        <f t="shared" si="76"/>
        <v/>
      </c>
      <c r="AA310" s="17" t="str">
        <f t="shared" ca="1" si="77"/>
        <v/>
      </c>
      <c r="AB310" s="17" t="str">
        <f t="shared" ca="1" si="78"/>
        <v/>
      </c>
      <c r="AC310" s="17" t="str">
        <f t="shared" ca="1" si="79"/>
        <v/>
      </c>
      <c r="AD310" s="17" t="str">
        <f t="shared" ca="1" si="80"/>
        <v/>
      </c>
      <c r="AE310" s="17" t="str">
        <f t="shared" si="81"/>
        <v/>
      </c>
      <c r="AF310" s="17" t="str">
        <f t="shared" si="82"/>
        <v/>
      </c>
      <c r="AG310" s="17" t="str">
        <f t="shared" si="83"/>
        <v/>
      </c>
      <c r="AH310" s="17">
        <f t="shared" si="84"/>
        <v>0</v>
      </c>
      <c r="AI310" s="17" t="str">
        <f t="shared" ca="1" si="85"/>
        <v/>
      </c>
      <c r="AJ310" s="17" t="str">
        <f t="shared" ca="1" si="86"/>
        <v/>
      </c>
      <c r="AK310" s="17" t="str">
        <f t="shared" si="87"/>
        <v/>
      </c>
      <c r="AL310" s="17" t="str">
        <f t="shared" ca="1" si="88"/>
        <v/>
      </c>
      <c r="AN310" s="24">
        <f t="shared" si="89"/>
        <v>0</v>
      </c>
      <c r="AO310" s="24">
        <f t="shared" si="90"/>
        <v>0</v>
      </c>
      <c r="AP310" s="24">
        <f t="shared" si="91"/>
        <v>0</v>
      </c>
      <c r="AQ310" s="24">
        <f t="shared" si="92"/>
        <v>0</v>
      </c>
      <c r="AR310" s="24">
        <f t="shared" si="93"/>
        <v>0</v>
      </c>
      <c r="AS310" s="24">
        <f t="shared" si="94"/>
        <v>0</v>
      </c>
    </row>
    <row r="311" spans="1:45" x14ac:dyDescent="0.25">
      <c r="A311" s="83"/>
      <c r="B311" s="83"/>
      <c r="C311" s="83"/>
      <c r="D311" s="15"/>
      <c r="E311" s="15"/>
      <c r="F311" s="83"/>
      <c r="G311" s="83"/>
      <c r="H311" s="16"/>
      <c r="I311" s="83"/>
      <c r="J311" s="83"/>
      <c r="K311" s="16"/>
      <c r="L311" s="15"/>
      <c r="M311" s="20"/>
      <c r="N311" s="15"/>
      <c r="O311" s="20"/>
      <c r="P311" s="15"/>
      <c r="Q311" s="15"/>
      <c r="R311" s="17" t="str">
        <f>IF(Q311="","",VLOOKUP(Q311,'References (2)'!C:D,2,0))</f>
        <v/>
      </c>
      <c r="S311" s="17" t="str">
        <f>IF(Q311="","",VLOOKUP(Q311,'References (2)'!C:F,4,0))</f>
        <v/>
      </c>
      <c r="T311" s="16"/>
      <c r="U311" s="20"/>
      <c r="V311" s="15"/>
      <c r="W311" s="22"/>
      <c r="X311" s="16"/>
      <c r="Y311" s="22"/>
      <c r="Z311" s="25" t="str">
        <f t="shared" si="76"/>
        <v/>
      </c>
      <c r="AA311" s="17" t="str">
        <f t="shared" ca="1" si="77"/>
        <v/>
      </c>
      <c r="AB311" s="17" t="str">
        <f t="shared" ca="1" si="78"/>
        <v/>
      </c>
      <c r="AC311" s="17" t="str">
        <f t="shared" ca="1" si="79"/>
        <v/>
      </c>
      <c r="AD311" s="17" t="str">
        <f t="shared" ca="1" si="80"/>
        <v/>
      </c>
      <c r="AE311" s="17" t="str">
        <f t="shared" si="81"/>
        <v/>
      </c>
      <c r="AF311" s="17" t="str">
        <f t="shared" si="82"/>
        <v/>
      </c>
      <c r="AG311" s="17" t="str">
        <f t="shared" si="83"/>
        <v/>
      </c>
      <c r="AH311" s="17">
        <f t="shared" si="84"/>
        <v>0</v>
      </c>
      <c r="AI311" s="17" t="str">
        <f t="shared" ca="1" si="85"/>
        <v/>
      </c>
      <c r="AJ311" s="17" t="str">
        <f t="shared" ca="1" si="86"/>
        <v/>
      </c>
      <c r="AK311" s="17" t="str">
        <f t="shared" si="87"/>
        <v/>
      </c>
      <c r="AL311" s="17" t="str">
        <f t="shared" ca="1" si="88"/>
        <v/>
      </c>
      <c r="AN311" s="24">
        <f t="shared" si="89"/>
        <v>0</v>
      </c>
      <c r="AO311" s="24">
        <f t="shared" si="90"/>
        <v>0</v>
      </c>
      <c r="AP311" s="24">
        <f t="shared" si="91"/>
        <v>0</v>
      </c>
      <c r="AQ311" s="24">
        <f t="shared" si="92"/>
        <v>0</v>
      </c>
      <c r="AR311" s="24">
        <f t="shared" si="93"/>
        <v>0</v>
      </c>
      <c r="AS311" s="24">
        <f t="shared" si="94"/>
        <v>0</v>
      </c>
    </row>
    <row r="312" spans="1:45" x14ac:dyDescent="0.25">
      <c r="A312" s="83"/>
      <c r="B312" s="83"/>
      <c r="C312" s="83"/>
      <c r="D312" s="15"/>
      <c r="E312" s="15"/>
      <c r="F312" s="83"/>
      <c r="G312" s="83"/>
      <c r="H312" s="16"/>
      <c r="I312" s="83"/>
      <c r="J312" s="83"/>
      <c r="K312" s="16"/>
      <c r="L312" s="15"/>
      <c r="M312" s="20"/>
      <c r="N312" s="15"/>
      <c r="O312" s="20"/>
      <c r="P312" s="15"/>
      <c r="Q312" s="15"/>
      <c r="R312" s="17" t="str">
        <f>IF(Q312="","",VLOOKUP(Q312,'References (2)'!C:D,2,0))</f>
        <v/>
      </c>
      <c r="S312" s="17" t="str">
        <f>IF(Q312="","",VLOOKUP(Q312,'References (2)'!C:F,4,0))</f>
        <v/>
      </c>
      <c r="T312" s="16"/>
      <c r="U312" s="20"/>
      <c r="V312" s="15"/>
      <c r="W312" s="22"/>
      <c r="X312" s="16"/>
      <c r="Y312" s="22"/>
      <c r="Z312" s="25" t="str">
        <f t="shared" si="76"/>
        <v/>
      </c>
      <c r="AA312" s="17" t="str">
        <f t="shared" ca="1" si="77"/>
        <v/>
      </c>
      <c r="AB312" s="17" t="str">
        <f t="shared" ca="1" si="78"/>
        <v/>
      </c>
      <c r="AC312" s="17" t="str">
        <f t="shared" ca="1" si="79"/>
        <v/>
      </c>
      <c r="AD312" s="17" t="str">
        <f t="shared" ca="1" si="80"/>
        <v/>
      </c>
      <c r="AE312" s="17" t="str">
        <f t="shared" si="81"/>
        <v/>
      </c>
      <c r="AF312" s="17" t="str">
        <f t="shared" si="82"/>
        <v/>
      </c>
      <c r="AG312" s="17" t="str">
        <f t="shared" si="83"/>
        <v/>
      </c>
      <c r="AH312" s="17">
        <f t="shared" si="84"/>
        <v>0</v>
      </c>
      <c r="AI312" s="17" t="str">
        <f t="shared" ca="1" si="85"/>
        <v/>
      </c>
      <c r="AJ312" s="17" t="str">
        <f t="shared" ca="1" si="86"/>
        <v/>
      </c>
      <c r="AK312" s="17" t="str">
        <f t="shared" si="87"/>
        <v/>
      </c>
      <c r="AL312" s="17" t="str">
        <f t="shared" ca="1" si="88"/>
        <v/>
      </c>
      <c r="AN312" s="24">
        <f t="shared" si="89"/>
        <v>0</v>
      </c>
      <c r="AO312" s="24">
        <f t="shared" si="90"/>
        <v>0</v>
      </c>
      <c r="AP312" s="24">
        <f t="shared" si="91"/>
        <v>0</v>
      </c>
      <c r="AQ312" s="24">
        <f t="shared" si="92"/>
        <v>0</v>
      </c>
      <c r="AR312" s="24">
        <f t="shared" si="93"/>
        <v>0</v>
      </c>
      <c r="AS312" s="24">
        <f t="shared" si="94"/>
        <v>0</v>
      </c>
    </row>
    <row r="313" spans="1:45" x14ac:dyDescent="0.25">
      <c r="A313" s="83"/>
      <c r="B313" s="83"/>
      <c r="C313" s="83"/>
      <c r="D313" s="15"/>
      <c r="E313" s="15"/>
      <c r="F313" s="83"/>
      <c r="G313" s="83"/>
      <c r="H313" s="16"/>
      <c r="I313" s="83"/>
      <c r="J313" s="83"/>
      <c r="K313" s="16"/>
      <c r="L313" s="15"/>
      <c r="M313" s="20"/>
      <c r="N313" s="15"/>
      <c r="O313" s="20"/>
      <c r="P313" s="15"/>
      <c r="Q313" s="15"/>
      <c r="R313" s="17" t="str">
        <f>IF(Q313="","",VLOOKUP(Q313,'References (2)'!C:D,2,0))</f>
        <v/>
      </c>
      <c r="S313" s="17" t="str">
        <f>IF(Q313="","",VLOOKUP(Q313,'References (2)'!C:F,4,0))</f>
        <v/>
      </c>
      <c r="T313" s="16"/>
      <c r="U313" s="20"/>
      <c r="V313" s="15"/>
      <c r="W313" s="22"/>
      <c r="X313" s="16"/>
      <c r="Y313" s="22"/>
      <c r="Z313" s="25" t="str">
        <f t="shared" si="76"/>
        <v/>
      </c>
      <c r="AA313" s="17" t="str">
        <f t="shared" ca="1" si="77"/>
        <v/>
      </c>
      <c r="AB313" s="17" t="str">
        <f t="shared" ca="1" si="78"/>
        <v/>
      </c>
      <c r="AC313" s="17" t="str">
        <f t="shared" ca="1" si="79"/>
        <v/>
      </c>
      <c r="AD313" s="17" t="str">
        <f t="shared" ca="1" si="80"/>
        <v/>
      </c>
      <c r="AE313" s="17" t="str">
        <f t="shared" si="81"/>
        <v/>
      </c>
      <c r="AF313" s="17" t="str">
        <f t="shared" si="82"/>
        <v/>
      </c>
      <c r="AG313" s="17" t="str">
        <f t="shared" si="83"/>
        <v/>
      </c>
      <c r="AH313" s="17">
        <f t="shared" si="84"/>
        <v>0</v>
      </c>
      <c r="AI313" s="17" t="str">
        <f t="shared" ca="1" si="85"/>
        <v/>
      </c>
      <c r="AJ313" s="17" t="str">
        <f t="shared" ca="1" si="86"/>
        <v/>
      </c>
      <c r="AK313" s="17" t="str">
        <f t="shared" si="87"/>
        <v/>
      </c>
      <c r="AL313" s="17" t="str">
        <f t="shared" ca="1" si="88"/>
        <v/>
      </c>
      <c r="AN313" s="24">
        <f t="shared" si="89"/>
        <v>0</v>
      </c>
      <c r="AO313" s="24">
        <f t="shared" si="90"/>
        <v>0</v>
      </c>
      <c r="AP313" s="24">
        <f t="shared" si="91"/>
        <v>0</v>
      </c>
      <c r="AQ313" s="24">
        <f t="shared" si="92"/>
        <v>0</v>
      </c>
      <c r="AR313" s="24">
        <f t="shared" si="93"/>
        <v>0</v>
      </c>
      <c r="AS313" s="24">
        <f t="shared" si="94"/>
        <v>0</v>
      </c>
    </row>
    <row r="314" spans="1:45" x14ac:dyDescent="0.25">
      <c r="A314" s="83"/>
      <c r="B314" s="83"/>
      <c r="C314" s="83"/>
      <c r="D314" s="15"/>
      <c r="E314" s="15"/>
      <c r="F314" s="83"/>
      <c r="G314" s="83"/>
      <c r="H314" s="16"/>
      <c r="I314" s="83"/>
      <c r="J314" s="83"/>
      <c r="K314" s="16"/>
      <c r="L314" s="15"/>
      <c r="M314" s="20"/>
      <c r="N314" s="15"/>
      <c r="O314" s="20"/>
      <c r="P314" s="15"/>
      <c r="Q314" s="15"/>
      <c r="R314" s="17" t="str">
        <f>IF(Q314="","",VLOOKUP(Q314,'References (2)'!C:D,2,0))</f>
        <v/>
      </c>
      <c r="S314" s="17" t="str">
        <f>IF(Q314="","",VLOOKUP(Q314,'References (2)'!C:F,4,0))</f>
        <v/>
      </c>
      <c r="T314" s="16"/>
      <c r="U314" s="20"/>
      <c r="V314" s="15"/>
      <c r="W314" s="22"/>
      <c r="X314" s="16"/>
      <c r="Y314" s="22"/>
      <c r="Z314" s="25" t="str">
        <f t="shared" si="76"/>
        <v/>
      </c>
      <c r="AA314" s="17" t="str">
        <f t="shared" ca="1" si="77"/>
        <v/>
      </c>
      <c r="AB314" s="17" t="str">
        <f t="shared" ca="1" si="78"/>
        <v/>
      </c>
      <c r="AC314" s="17" t="str">
        <f t="shared" ca="1" si="79"/>
        <v/>
      </c>
      <c r="AD314" s="17" t="str">
        <f t="shared" ca="1" si="80"/>
        <v/>
      </c>
      <c r="AE314" s="17" t="str">
        <f t="shared" si="81"/>
        <v/>
      </c>
      <c r="AF314" s="17" t="str">
        <f t="shared" si="82"/>
        <v/>
      </c>
      <c r="AG314" s="17" t="str">
        <f t="shared" si="83"/>
        <v/>
      </c>
      <c r="AH314" s="17">
        <f t="shared" si="84"/>
        <v>0</v>
      </c>
      <c r="AI314" s="17" t="str">
        <f t="shared" ca="1" si="85"/>
        <v/>
      </c>
      <c r="AJ314" s="17" t="str">
        <f t="shared" ca="1" si="86"/>
        <v/>
      </c>
      <c r="AK314" s="17" t="str">
        <f t="shared" si="87"/>
        <v/>
      </c>
      <c r="AL314" s="17" t="str">
        <f t="shared" ca="1" si="88"/>
        <v/>
      </c>
      <c r="AN314" s="24">
        <f t="shared" si="89"/>
        <v>0</v>
      </c>
      <c r="AO314" s="24">
        <f t="shared" si="90"/>
        <v>0</v>
      </c>
      <c r="AP314" s="24">
        <f t="shared" si="91"/>
        <v>0</v>
      </c>
      <c r="AQ314" s="24">
        <f t="shared" si="92"/>
        <v>0</v>
      </c>
      <c r="AR314" s="24">
        <f t="shared" si="93"/>
        <v>0</v>
      </c>
      <c r="AS314" s="24">
        <f t="shared" si="94"/>
        <v>0</v>
      </c>
    </row>
    <row r="315" spans="1:45" x14ac:dyDescent="0.25">
      <c r="A315" s="83"/>
      <c r="B315" s="83"/>
      <c r="C315" s="83"/>
      <c r="D315" s="15"/>
      <c r="E315" s="15"/>
      <c r="F315" s="83"/>
      <c r="G315" s="83"/>
      <c r="H315" s="16"/>
      <c r="I315" s="83"/>
      <c r="J315" s="83"/>
      <c r="K315" s="16"/>
      <c r="L315" s="15"/>
      <c r="M315" s="20"/>
      <c r="N315" s="15"/>
      <c r="O315" s="20"/>
      <c r="P315" s="15"/>
      <c r="Q315" s="15"/>
      <c r="R315" s="17" t="str">
        <f>IF(Q315="","",VLOOKUP(Q315,'References (2)'!C:D,2,0))</f>
        <v/>
      </c>
      <c r="S315" s="17" t="str">
        <f>IF(Q315="","",VLOOKUP(Q315,'References (2)'!C:F,4,0))</f>
        <v/>
      </c>
      <c r="T315" s="16"/>
      <c r="U315" s="20"/>
      <c r="V315" s="15"/>
      <c r="W315" s="22"/>
      <c r="X315" s="16"/>
      <c r="Y315" s="22"/>
      <c r="Z315" s="25" t="str">
        <f t="shared" si="76"/>
        <v/>
      </c>
      <c r="AA315" s="17" t="str">
        <f t="shared" ca="1" si="77"/>
        <v/>
      </c>
      <c r="AB315" s="17" t="str">
        <f t="shared" ca="1" si="78"/>
        <v/>
      </c>
      <c r="AC315" s="17" t="str">
        <f t="shared" ca="1" si="79"/>
        <v/>
      </c>
      <c r="AD315" s="17" t="str">
        <f t="shared" ca="1" si="80"/>
        <v/>
      </c>
      <c r="AE315" s="17" t="str">
        <f t="shared" si="81"/>
        <v/>
      </c>
      <c r="AF315" s="17" t="str">
        <f t="shared" si="82"/>
        <v/>
      </c>
      <c r="AG315" s="17" t="str">
        <f t="shared" si="83"/>
        <v/>
      </c>
      <c r="AH315" s="17">
        <f t="shared" si="84"/>
        <v>0</v>
      </c>
      <c r="AI315" s="17" t="str">
        <f t="shared" ca="1" si="85"/>
        <v/>
      </c>
      <c r="AJ315" s="17" t="str">
        <f t="shared" ca="1" si="86"/>
        <v/>
      </c>
      <c r="AK315" s="17" t="str">
        <f t="shared" si="87"/>
        <v/>
      </c>
      <c r="AL315" s="17" t="str">
        <f t="shared" ca="1" si="88"/>
        <v/>
      </c>
      <c r="AN315" s="24">
        <f t="shared" si="89"/>
        <v>0</v>
      </c>
      <c r="AO315" s="24">
        <f t="shared" si="90"/>
        <v>0</v>
      </c>
      <c r="AP315" s="24">
        <f t="shared" si="91"/>
        <v>0</v>
      </c>
      <c r="AQ315" s="24">
        <f t="shared" si="92"/>
        <v>0</v>
      </c>
      <c r="AR315" s="24">
        <f t="shared" si="93"/>
        <v>0</v>
      </c>
      <c r="AS315" s="24">
        <f t="shared" si="94"/>
        <v>0</v>
      </c>
    </row>
    <row r="316" spans="1:45" x14ac:dyDescent="0.25">
      <c r="A316" s="83"/>
      <c r="B316" s="83"/>
      <c r="C316" s="83"/>
      <c r="D316" s="15"/>
      <c r="E316" s="15"/>
      <c r="F316" s="83"/>
      <c r="G316" s="83"/>
      <c r="H316" s="16"/>
      <c r="I316" s="83"/>
      <c r="J316" s="83"/>
      <c r="K316" s="16"/>
      <c r="L316" s="15"/>
      <c r="M316" s="20"/>
      <c r="N316" s="15"/>
      <c r="O316" s="20"/>
      <c r="P316" s="15"/>
      <c r="Q316" s="15"/>
      <c r="R316" s="17" t="str">
        <f>IF(Q316="","",VLOOKUP(Q316,'References (2)'!C:D,2,0))</f>
        <v/>
      </c>
      <c r="S316" s="17" t="str">
        <f>IF(Q316="","",VLOOKUP(Q316,'References (2)'!C:F,4,0))</f>
        <v/>
      </c>
      <c r="T316" s="16"/>
      <c r="U316" s="20"/>
      <c r="V316" s="15"/>
      <c r="W316" s="22"/>
      <c r="X316" s="16"/>
      <c r="Y316" s="22"/>
      <c r="Z316" s="25" t="str">
        <f t="shared" si="76"/>
        <v/>
      </c>
      <c r="AA316" s="17" t="str">
        <f t="shared" ca="1" si="77"/>
        <v/>
      </c>
      <c r="AB316" s="17" t="str">
        <f t="shared" ca="1" si="78"/>
        <v/>
      </c>
      <c r="AC316" s="17" t="str">
        <f t="shared" ca="1" si="79"/>
        <v/>
      </c>
      <c r="AD316" s="17" t="str">
        <f t="shared" ca="1" si="80"/>
        <v/>
      </c>
      <c r="AE316" s="17" t="str">
        <f t="shared" si="81"/>
        <v/>
      </c>
      <c r="AF316" s="17" t="str">
        <f t="shared" si="82"/>
        <v/>
      </c>
      <c r="AG316" s="17" t="str">
        <f t="shared" si="83"/>
        <v/>
      </c>
      <c r="AH316" s="17">
        <f t="shared" si="84"/>
        <v>0</v>
      </c>
      <c r="AI316" s="17" t="str">
        <f t="shared" ca="1" si="85"/>
        <v/>
      </c>
      <c r="AJ316" s="17" t="str">
        <f t="shared" ca="1" si="86"/>
        <v/>
      </c>
      <c r="AK316" s="17" t="str">
        <f t="shared" si="87"/>
        <v/>
      </c>
      <c r="AL316" s="17" t="str">
        <f t="shared" ca="1" si="88"/>
        <v/>
      </c>
      <c r="AN316" s="24">
        <f t="shared" si="89"/>
        <v>0</v>
      </c>
      <c r="AO316" s="24">
        <f t="shared" si="90"/>
        <v>0</v>
      </c>
      <c r="AP316" s="24">
        <f t="shared" si="91"/>
        <v>0</v>
      </c>
      <c r="AQ316" s="24">
        <f t="shared" si="92"/>
        <v>0</v>
      </c>
      <c r="AR316" s="24">
        <f t="shared" si="93"/>
        <v>0</v>
      </c>
      <c r="AS316" s="24">
        <f t="shared" si="94"/>
        <v>0</v>
      </c>
    </row>
    <row r="317" spans="1:45" x14ac:dyDescent="0.25">
      <c r="A317" s="83"/>
      <c r="B317" s="83"/>
      <c r="C317" s="83"/>
      <c r="D317" s="15"/>
      <c r="E317" s="15"/>
      <c r="F317" s="83"/>
      <c r="G317" s="83"/>
      <c r="H317" s="16"/>
      <c r="I317" s="83"/>
      <c r="J317" s="83"/>
      <c r="K317" s="16"/>
      <c r="L317" s="15"/>
      <c r="M317" s="20"/>
      <c r="N317" s="15"/>
      <c r="O317" s="20"/>
      <c r="P317" s="15"/>
      <c r="Q317" s="15"/>
      <c r="R317" s="17" t="str">
        <f>IF(Q317="","",VLOOKUP(Q317,'References (2)'!C:D,2,0))</f>
        <v/>
      </c>
      <c r="S317" s="17" t="str">
        <f>IF(Q317="","",VLOOKUP(Q317,'References (2)'!C:F,4,0))</f>
        <v/>
      </c>
      <c r="T317" s="16"/>
      <c r="U317" s="20"/>
      <c r="V317" s="15"/>
      <c r="W317" s="22"/>
      <c r="X317" s="16"/>
      <c r="Y317" s="22"/>
      <c r="Z317" s="25" t="str">
        <f t="shared" si="76"/>
        <v/>
      </c>
      <c r="AA317" s="17" t="str">
        <f t="shared" ca="1" si="77"/>
        <v/>
      </c>
      <c r="AB317" s="17" t="str">
        <f t="shared" ca="1" si="78"/>
        <v/>
      </c>
      <c r="AC317" s="17" t="str">
        <f t="shared" ca="1" si="79"/>
        <v/>
      </c>
      <c r="AD317" s="17" t="str">
        <f t="shared" ca="1" si="80"/>
        <v/>
      </c>
      <c r="AE317" s="17" t="str">
        <f t="shared" si="81"/>
        <v/>
      </c>
      <c r="AF317" s="17" t="str">
        <f t="shared" si="82"/>
        <v/>
      </c>
      <c r="AG317" s="17" t="str">
        <f t="shared" si="83"/>
        <v/>
      </c>
      <c r="AH317" s="17">
        <f t="shared" si="84"/>
        <v>0</v>
      </c>
      <c r="AI317" s="17" t="str">
        <f t="shared" ca="1" si="85"/>
        <v/>
      </c>
      <c r="AJ317" s="17" t="str">
        <f t="shared" ca="1" si="86"/>
        <v/>
      </c>
      <c r="AK317" s="17" t="str">
        <f t="shared" si="87"/>
        <v/>
      </c>
      <c r="AL317" s="17" t="str">
        <f t="shared" ca="1" si="88"/>
        <v/>
      </c>
      <c r="AN317" s="24">
        <f t="shared" si="89"/>
        <v>0</v>
      </c>
      <c r="AO317" s="24">
        <f t="shared" si="90"/>
        <v>0</v>
      </c>
      <c r="AP317" s="24">
        <f t="shared" si="91"/>
        <v>0</v>
      </c>
      <c r="AQ317" s="24">
        <f t="shared" si="92"/>
        <v>0</v>
      </c>
      <c r="AR317" s="24">
        <f t="shared" si="93"/>
        <v>0</v>
      </c>
      <c r="AS317" s="24">
        <f t="shared" si="94"/>
        <v>0</v>
      </c>
    </row>
    <row r="318" spans="1:45" x14ac:dyDescent="0.25">
      <c r="A318" s="83"/>
      <c r="B318" s="83"/>
      <c r="C318" s="83"/>
      <c r="D318" s="15"/>
      <c r="E318" s="15"/>
      <c r="F318" s="83"/>
      <c r="G318" s="83"/>
      <c r="H318" s="16"/>
      <c r="I318" s="83"/>
      <c r="J318" s="83"/>
      <c r="K318" s="16"/>
      <c r="L318" s="15"/>
      <c r="M318" s="20"/>
      <c r="N318" s="15"/>
      <c r="O318" s="20"/>
      <c r="P318" s="15"/>
      <c r="Q318" s="15"/>
      <c r="R318" s="17" t="str">
        <f>IF(Q318="","",VLOOKUP(Q318,'References (2)'!C:D,2,0))</f>
        <v/>
      </c>
      <c r="S318" s="17" t="str">
        <f>IF(Q318="","",VLOOKUP(Q318,'References (2)'!C:F,4,0))</f>
        <v/>
      </c>
      <c r="T318" s="16"/>
      <c r="U318" s="20"/>
      <c r="V318" s="15"/>
      <c r="W318" s="22"/>
      <c r="X318" s="16"/>
      <c r="Y318" s="22"/>
      <c r="Z318" s="25" t="str">
        <f t="shared" si="76"/>
        <v/>
      </c>
      <c r="AA318" s="17" t="str">
        <f t="shared" ca="1" si="77"/>
        <v/>
      </c>
      <c r="AB318" s="17" t="str">
        <f t="shared" ca="1" si="78"/>
        <v/>
      </c>
      <c r="AC318" s="17" t="str">
        <f t="shared" ca="1" si="79"/>
        <v/>
      </c>
      <c r="AD318" s="17" t="str">
        <f t="shared" ca="1" si="80"/>
        <v/>
      </c>
      <c r="AE318" s="17" t="str">
        <f t="shared" si="81"/>
        <v/>
      </c>
      <c r="AF318" s="17" t="str">
        <f t="shared" si="82"/>
        <v/>
      </c>
      <c r="AG318" s="17" t="str">
        <f t="shared" si="83"/>
        <v/>
      </c>
      <c r="AH318" s="17">
        <f t="shared" si="84"/>
        <v>0</v>
      </c>
      <c r="AI318" s="17" t="str">
        <f t="shared" ca="1" si="85"/>
        <v/>
      </c>
      <c r="AJ318" s="17" t="str">
        <f t="shared" ca="1" si="86"/>
        <v/>
      </c>
      <c r="AK318" s="17" t="str">
        <f t="shared" si="87"/>
        <v/>
      </c>
      <c r="AL318" s="17" t="str">
        <f t="shared" ca="1" si="88"/>
        <v/>
      </c>
      <c r="AN318" s="24">
        <f t="shared" si="89"/>
        <v>0</v>
      </c>
      <c r="AO318" s="24">
        <f t="shared" si="90"/>
        <v>0</v>
      </c>
      <c r="AP318" s="24">
        <f t="shared" si="91"/>
        <v>0</v>
      </c>
      <c r="AQ318" s="24">
        <f t="shared" si="92"/>
        <v>0</v>
      </c>
      <c r="AR318" s="24">
        <f t="shared" si="93"/>
        <v>0</v>
      </c>
      <c r="AS318" s="24">
        <f t="shared" si="94"/>
        <v>0</v>
      </c>
    </row>
    <row r="319" spans="1:45" x14ac:dyDescent="0.25">
      <c r="A319" s="83"/>
      <c r="B319" s="83"/>
      <c r="C319" s="83"/>
      <c r="D319" s="15"/>
      <c r="E319" s="15"/>
      <c r="F319" s="83"/>
      <c r="G319" s="83"/>
      <c r="H319" s="16"/>
      <c r="I319" s="83"/>
      <c r="J319" s="83"/>
      <c r="K319" s="16"/>
      <c r="L319" s="15"/>
      <c r="M319" s="20"/>
      <c r="N319" s="15"/>
      <c r="O319" s="20"/>
      <c r="P319" s="15"/>
      <c r="Q319" s="15"/>
      <c r="R319" s="17" t="str">
        <f>IF(Q319="","",VLOOKUP(Q319,'References (2)'!C:D,2,0))</f>
        <v/>
      </c>
      <c r="S319" s="17" t="str">
        <f>IF(Q319="","",VLOOKUP(Q319,'References (2)'!C:F,4,0))</f>
        <v/>
      </c>
      <c r="T319" s="16"/>
      <c r="U319" s="20"/>
      <c r="V319" s="15"/>
      <c r="W319" s="22"/>
      <c r="X319" s="16"/>
      <c r="Y319" s="22"/>
      <c r="Z319" s="25" t="str">
        <f t="shared" si="76"/>
        <v/>
      </c>
      <c r="AA319" s="17" t="str">
        <f t="shared" ca="1" si="77"/>
        <v/>
      </c>
      <c r="AB319" s="17" t="str">
        <f t="shared" ca="1" si="78"/>
        <v/>
      </c>
      <c r="AC319" s="17" t="str">
        <f t="shared" ca="1" si="79"/>
        <v/>
      </c>
      <c r="AD319" s="17" t="str">
        <f t="shared" ca="1" si="80"/>
        <v/>
      </c>
      <c r="AE319" s="17" t="str">
        <f t="shared" si="81"/>
        <v/>
      </c>
      <c r="AF319" s="17" t="str">
        <f t="shared" si="82"/>
        <v/>
      </c>
      <c r="AG319" s="17" t="str">
        <f t="shared" si="83"/>
        <v/>
      </c>
      <c r="AH319" s="17">
        <f t="shared" si="84"/>
        <v>0</v>
      </c>
      <c r="AI319" s="17" t="str">
        <f t="shared" ca="1" si="85"/>
        <v/>
      </c>
      <c r="AJ319" s="17" t="str">
        <f t="shared" ca="1" si="86"/>
        <v/>
      </c>
      <c r="AK319" s="17" t="str">
        <f t="shared" si="87"/>
        <v/>
      </c>
      <c r="AL319" s="17" t="str">
        <f t="shared" ca="1" si="88"/>
        <v/>
      </c>
      <c r="AN319" s="24">
        <f t="shared" si="89"/>
        <v>0</v>
      </c>
      <c r="AO319" s="24">
        <f t="shared" si="90"/>
        <v>0</v>
      </c>
      <c r="AP319" s="24">
        <f t="shared" si="91"/>
        <v>0</v>
      </c>
      <c r="AQ319" s="24">
        <f t="shared" si="92"/>
        <v>0</v>
      </c>
      <c r="AR319" s="24">
        <f t="shared" si="93"/>
        <v>0</v>
      </c>
      <c r="AS319" s="24">
        <f t="shared" si="94"/>
        <v>0</v>
      </c>
    </row>
    <row r="320" spans="1:45" x14ac:dyDescent="0.25">
      <c r="A320" s="83"/>
      <c r="B320" s="83"/>
      <c r="C320" s="83"/>
      <c r="D320" s="15"/>
      <c r="E320" s="15"/>
      <c r="F320" s="83"/>
      <c r="G320" s="83"/>
      <c r="H320" s="16"/>
      <c r="I320" s="83"/>
      <c r="J320" s="83"/>
      <c r="K320" s="16"/>
      <c r="L320" s="15"/>
      <c r="M320" s="20"/>
      <c r="N320" s="15"/>
      <c r="O320" s="20"/>
      <c r="P320" s="15"/>
      <c r="Q320" s="15"/>
      <c r="R320" s="17" t="str">
        <f>IF(Q320="","",VLOOKUP(Q320,'References (2)'!C:D,2,0))</f>
        <v/>
      </c>
      <c r="S320" s="17" t="str">
        <f>IF(Q320="","",VLOOKUP(Q320,'References (2)'!C:F,4,0))</f>
        <v/>
      </c>
      <c r="T320" s="16"/>
      <c r="U320" s="20"/>
      <c r="V320" s="15"/>
      <c r="W320" s="22"/>
      <c r="X320" s="16"/>
      <c r="Y320" s="22"/>
      <c r="Z320" s="25" t="str">
        <f t="shared" si="76"/>
        <v/>
      </c>
      <c r="AA320" s="17" t="str">
        <f t="shared" ca="1" si="77"/>
        <v/>
      </c>
      <c r="AB320" s="17" t="str">
        <f t="shared" ca="1" si="78"/>
        <v/>
      </c>
      <c r="AC320" s="17" t="str">
        <f t="shared" ca="1" si="79"/>
        <v/>
      </c>
      <c r="AD320" s="17" t="str">
        <f t="shared" ca="1" si="80"/>
        <v/>
      </c>
      <c r="AE320" s="17" t="str">
        <f t="shared" si="81"/>
        <v/>
      </c>
      <c r="AF320" s="17" t="str">
        <f t="shared" si="82"/>
        <v/>
      </c>
      <c r="AG320" s="17" t="str">
        <f t="shared" si="83"/>
        <v/>
      </c>
      <c r="AH320" s="17">
        <f t="shared" si="84"/>
        <v>0</v>
      </c>
      <c r="AI320" s="17" t="str">
        <f t="shared" ca="1" si="85"/>
        <v/>
      </c>
      <c r="AJ320" s="17" t="str">
        <f t="shared" ca="1" si="86"/>
        <v/>
      </c>
      <c r="AK320" s="17" t="str">
        <f t="shared" si="87"/>
        <v/>
      </c>
      <c r="AL320" s="17" t="str">
        <f t="shared" ca="1" si="88"/>
        <v/>
      </c>
      <c r="AN320" s="24">
        <f t="shared" si="89"/>
        <v>0</v>
      </c>
      <c r="AO320" s="24">
        <f t="shared" si="90"/>
        <v>0</v>
      </c>
      <c r="AP320" s="24">
        <f t="shared" si="91"/>
        <v>0</v>
      </c>
      <c r="AQ320" s="24">
        <f t="shared" si="92"/>
        <v>0</v>
      </c>
      <c r="AR320" s="24">
        <f t="shared" si="93"/>
        <v>0</v>
      </c>
      <c r="AS320" s="24">
        <f t="shared" si="94"/>
        <v>0</v>
      </c>
    </row>
    <row r="321" spans="1:45" x14ac:dyDescent="0.25">
      <c r="A321" s="83"/>
      <c r="B321" s="83"/>
      <c r="C321" s="83"/>
      <c r="D321" s="15"/>
      <c r="E321" s="15"/>
      <c r="F321" s="83"/>
      <c r="G321" s="83"/>
      <c r="H321" s="16"/>
      <c r="I321" s="83"/>
      <c r="J321" s="83"/>
      <c r="K321" s="16"/>
      <c r="L321" s="15"/>
      <c r="M321" s="20"/>
      <c r="N321" s="15"/>
      <c r="O321" s="20"/>
      <c r="P321" s="15"/>
      <c r="Q321" s="15"/>
      <c r="R321" s="17" t="str">
        <f>IF(Q321="","",VLOOKUP(Q321,'References (2)'!C:D,2,0))</f>
        <v/>
      </c>
      <c r="S321" s="17" t="str">
        <f>IF(Q321="","",VLOOKUP(Q321,'References (2)'!C:F,4,0))</f>
        <v/>
      </c>
      <c r="T321" s="16"/>
      <c r="U321" s="20"/>
      <c r="V321" s="15"/>
      <c r="W321" s="22"/>
      <c r="X321" s="16"/>
      <c r="Y321" s="22"/>
      <c r="Z321" s="25" t="str">
        <f t="shared" si="76"/>
        <v/>
      </c>
      <c r="AA321" s="17" t="str">
        <f t="shared" ca="1" si="77"/>
        <v/>
      </c>
      <c r="AB321" s="17" t="str">
        <f t="shared" ca="1" si="78"/>
        <v/>
      </c>
      <c r="AC321" s="17" t="str">
        <f t="shared" ca="1" si="79"/>
        <v/>
      </c>
      <c r="AD321" s="17" t="str">
        <f t="shared" ca="1" si="80"/>
        <v/>
      </c>
      <c r="AE321" s="17" t="str">
        <f t="shared" si="81"/>
        <v/>
      </c>
      <c r="AF321" s="17" t="str">
        <f t="shared" si="82"/>
        <v/>
      </c>
      <c r="AG321" s="17" t="str">
        <f t="shared" si="83"/>
        <v/>
      </c>
      <c r="AH321" s="17">
        <f t="shared" si="84"/>
        <v>0</v>
      </c>
      <c r="AI321" s="17" t="str">
        <f t="shared" ca="1" si="85"/>
        <v/>
      </c>
      <c r="AJ321" s="17" t="str">
        <f t="shared" ca="1" si="86"/>
        <v/>
      </c>
      <c r="AK321" s="17" t="str">
        <f t="shared" si="87"/>
        <v/>
      </c>
      <c r="AL321" s="17" t="str">
        <f t="shared" ca="1" si="88"/>
        <v/>
      </c>
      <c r="AN321" s="24">
        <f t="shared" si="89"/>
        <v>0</v>
      </c>
      <c r="AO321" s="24">
        <f t="shared" si="90"/>
        <v>0</v>
      </c>
      <c r="AP321" s="24">
        <f t="shared" si="91"/>
        <v>0</v>
      </c>
      <c r="AQ321" s="24">
        <f t="shared" si="92"/>
        <v>0</v>
      </c>
      <c r="AR321" s="24">
        <f t="shared" si="93"/>
        <v>0</v>
      </c>
      <c r="AS321" s="24">
        <f t="shared" si="94"/>
        <v>0</v>
      </c>
    </row>
    <row r="322" spans="1:45" x14ac:dyDescent="0.25">
      <c r="A322" s="83"/>
      <c r="B322" s="83"/>
      <c r="C322" s="83"/>
      <c r="D322" s="15"/>
      <c r="E322" s="15"/>
      <c r="F322" s="83"/>
      <c r="G322" s="83"/>
      <c r="H322" s="16"/>
      <c r="I322" s="83"/>
      <c r="J322" s="83"/>
      <c r="K322" s="16"/>
      <c r="L322" s="15"/>
      <c r="M322" s="20"/>
      <c r="N322" s="15"/>
      <c r="O322" s="20"/>
      <c r="P322" s="15"/>
      <c r="Q322" s="15"/>
      <c r="R322" s="17" t="str">
        <f>IF(Q322="","",VLOOKUP(Q322,'References (2)'!C:D,2,0))</f>
        <v/>
      </c>
      <c r="S322" s="17" t="str">
        <f>IF(Q322="","",VLOOKUP(Q322,'References (2)'!C:F,4,0))</f>
        <v/>
      </c>
      <c r="T322" s="16"/>
      <c r="U322" s="20"/>
      <c r="V322" s="15"/>
      <c r="W322" s="22"/>
      <c r="X322" s="16"/>
      <c r="Y322" s="22"/>
      <c r="Z322" s="25" t="str">
        <f t="shared" si="76"/>
        <v/>
      </c>
      <c r="AA322" s="17" t="str">
        <f t="shared" ca="1" si="77"/>
        <v/>
      </c>
      <c r="AB322" s="17" t="str">
        <f t="shared" ca="1" si="78"/>
        <v/>
      </c>
      <c r="AC322" s="17" t="str">
        <f t="shared" ca="1" si="79"/>
        <v/>
      </c>
      <c r="AD322" s="17" t="str">
        <f t="shared" ca="1" si="80"/>
        <v/>
      </c>
      <c r="AE322" s="17" t="str">
        <f t="shared" si="81"/>
        <v/>
      </c>
      <c r="AF322" s="17" t="str">
        <f t="shared" si="82"/>
        <v/>
      </c>
      <c r="AG322" s="17" t="str">
        <f t="shared" si="83"/>
        <v/>
      </c>
      <c r="AH322" s="17">
        <f t="shared" si="84"/>
        <v>0</v>
      </c>
      <c r="AI322" s="17" t="str">
        <f t="shared" ca="1" si="85"/>
        <v/>
      </c>
      <c r="AJ322" s="17" t="str">
        <f t="shared" ca="1" si="86"/>
        <v/>
      </c>
      <c r="AK322" s="17" t="str">
        <f t="shared" si="87"/>
        <v/>
      </c>
      <c r="AL322" s="17" t="str">
        <f t="shared" ca="1" si="88"/>
        <v/>
      </c>
      <c r="AN322" s="24">
        <f t="shared" si="89"/>
        <v>0</v>
      </c>
      <c r="AO322" s="24">
        <f t="shared" si="90"/>
        <v>0</v>
      </c>
      <c r="AP322" s="24">
        <f t="shared" si="91"/>
        <v>0</v>
      </c>
      <c r="AQ322" s="24">
        <f t="shared" si="92"/>
        <v>0</v>
      </c>
      <c r="AR322" s="24">
        <f t="shared" si="93"/>
        <v>0</v>
      </c>
      <c r="AS322" s="24">
        <f t="shared" si="94"/>
        <v>0</v>
      </c>
    </row>
    <row r="323" spans="1:45" x14ac:dyDescent="0.25">
      <c r="A323" s="83"/>
      <c r="B323" s="83"/>
      <c r="C323" s="83"/>
      <c r="D323" s="15"/>
      <c r="E323" s="15"/>
      <c r="F323" s="83"/>
      <c r="G323" s="83"/>
      <c r="H323" s="16"/>
      <c r="I323" s="83"/>
      <c r="J323" s="83"/>
      <c r="K323" s="16"/>
      <c r="L323" s="15"/>
      <c r="M323" s="20"/>
      <c r="N323" s="15"/>
      <c r="O323" s="20"/>
      <c r="P323" s="15"/>
      <c r="Q323" s="15"/>
      <c r="R323" s="17" t="str">
        <f>IF(Q323="","",VLOOKUP(Q323,'References (2)'!C:D,2,0))</f>
        <v/>
      </c>
      <c r="S323" s="17" t="str">
        <f>IF(Q323="","",VLOOKUP(Q323,'References (2)'!C:F,4,0))</f>
        <v/>
      </c>
      <c r="T323" s="16"/>
      <c r="U323" s="20"/>
      <c r="V323" s="15"/>
      <c r="W323" s="22"/>
      <c r="X323" s="16"/>
      <c r="Y323" s="22"/>
      <c r="Z323" s="25" t="str">
        <f t="shared" ref="Z323:Z386" si="95">IF(B323="","",IF(AN323=1,$AN$2,IF(AO323=1,$AO$2,IF(AP323=1,$AP$2,IF(AQ323=1,$AQ$2,IF(AR323=1,$AR$2,IF(AS323=1,$AS$2,"INCORRECT DATA INPUT")))))))</f>
        <v/>
      </c>
      <c r="AA323" s="17" t="str">
        <f t="shared" ref="AA323:AA386" ca="1" si="96">IF(I323="","",IF(M323="",TODAY()-I323,M323-I323))</f>
        <v/>
      </c>
      <c r="AB323" s="17" t="str">
        <f t="shared" ref="AB323:AB386" ca="1" si="97">IF(AA323="","",IF(AA323&lt;=0,0,AA323-1))</f>
        <v/>
      </c>
      <c r="AC323" s="17" t="str">
        <f t="shared" ref="AC323:AC386" ca="1" si="98">IF(AA323="","",IF(AA323&gt;1,"EXCEEDED SLA","WITHIN SLA"))</f>
        <v/>
      </c>
      <c r="AD323" s="17" t="str">
        <f t="shared" ref="AD323:AD386" ca="1" si="99">IF(M323="","",IF(W323="",TODAY()-M323,W323-M323))</f>
        <v/>
      </c>
      <c r="AE323" s="17" t="str">
        <f t="shared" ref="AE323:AE386" si="100">IF(M323="","",IF(S323="WFM",AD323,AD323-1))</f>
        <v/>
      </c>
      <c r="AF323" s="17" t="str">
        <f t="shared" ref="AF323:AF386" si="101">IF(AE323&lt;0,0,AE323)</f>
        <v/>
      </c>
      <c r="AG323" s="17" t="str">
        <f t="shared" ref="AG323:AG386" si="102">IF(M323="","",IF(S323="WFM","WFM SLA",IF(AE323&gt;0,"EXCEEDED SLA","WITHIN SLA")))</f>
        <v/>
      </c>
      <c r="AH323" s="17">
        <f t="shared" ref="AH323:AH386" si="103">Y323-W323</f>
        <v>0</v>
      </c>
      <c r="AI323" s="17" t="str">
        <f t="shared" ref="AI323:AI386" ca="1" si="104">IF(W323="","",IF(Y323="",TODAY()-W323-R323,Y323-W323-R323))</f>
        <v/>
      </c>
      <c r="AJ323" s="17" t="str">
        <f t="shared" ref="AJ323:AJ386" ca="1" si="105">IF(AI323&lt;=0,0,AI323)</f>
        <v/>
      </c>
      <c r="AK323" s="17" t="str">
        <f t="shared" ref="AK323:AK386" si="106">IF(W323="","",IF(AJ323&lt;1,"WITHIN SLA","EXCEEDED SLA"))</f>
        <v/>
      </c>
      <c r="AL323" s="17" t="str">
        <f t="shared" ref="AL323:AL386" ca="1" si="107">IF(B323="","",IF(K323="DONE",Y323-I323,TODAY()-I323))</f>
        <v/>
      </c>
      <c r="AN323" s="24">
        <f t="shared" ref="AN323:AN386" si="108">IF(AND(K323="DONE",Y323&gt;0,AK323="WITHIN SLA"),1,0)</f>
        <v>0</v>
      </c>
      <c r="AO323" s="24">
        <f t="shared" ref="AO323:AO386" si="109">IF(AND(K323="DONE",Y323&gt;0,AK323="EXCEEDED SLA"),1,0)</f>
        <v>0</v>
      </c>
      <c r="AP323" s="24">
        <f t="shared" ref="AP323:AP386" si="110">IF(AND(K323="PENDING",L323="AWAITING FROM CSMP"),1,0)</f>
        <v>0</v>
      </c>
      <c r="AQ323" s="24">
        <f t="shared" ref="AQ323:AQ386" si="111">IF(AND(K323="PENDING",L323="WATO ON-HAND",M323&gt;0,S323="WATO",W323=0),1,0)</f>
        <v>0</v>
      </c>
      <c r="AR323" s="24">
        <f t="shared" ref="AR323:AR386" si="112">IF(AND(K323="PENDING",L323="SUBMITTED TO WFM",M323&gt;0,S323="WFM",W323=0),1,0)</f>
        <v>0</v>
      </c>
      <c r="AS323" s="24">
        <f t="shared" ref="AS323:AS386" si="113">IF(AND(K323="PENDING",W323&gt;0),1,0)</f>
        <v>0</v>
      </c>
    </row>
    <row r="324" spans="1:45" x14ac:dyDescent="0.25">
      <c r="A324" s="83"/>
      <c r="B324" s="83"/>
      <c r="C324" s="83"/>
      <c r="D324" s="15"/>
      <c r="E324" s="15"/>
      <c r="F324" s="83"/>
      <c r="G324" s="83"/>
      <c r="H324" s="16"/>
      <c r="I324" s="83"/>
      <c r="J324" s="83"/>
      <c r="K324" s="16"/>
      <c r="L324" s="15"/>
      <c r="M324" s="20"/>
      <c r="N324" s="15"/>
      <c r="O324" s="20"/>
      <c r="P324" s="15"/>
      <c r="Q324" s="15"/>
      <c r="R324" s="17" t="str">
        <f>IF(Q324="","",VLOOKUP(Q324,'References (2)'!C:D,2,0))</f>
        <v/>
      </c>
      <c r="S324" s="17" t="str">
        <f>IF(Q324="","",VLOOKUP(Q324,'References (2)'!C:F,4,0))</f>
        <v/>
      </c>
      <c r="T324" s="16"/>
      <c r="U324" s="20"/>
      <c r="V324" s="15"/>
      <c r="W324" s="22"/>
      <c r="X324" s="16"/>
      <c r="Y324" s="22"/>
      <c r="Z324" s="25" t="str">
        <f t="shared" si="95"/>
        <v/>
      </c>
      <c r="AA324" s="17" t="str">
        <f t="shared" ca="1" si="96"/>
        <v/>
      </c>
      <c r="AB324" s="17" t="str">
        <f t="shared" ca="1" si="97"/>
        <v/>
      </c>
      <c r="AC324" s="17" t="str">
        <f t="shared" ca="1" si="98"/>
        <v/>
      </c>
      <c r="AD324" s="17" t="str">
        <f t="shared" ca="1" si="99"/>
        <v/>
      </c>
      <c r="AE324" s="17" t="str">
        <f t="shared" si="100"/>
        <v/>
      </c>
      <c r="AF324" s="17" t="str">
        <f t="shared" si="101"/>
        <v/>
      </c>
      <c r="AG324" s="17" t="str">
        <f t="shared" si="102"/>
        <v/>
      </c>
      <c r="AH324" s="17">
        <f t="shared" si="103"/>
        <v>0</v>
      </c>
      <c r="AI324" s="17" t="str">
        <f t="shared" ca="1" si="104"/>
        <v/>
      </c>
      <c r="AJ324" s="17" t="str">
        <f t="shared" ca="1" si="105"/>
        <v/>
      </c>
      <c r="AK324" s="17" t="str">
        <f t="shared" si="106"/>
        <v/>
      </c>
      <c r="AL324" s="17" t="str">
        <f t="shared" ca="1" si="107"/>
        <v/>
      </c>
      <c r="AN324" s="24">
        <f t="shared" si="108"/>
        <v>0</v>
      </c>
      <c r="AO324" s="24">
        <f t="shared" si="109"/>
        <v>0</v>
      </c>
      <c r="AP324" s="24">
        <f t="shared" si="110"/>
        <v>0</v>
      </c>
      <c r="AQ324" s="24">
        <f t="shared" si="111"/>
        <v>0</v>
      </c>
      <c r="AR324" s="24">
        <f t="shared" si="112"/>
        <v>0</v>
      </c>
      <c r="AS324" s="24">
        <f t="shared" si="113"/>
        <v>0</v>
      </c>
    </row>
    <row r="325" spans="1:45" x14ac:dyDescent="0.25">
      <c r="A325" s="83"/>
      <c r="B325" s="83"/>
      <c r="C325" s="83"/>
      <c r="D325" s="15"/>
      <c r="E325" s="15"/>
      <c r="F325" s="83"/>
      <c r="G325" s="83"/>
      <c r="H325" s="16"/>
      <c r="I325" s="83"/>
      <c r="J325" s="83"/>
      <c r="K325" s="16"/>
      <c r="L325" s="15"/>
      <c r="M325" s="20"/>
      <c r="N325" s="15"/>
      <c r="O325" s="20"/>
      <c r="P325" s="15"/>
      <c r="Q325" s="15"/>
      <c r="R325" s="17" t="str">
        <f>IF(Q325="","",VLOOKUP(Q325,'References (2)'!C:D,2,0))</f>
        <v/>
      </c>
      <c r="S325" s="17" t="str">
        <f>IF(Q325="","",VLOOKUP(Q325,'References (2)'!C:F,4,0))</f>
        <v/>
      </c>
      <c r="T325" s="16"/>
      <c r="U325" s="20"/>
      <c r="V325" s="15"/>
      <c r="W325" s="22"/>
      <c r="X325" s="16"/>
      <c r="Y325" s="22"/>
      <c r="Z325" s="25" t="str">
        <f t="shared" si="95"/>
        <v/>
      </c>
      <c r="AA325" s="17" t="str">
        <f t="shared" ca="1" si="96"/>
        <v/>
      </c>
      <c r="AB325" s="17" t="str">
        <f t="shared" ca="1" si="97"/>
        <v/>
      </c>
      <c r="AC325" s="17" t="str">
        <f t="shared" ca="1" si="98"/>
        <v/>
      </c>
      <c r="AD325" s="17" t="str">
        <f t="shared" ca="1" si="99"/>
        <v/>
      </c>
      <c r="AE325" s="17" t="str">
        <f t="shared" si="100"/>
        <v/>
      </c>
      <c r="AF325" s="17" t="str">
        <f t="shared" si="101"/>
        <v/>
      </c>
      <c r="AG325" s="17" t="str">
        <f t="shared" si="102"/>
        <v/>
      </c>
      <c r="AH325" s="17">
        <f t="shared" si="103"/>
        <v>0</v>
      </c>
      <c r="AI325" s="17" t="str">
        <f t="shared" ca="1" si="104"/>
        <v/>
      </c>
      <c r="AJ325" s="17" t="str">
        <f t="shared" ca="1" si="105"/>
        <v/>
      </c>
      <c r="AK325" s="17" t="str">
        <f t="shared" si="106"/>
        <v/>
      </c>
      <c r="AL325" s="17" t="str">
        <f t="shared" ca="1" si="107"/>
        <v/>
      </c>
      <c r="AN325" s="24">
        <f t="shared" si="108"/>
        <v>0</v>
      </c>
      <c r="AO325" s="24">
        <f t="shared" si="109"/>
        <v>0</v>
      </c>
      <c r="AP325" s="24">
        <f t="shared" si="110"/>
        <v>0</v>
      </c>
      <c r="AQ325" s="24">
        <f t="shared" si="111"/>
        <v>0</v>
      </c>
      <c r="AR325" s="24">
        <f t="shared" si="112"/>
        <v>0</v>
      </c>
      <c r="AS325" s="24">
        <f t="shared" si="113"/>
        <v>0</v>
      </c>
    </row>
    <row r="326" spans="1:45" x14ac:dyDescent="0.25">
      <c r="A326" s="83"/>
      <c r="B326" s="83"/>
      <c r="C326" s="83"/>
      <c r="D326" s="15"/>
      <c r="E326" s="15"/>
      <c r="F326" s="83"/>
      <c r="G326" s="83"/>
      <c r="H326" s="16"/>
      <c r="I326" s="83"/>
      <c r="J326" s="83"/>
      <c r="K326" s="16"/>
      <c r="L326" s="15"/>
      <c r="M326" s="20"/>
      <c r="N326" s="15"/>
      <c r="O326" s="20"/>
      <c r="P326" s="15"/>
      <c r="Q326" s="15"/>
      <c r="R326" s="17" t="str">
        <f>IF(Q326="","",VLOOKUP(Q326,'References (2)'!C:D,2,0))</f>
        <v/>
      </c>
      <c r="S326" s="17" t="str">
        <f>IF(Q326="","",VLOOKUP(Q326,'References (2)'!C:F,4,0))</f>
        <v/>
      </c>
      <c r="T326" s="16"/>
      <c r="U326" s="20"/>
      <c r="V326" s="15"/>
      <c r="W326" s="22"/>
      <c r="X326" s="16"/>
      <c r="Y326" s="22"/>
      <c r="Z326" s="25" t="str">
        <f t="shared" si="95"/>
        <v/>
      </c>
      <c r="AA326" s="17" t="str">
        <f t="shared" ca="1" si="96"/>
        <v/>
      </c>
      <c r="AB326" s="17" t="str">
        <f t="shared" ca="1" si="97"/>
        <v/>
      </c>
      <c r="AC326" s="17" t="str">
        <f t="shared" ca="1" si="98"/>
        <v/>
      </c>
      <c r="AD326" s="17" t="str">
        <f t="shared" ca="1" si="99"/>
        <v/>
      </c>
      <c r="AE326" s="17" t="str">
        <f t="shared" si="100"/>
        <v/>
      </c>
      <c r="AF326" s="17" t="str">
        <f t="shared" si="101"/>
        <v/>
      </c>
      <c r="AG326" s="17" t="str">
        <f t="shared" si="102"/>
        <v/>
      </c>
      <c r="AH326" s="17">
        <f t="shared" si="103"/>
        <v>0</v>
      </c>
      <c r="AI326" s="17" t="str">
        <f t="shared" ca="1" si="104"/>
        <v/>
      </c>
      <c r="AJ326" s="17" t="str">
        <f t="shared" ca="1" si="105"/>
        <v/>
      </c>
      <c r="AK326" s="17" t="str">
        <f t="shared" si="106"/>
        <v/>
      </c>
      <c r="AL326" s="17" t="str">
        <f t="shared" ca="1" si="107"/>
        <v/>
      </c>
      <c r="AN326" s="24">
        <f t="shared" si="108"/>
        <v>0</v>
      </c>
      <c r="AO326" s="24">
        <f t="shared" si="109"/>
        <v>0</v>
      </c>
      <c r="AP326" s="24">
        <f t="shared" si="110"/>
        <v>0</v>
      </c>
      <c r="AQ326" s="24">
        <f t="shared" si="111"/>
        <v>0</v>
      </c>
      <c r="AR326" s="24">
        <f t="shared" si="112"/>
        <v>0</v>
      </c>
      <c r="AS326" s="24">
        <f t="shared" si="113"/>
        <v>0</v>
      </c>
    </row>
    <row r="327" spans="1:45" x14ac:dyDescent="0.25">
      <c r="A327" s="83"/>
      <c r="B327" s="83"/>
      <c r="C327" s="83"/>
      <c r="D327" s="15"/>
      <c r="E327" s="15"/>
      <c r="F327" s="83"/>
      <c r="G327" s="83"/>
      <c r="H327" s="16"/>
      <c r="I327" s="83"/>
      <c r="J327" s="83"/>
      <c r="K327" s="16"/>
      <c r="L327" s="15"/>
      <c r="M327" s="20"/>
      <c r="N327" s="15"/>
      <c r="O327" s="20"/>
      <c r="P327" s="15"/>
      <c r="Q327" s="15"/>
      <c r="R327" s="17" t="str">
        <f>IF(Q327="","",VLOOKUP(Q327,'References (2)'!C:D,2,0))</f>
        <v/>
      </c>
      <c r="S327" s="17" t="str">
        <f>IF(Q327="","",VLOOKUP(Q327,'References (2)'!C:F,4,0))</f>
        <v/>
      </c>
      <c r="T327" s="16"/>
      <c r="U327" s="20"/>
      <c r="V327" s="15"/>
      <c r="W327" s="22"/>
      <c r="X327" s="16"/>
      <c r="Y327" s="22"/>
      <c r="Z327" s="25" t="str">
        <f t="shared" si="95"/>
        <v/>
      </c>
      <c r="AA327" s="17" t="str">
        <f t="shared" ca="1" si="96"/>
        <v/>
      </c>
      <c r="AB327" s="17" t="str">
        <f t="shared" ca="1" si="97"/>
        <v/>
      </c>
      <c r="AC327" s="17" t="str">
        <f t="shared" ca="1" si="98"/>
        <v/>
      </c>
      <c r="AD327" s="17" t="str">
        <f t="shared" ca="1" si="99"/>
        <v/>
      </c>
      <c r="AE327" s="17" t="str">
        <f t="shared" si="100"/>
        <v/>
      </c>
      <c r="AF327" s="17" t="str">
        <f t="shared" si="101"/>
        <v/>
      </c>
      <c r="AG327" s="17" t="str">
        <f t="shared" si="102"/>
        <v/>
      </c>
      <c r="AH327" s="17">
        <f t="shared" si="103"/>
        <v>0</v>
      </c>
      <c r="AI327" s="17" t="str">
        <f t="shared" ca="1" si="104"/>
        <v/>
      </c>
      <c r="AJ327" s="17" t="str">
        <f t="shared" ca="1" si="105"/>
        <v/>
      </c>
      <c r="AK327" s="17" t="str">
        <f t="shared" si="106"/>
        <v/>
      </c>
      <c r="AL327" s="17" t="str">
        <f t="shared" ca="1" si="107"/>
        <v/>
      </c>
      <c r="AN327" s="24">
        <f t="shared" si="108"/>
        <v>0</v>
      </c>
      <c r="AO327" s="24">
        <f t="shared" si="109"/>
        <v>0</v>
      </c>
      <c r="AP327" s="24">
        <f t="shared" si="110"/>
        <v>0</v>
      </c>
      <c r="AQ327" s="24">
        <f t="shared" si="111"/>
        <v>0</v>
      </c>
      <c r="AR327" s="24">
        <f t="shared" si="112"/>
        <v>0</v>
      </c>
      <c r="AS327" s="24">
        <f t="shared" si="113"/>
        <v>0</v>
      </c>
    </row>
    <row r="328" spans="1:45" x14ac:dyDescent="0.25">
      <c r="A328" s="83"/>
      <c r="B328" s="83"/>
      <c r="C328" s="83"/>
      <c r="D328" s="15"/>
      <c r="E328" s="15"/>
      <c r="F328" s="83"/>
      <c r="G328" s="83"/>
      <c r="H328" s="16"/>
      <c r="I328" s="83"/>
      <c r="J328" s="83"/>
      <c r="K328" s="16"/>
      <c r="L328" s="15"/>
      <c r="M328" s="20"/>
      <c r="N328" s="15"/>
      <c r="O328" s="20"/>
      <c r="P328" s="15"/>
      <c r="Q328" s="15"/>
      <c r="R328" s="17" t="str">
        <f>IF(Q328="","",VLOOKUP(Q328,'References (2)'!C:D,2,0))</f>
        <v/>
      </c>
      <c r="S328" s="17" t="str">
        <f>IF(Q328="","",VLOOKUP(Q328,'References (2)'!C:F,4,0))</f>
        <v/>
      </c>
      <c r="T328" s="16"/>
      <c r="U328" s="20"/>
      <c r="V328" s="15"/>
      <c r="W328" s="22"/>
      <c r="X328" s="16"/>
      <c r="Y328" s="22"/>
      <c r="Z328" s="25" t="str">
        <f t="shared" si="95"/>
        <v/>
      </c>
      <c r="AA328" s="17" t="str">
        <f t="shared" ca="1" si="96"/>
        <v/>
      </c>
      <c r="AB328" s="17" t="str">
        <f t="shared" ca="1" si="97"/>
        <v/>
      </c>
      <c r="AC328" s="17" t="str">
        <f t="shared" ca="1" si="98"/>
        <v/>
      </c>
      <c r="AD328" s="17" t="str">
        <f t="shared" ca="1" si="99"/>
        <v/>
      </c>
      <c r="AE328" s="17" t="str">
        <f t="shared" si="100"/>
        <v/>
      </c>
      <c r="AF328" s="17" t="str">
        <f t="shared" si="101"/>
        <v/>
      </c>
      <c r="AG328" s="17" t="str">
        <f t="shared" si="102"/>
        <v/>
      </c>
      <c r="AH328" s="17">
        <f t="shared" si="103"/>
        <v>0</v>
      </c>
      <c r="AI328" s="17" t="str">
        <f t="shared" ca="1" si="104"/>
        <v/>
      </c>
      <c r="AJ328" s="17" t="str">
        <f t="shared" ca="1" si="105"/>
        <v/>
      </c>
      <c r="AK328" s="17" t="str">
        <f t="shared" si="106"/>
        <v/>
      </c>
      <c r="AL328" s="17" t="str">
        <f t="shared" ca="1" si="107"/>
        <v/>
      </c>
      <c r="AN328" s="24">
        <f t="shared" si="108"/>
        <v>0</v>
      </c>
      <c r="AO328" s="24">
        <f t="shared" si="109"/>
        <v>0</v>
      </c>
      <c r="AP328" s="24">
        <f t="shared" si="110"/>
        <v>0</v>
      </c>
      <c r="AQ328" s="24">
        <f t="shared" si="111"/>
        <v>0</v>
      </c>
      <c r="AR328" s="24">
        <f t="shared" si="112"/>
        <v>0</v>
      </c>
      <c r="AS328" s="24">
        <f t="shared" si="113"/>
        <v>0</v>
      </c>
    </row>
    <row r="329" spans="1:45" x14ac:dyDescent="0.25">
      <c r="A329" s="83"/>
      <c r="B329" s="83"/>
      <c r="C329" s="83"/>
      <c r="D329" s="15"/>
      <c r="E329" s="15"/>
      <c r="F329" s="83"/>
      <c r="G329" s="83"/>
      <c r="H329" s="16"/>
      <c r="I329" s="83"/>
      <c r="J329" s="83"/>
      <c r="K329" s="16"/>
      <c r="L329" s="15"/>
      <c r="M329" s="20"/>
      <c r="N329" s="15"/>
      <c r="O329" s="20"/>
      <c r="P329" s="15"/>
      <c r="Q329" s="15"/>
      <c r="R329" s="17" t="str">
        <f>IF(Q329="","",VLOOKUP(Q329,'References (2)'!C:D,2,0))</f>
        <v/>
      </c>
      <c r="S329" s="17" t="str">
        <f>IF(Q329="","",VLOOKUP(Q329,'References (2)'!C:F,4,0))</f>
        <v/>
      </c>
      <c r="T329" s="16"/>
      <c r="U329" s="20"/>
      <c r="V329" s="15"/>
      <c r="W329" s="22"/>
      <c r="X329" s="16"/>
      <c r="Y329" s="22"/>
      <c r="Z329" s="25" t="str">
        <f t="shared" si="95"/>
        <v/>
      </c>
      <c r="AA329" s="17" t="str">
        <f t="shared" ca="1" si="96"/>
        <v/>
      </c>
      <c r="AB329" s="17" t="str">
        <f t="shared" ca="1" si="97"/>
        <v/>
      </c>
      <c r="AC329" s="17" t="str">
        <f t="shared" ca="1" si="98"/>
        <v/>
      </c>
      <c r="AD329" s="17" t="str">
        <f t="shared" ca="1" si="99"/>
        <v/>
      </c>
      <c r="AE329" s="17" t="str">
        <f t="shared" si="100"/>
        <v/>
      </c>
      <c r="AF329" s="17" t="str">
        <f t="shared" si="101"/>
        <v/>
      </c>
      <c r="AG329" s="17" t="str">
        <f t="shared" si="102"/>
        <v/>
      </c>
      <c r="AH329" s="17">
        <f t="shared" si="103"/>
        <v>0</v>
      </c>
      <c r="AI329" s="17" t="str">
        <f t="shared" ca="1" si="104"/>
        <v/>
      </c>
      <c r="AJ329" s="17" t="str">
        <f t="shared" ca="1" si="105"/>
        <v/>
      </c>
      <c r="AK329" s="17" t="str">
        <f t="shared" si="106"/>
        <v/>
      </c>
      <c r="AL329" s="17" t="str">
        <f t="shared" ca="1" si="107"/>
        <v/>
      </c>
      <c r="AN329" s="24">
        <f t="shared" si="108"/>
        <v>0</v>
      </c>
      <c r="AO329" s="24">
        <f t="shared" si="109"/>
        <v>0</v>
      </c>
      <c r="AP329" s="24">
        <f t="shared" si="110"/>
        <v>0</v>
      </c>
      <c r="AQ329" s="24">
        <f t="shared" si="111"/>
        <v>0</v>
      </c>
      <c r="AR329" s="24">
        <f t="shared" si="112"/>
        <v>0</v>
      </c>
      <c r="AS329" s="24">
        <f t="shared" si="113"/>
        <v>0</v>
      </c>
    </row>
    <row r="330" spans="1:45" x14ac:dyDescent="0.25">
      <c r="A330" s="83"/>
      <c r="B330" s="83"/>
      <c r="C330" s="83"/>
      <c r="D330" s="15"/>
      <c r="E330" s="15"/>
      <c r="F330" s="83"/>
      <c r="G330" s="83"/>
      <c r="H330" s="16"/>
      <c r="I330" s="83"/>
      <c r="J330" s="83"/>
      <c r="K330" s="16"/>
      <c r="L330" s="15"/>
      <c r="M330" s="20"/>
      <c r="N330" s="15"/>
      <c r="O330" s="20"/>
      <c r="P330" s="15"/>
      <c r="Q330" s="15"/>
      <c r="R330" s="17" t="str">
        <f>IF(Q330="","",VLOOKUP(Q330,'References (2)'!C:D,2,0))</f>
        <v/>
      </c>
      <c r="S330" s="17" t="str">
        <f>IF(Q330="","",VLOOKUP(Q330,'References (2)'!C:F,4,0))</f>
        <v/>
      </c>
      <c r="T330" s="16"/>
      <c r="U330" s="20"/>
      <c r="V330" s="15"/>
      <c r="W330" s="22"/>
      <c r="X330" s="16"/>
      <c r="Y330" s="22"/>
      <c r="Z330" s="25" t="str">
        <f t="shared" si="95"/>
        <v/>
      </c>
      <c r="AA330" s="17" t="str">
        <f t="shared" ca="1" si="96"/>
        <v/>
      </c>
      <c r="AB330" s="17" t="str">
        <f t="shared" ca="1" si="97"/>
        <v/>
      </c>
      <c r="AC330" s="17" t="str">
        <f t="shared" ca="1" si="98"/>
        <v/>
      </c>
      <c r="AD330" s="17" t="str">
        <f t="shared" ca="1" si="99"/>
        <v/>
      </c>
      <c r="AE330" s="17" t="str">
        <f t="shared" si="100"/>
        <v/>
      </c>
      <c r="AF330" s="17" t="str">
        <f t="shared" si="101"/>
        <v/>
      </c>
      <c r="AG330" s="17" t="str">
        <f t="shared" si="102"/>
        <v/>
      </c>
      <c r="AH330" s="17">
        <f t="shared" si="103"/>
        <v>0</v>
      </c>
      <c r="AI330" s="17" t="str">
        <f t="shared" ca="1" si="104"/>
        <v/>
      </c>
      <c r="AJ330" s="17" t="str">
        <f t="shared" ca="1" si="105"/>
        <v/>
      </c>
      <c r="AK330" s="17" t="str">
        <f t="shared" si="106"/>
        <v/>
      </c>
      <c r="AL330" s="17" t="str">
        <f t="shared" ca="1" si="107"/>
        <v/>
      </c>
      <c r="AN330" s="24">
        <f t="shared" si="108"/>
        <v>0</v>
      </c>
      <c r="AO330" s="24">
        <f t="shared" si="109"/>
        <v>0</v>
      </c>
      <c r="AP330" s="24">
        <f t="shared" si="110"/>
        <v>0</v>
      </c>
      <c r="AQ330" s="24">
        <f t="shared" si="111"/>
        <v>0</v>
      </c>
      <c r="AR330" s="24">
        <f t="shared" si="112"/>
        <v>0</v>
      </c>
      <c r="AS330" s="24">
        <f t="shared" si="113"/>
        <v>0</v>
      </c>
    </row>
    <row r="331" spans="1:45" x14ac:dyDescent="0.25">
      <c r="A331" s="83"/>
      <c r="B331" s="83"/>
      <c r="C331" s="83"/>
      <c r="D331" s="15"/>
      <c r="E331" s="15"/>
      <c r="F331" s="83"/>
      <c r="G331" s="83"/>
      <c r="H331" s="16"/>
      <c r="I331" s="83"/>
      <c r="J331" s="83"/>
      <c r="K331" s="16"/>
      <c r="L331" s="15"/>
      <c r="M331" s="20"/>
      <c r="N331" s="15"/>
      <c r="O331" s="20"/>
      <c r="P331" s="15"/>
      <c r="Q331" s="15"/>
      <c r="R331" s="17" t="str">
        <f>IF(Q331="","",VLOOKUP(Q331,'References (2)'!C:D,2,0))</f>
        <v/>
      </c>
      <c r="S331" s="17" t="str">
        <f>IF(Q331="","",VLOOKUP(Q331,'References (2)'!C:F,4,0))</f>
        <v/>
      </c>
      <c r="T331" s="16"/>
      <c r="U331" s="20"/>
      <c r="V331" s="15"/>
      <c r="W331" s="22"/>
      <c r="X331" s="16"/>
      <c r="Y331" s="22"/>
      <c r="Z331" s="25" t="str">
        <f t="shared" si="95"/>
        <v/>
      </c>
      <c r="AA331" s="17" t="str">
        <f t="shared" ca="1" si="96"/>
        <v/>
      </c>
      <c r="AB331" s="17" t="str">
        <f t="shared" ca="1" si="97"/>
        <v/>
      </c>
      <c r="AC331" s="17" t="str">
        <f t="shared" ca="1" si="98"/>
        <v/>
      </c>
      <c r="AD331" s="17" t="str">
        <f t="shared" ca="1" si="99"/>
        <v/>
      </c>
      <c r="AE331" s="17" t="str">
        <f t="shared" si="100"/>
        <v/>
      </c>
      <c r="AF331" s="17" t="str">
        <f t="shared" si="101"/>
        <v/>
      </c>
      <c r="AG331" s="17" t="str">
        <f t="shared" si="102"/>
        <v/>
      </c>
      <c r="AH331" s="17">
        <f t="shared" si="103"/>
        <v>0</v>
      </c>
      <c r="AI331" s="17" t="str">
        <f t="shared" ca="1" si="104"/>
        <v/>
      </c>
      <c r="AJ331" s="17" t="str">
        <f t="shared" ca="1" si="105"/>
        <v/>
      </c>
      <c r="AK331" s="17" t="str">
        <f t="shared" si="106"/>
        <v/>
      </c>
      <c r="AL331" s="17" t="str">
        <f t="shared" ca="1" si="107"/>
        <v/>
      </c>
      <c r="AN331" s="24">
        <f t="shared" si="108"/>
        <v>0</v>
      </c>
      <c r="AO331" s="24">
        <f t="shared" si="109"/>
        <v>0</v>
      </c>
      <c r="AP331" s="24">
        <f t="shared" si="110"/>
        <v>0</v>
      </c>
      <c r="AQ331" s="24">
        <f t="shared" si="111"/>
        <v>0</v>
      </c>
      <c r="AR331" s="24">
        <f t="shared" si="112"/>
        <v>0</v>
      </c>
      <c r="AS331" s="24">
        <f t="shared" si="113"/>
        <v>0</v>
      </c>
    </row>
    <row r="332" spans="1:45" x14ac:dyDescent="0.25">
      <c r="A332" s="83"/>
      <c r="B332" s="83"/>
      <c r="C332" s="83"/>
      <c r="D332" s="15"/>
      <c r="E332" s="15"/>
      <c r="F332" s="83"/>
      <c r="G332" s="83"/>
      <c r="H332" s="16"/>
      <c r="I332" s="83"/>
      <c r="J332" s="83"/>
      <c r="K332" s="16"/>
      <c r="L332" s="15"/>
      <c r="M332" s="20"/>
      <c r="N332" s="15"/>
      <c r="O332" s="20"/>
      <c r="P332" s="15"/>
      <c r="Q332" s="15"/>
      <c r="R332" s="17" t="str">
        <f>IF(Q332="","",VLOOKUP(Q332,'References (2)'!C:D,2,0))</f>
        <v/>
      </c>
      <c r="S332" s="17" t="str">
        <f>IF(Q332="","",VLOOKUP(Q332,'References (2)'!C:F,4,0))</f>
        <v/>
      </c>
      <c r="T332" s="16"/>
      <c r="U332" s="20"/>
      <c r="V332" s="15"/>
      <c r="W332" s="22"/>
      <c r="X332" s="16"/>
      <c r="Y332" s="22"/>
      <c r="Z332" s="25" t="str">
        <f t="shared" si="95"/>
        <v/>
      </c>
      <c r="AA332" s="17" t="str">
        <f t="shared" ca="1" si="96"/>
        <v/>
      </c>
      <c r="AB332" s="17" t="str">
        <f t="shared" ca="1" si="97"/>
        <v/>
      </c>
      <c r="AC332" s="17" t="str">
        <f t="shared" ca="1" si="98"/>
        <v/>
      </c>
      <c r="AD332" s="17" t="str">
        <f t="shared" ca="1" si="99"/>
        <v/>
      </c>
      <c r="AE332" s="17" t="str">
        <f t="shared" si="100"/>
        <v/>
      </c>
      <c r="AF332" s="17" t="str">
        <f t="shared" si="101"/>
        <v/>
      </c>
      <c r="AG332" s="17" t="str">
        <f t="shared" si="102"/>
        <v/>
      </c>
      <c r="AH332" s="17">
        <f t="shared" si="103"/>
        <v>0</v>
      </c>
      <c r="AI332" s="17" t="str">
        <f t="shared" ca="1" si="104"/>
        <v/>
      </c>
      <c r="AJ332" s="17" t="str">
        <f t="shared" ca="1" si="105"/>
        <v/>
      </c>
      <c r="AK332" s="17" t="str">
        <f t="shared" si="106"/>
        <v/>
      </c>
      <c r="AL332" s="17" t="str">
        <f t="shared" ca="1" si="107"/>
        <v/>
      </c>
      <c r="AN332" s="24">
        <f t="shared" si="108"/>
        <v>0</v>
      </c>
      <c r="AO332" s="24">
        <f t="shared" si="109"/>
        <v>0</v>
      </c>
      <c r="AP332" s="24">
        <f t="shared" si="110"/>
        <v>0</v>
      </c>
      <c r="AQ332" s="24">
        <f t="shared" si="111"/>
        <v>0</v>
      </c>
      <c r="AR332" s="24">
        <f t="shared" si="112"/>
        <v>0</v>
      </c>
      <c r="AS332" s="24">
        <f t="shared" si="113"/>
        <v>0</v>
      </c>
    </row>
    <row r="333" spans="1:45" x14ac:dyDescent="0.25">
      <c r="A333" s="83"/>
      <c r="B333" s="83"/>
      <c r="C333" s="83"/>
      <c r="D333" s="15"/>
      <c r="E333" s="15"/>
      <c r="F333" s="83"/>
      <c r="G333" s="83"/>
      <c r="H333" s="16"/>
      <c r="I333" s="83"/>
      <c r="J333" s="83"/>
      <c r="K333" s="16"/>
      <c r="L333" s="15"/>
      <c r="M333" s="20"/>
      <c r="N333" s="15"/>
      <c r="O333" s="20"/>
      <c r="P333" s="15"/>
      <c r="Q333" s="15"/>
      <c r="R333" s="17" t="str">
        <f>IF(Q333="","",VLOOKUP(Q333,'References (2)'!C:D,2,0))</f>
        <v/>
      </c>
      <c r="S333" s="17" t="str">
        <f>IF(Q333="","",VLOOKUP(Q333,'References (2)'!C:F,4,0))</f>
        <v/>
      </c>
      <c r="T333" s="16"/>
      <c r="U333" s="20"/>
      <c r="V333" s="15"/>
      <c r="W333" s="22"/>
      <c r="X333" s="16"/>
      <c r="Y333" s="22"/>
      <c r="Z333" s="25" t="str">
        <f t="shared" si="95"/>
        <v/>
      </c>
      <c r="AA333" s="17" t="str">
        <f t="shared" ca="1" si="96"/>
        <v/>
      </c>
      <c r="AB333" s="17" t="str">
        <f t="shared" ca="1" si="97"/>
        <v/>
      </c>
      <c r="AC333" s="17" t="str">
        <f t="shared" ca="1" si="98"/>
        <v/>
      </c>
      <c r="AD333" s="17" t="str">
        <f t="shared" ca="1" si="99"/>
        <v/>
      </c>
      <c r="AE333" s="17" t="str">
        <f t="shared" si="100"/>
        <v/>
      </c>
      <c r="AF333" s="17" t="str">
        <f t="shared" si="101"/>
        <v/>
      </c>
      <c r="AG333" s="17" t="str">
        <f t="shared" si="102"/>
        <v/>
      </c>
      <c r="AH333" s="17">
        <f t="shared" si="103"/>
        <v>0</v>
      </c>
      <c r="AI333" s="17" t="str">
        <f t="shared" ca="1" si="104"/>
        <v/>
      </c>
      <c r="AJ333" s="17" t="str">
        <f t="shared" ca="1" si="105"/>
        <v/>
      </c>
      <c r="AK333" s="17" t="str">
        <f t="shared" si="106"/>
        <v/>
      </c>
      <c r="AL333" s="17" t="str">
        <f t="shared" ca="1" si="107"/>
        <v/>
      </c>
      <c r="AN333" s="24">
        <f t="shared" si="108"/>
        <v>0</v>
      </c>
      <c r="AO333" s="24">
        <f t="shared" si="109"/>
        <v>0</v>
      </c>
      <c r="AP333" s="24">
        <f t="shared" si="110"/>
        <v>0</v>
      </c>
      <c r="AQ333" s="24">
        <f t="shared" si="111"/>
        <v>0</v>
      </c>
      <c r="AR333" s="24">
        <f t="shared" si="112"/>
        <v>0</v>
      </c>
      <c r="AS333" s="24">
        <f t="shared" si="113"/>
        <v>0</v>
      </c>
    </row>
    <row r="334" spans="1:45" x14ac:dyDescent="0.25">
      <c r="A334" s="83"/>
      <c r="B334" s="83"/>
      <c r="C334" s="83"/>
      <c r="D334" s="15"/>
      <c r="E334" s="15"/>
      <c r="F334" s="83"/>
      <c r="G334" s="83"/>
      <c r="H334" s="16"/>
      <c r="I334" s="83"/>
      <c r="J334" s="83"/>
      <c r="K334" s="16"/>
      <c r="L334" s="15"/>
      <c r="M334" s="20"/>
      <c r="N334" s="15"/>
      <c r="O334" s="20"/>
      <c r="P334" s="15"/>
      <c r="Q334" s="15"/>
      <c r="R334" s="17" t="str">
        <f>IF(Q334="","",VLOOKUP(Q334,'References (2)'!C:D,2,0))</f>
        <v/>
      </c>
      <c r="S334" s="17" t="str">
        <f>IF(Q334="","",VLOOKUP(Q334,'References (2)'!C:F,4,0))</f>
        <v/>
      </c>
      <c r="T334" s="16"/>
      <c r="U334" s="20"/>
      <c r="V334" s="15"/>
      <c r="W334" s="22"/>
      <c r="X334" s="16"/>
      <c r="Y334" s="22"/>
      <c r="Z334" s="25" t="str">
        <f t="shared" si="95"/>
        <v/>
      </c>
      <c r="AA334" s="17" t="str">
        <f t="shared" ca="1" si="96"/>
        <v/>
      </c>
      <c r="AB334" s="17" t="str">
        <f t="shared" ca="1" si="97"/>
        <v/>
      </c>
      <c r="AC334" s="17" t="str">
        <f t="shared" ca="1" si="98"/>
        <v/>
      </c>
      <c r="AD334" s="17" t="str">
        <f t="shared" ca="1" si="99"/>
        <v/>
      </c>
      <c r="AE334" s="17" t="str">
        <f t="shared" si="100"/>
        <v/>
      </c>
      <c r="AF334" s="17" t="str">
        <f t="shared" si="101"/>
        <v/>
      </c>
      <c r="AG334" s="17" t="str">
        <f t="shared" si="102"/>
        <v/>
      </c>
      <c r="AH334" s="17">
        <f t="shared" si="103"/>
        <v>0</v>
      </c>
      <c r="AI334" s="17" t="str">
        <f t="shared" ca="1" si="104"/>
        <v/>
      </c>
      <c r="AJ334" s="17" t="str">
        <f t="shared" ca="1" si="105"/>
        <v/>
      </c>
      <c r="AK334" s="17" t="str">
        <f t="shared" si="106"/>
        <v/>
      </c>
      <c r="AL334" s="17" t="str">
        <f t="shared" ca="1" si="107"/>
        <v/>
      </c>
      <c r="AN334" s="24">
        <f t="shared" si="108"/>
        <v>0</v>
      </c>
      <c r="AO334" s="24">
        <f t="shared" si="109"/>
        <v>0</v>
      </c>
      <c r="AP334" s="24">
        <f t="shared" si="110"/>
        <v>0</v>
      </c>
      <c r="AQ334" s="24">
        <f t="shared" si="111"/>
        <v>0</v>
      </c>
      <c r="AR334" s="24">
        <f t="shared" si="112"/>
        <v>0</v>
      </c>
      <c r="AS334" s="24">
        <f t="shared" si="113"/>
        <v>0</v>
      </c>
    </row>
    <row r="335" spans="1:45" x14ac:dyDescent="0.25">
      <c r="A335" s="83"/>
      <c r="B335" s="83"/>
      <c r="C335" s="83"/>
      <c r="D335" s="15"/>
      <c r="E335" s="15"/>
      <c r="F335" s="83"/>
      <c r="G335" s="83"/>
      <c r="H335" s="16"/>
      <c r="I335" s="83"/>
      <c r="J335" s="83"/>
      <c r="K335" s="16"/>
      <c r="L335" s="15"/>
      <c r="M335" s="20"/>
      <c r="N335" s="15"/>
      <c r="O335" s="20"/>
      <c r="P335" s="15"/>
      <c r="Q335" s="15"/>
      <c r="R335" s="17" t="str">
        <f>IF(Q335="","",VLOOKUP(Q335,'References (2)'!C:D,2,0))</f>
        <v/>
      </c>
      <c r="S335" s="17" t="str">
        <f>IF(Q335="","",VLOOKUP(Q335,'References (2)'!C:F,4,0))</f>
        <v/>
      </c>
      <c r="T335" s="16"/>
      <c r="U335" s="20"/>
      <c r="V335" s="15"/>
      <c r="W335" s="22"/>
      <c r="X335" s="16"/>
      <c r="Y335" s="22"/>
      <c r="Z335" s="25" t="str">
        <f t="shared" si="95"/>
        <v/>
      </c>
      <c r="AA335" s="17" t="str">
        <f t="shared" ca="1" si="96"/>
        <v/>
      </c>
      <c r="AB335" s="17" t="str">
        <f t="shared" ca="1" si="97"/>
        <v/>
      </c>
      <c r="AC335" s="17" t="str">
        <f t="shared" ca="1" si="98"/>
        <v/>
      </c>
      <c r="AD335" s="17" t="str">
        <f t="shared" ca="1" si="99"/>
        <v/>
      </c>
      <c r="AE335" s="17" t="str">
        <f t="shared" si="100"/>
        <v/>
      </c>
      <c r="AF335" s="17" t="str">
        <f t="shared" si="101"/>
        <v/>
      </c>
      <c r="AG335" s="17" t="str">
        <f t="shared" si="102"/>
        <v/>
      </c>
      <c r="AH335" s="17">
        <f t="shared" si="103"/>
        <v>0</v>
      </c>
      <c r="AI335" s="17" t="str">
        <f t="shared" ca="1" si="104"/>
        <v/>
      </c>
      <c r="AJ335" s="17" t="str">
        <f t="shared" ca="1" si="105"/>
        <v/>
      </c>
      <c r="AK335" s="17" t="str">
        <f t="shared" si="106"/>
        <v/>
      </c>
      <c r="AL335" s="17" t="str">
        <f t="shared" ca="1" si="107"/>
        <v/>
      </c>
      <c r="AN335" s="24">
        <f t="shared" si="108"/>
        <v>0</v>
      </c>
      <c r="AO335" s="24">
        <f t="shared" si="109"/>
        <v>0</v>
      </c>
      <c r="AP335" s="24">
        <f t="shared" si="110"/>
        <v>0</v>
      </c>
      <c r="AQ335" s="24">
        <f t="shared" si="111"/>
        <v>0</v>
      </c>
      <c r="AR335" s="24">
        <f t="shared" si="112"/>
        <v>0</v>
      </c>
      <c r="AS335" s="24">
        <f t="shared" si="113"/>
        <v>0</v>
      </c>
    </row>
    <row r="336" spans="1:45" x14ac:dyDescent="0.25">
      <c r="A336" s="83"/>
      <c r="B336" s="83"/>
      <c r="C336" s="83"/>
      <c r="D336" s="15"/>
      <c r="E336" s="15"/>
      <c r="F336" s="83"/>
      <c r="G336" s="83"/>
      <c r="H336" s="16"/>
      <c r="I336" s="83"/>
      <c r="J336" s="83"/>
      <c r="K336" s="16"/>
      <c r="L336" s="15"/>
      <c r="M336" s="20"/>
      <c r="N336" s="15"/>
      <c r="O336" s="20"/>
      <c r="P336" s="15"/>
      <c r="Q336" s="15"/>
      <c r="R336" s="17" t="str">
        <f>IF(Q336="","",VLOOKUP(Q336,'References (2)'!C:D,2,0))</f>
        <v/>
      </c>
      <c r="S336" s="17" t="str">
        <f>IF(Q336="","",VLOOKUP(Q336,'References (2)'!C:F,4,0))</f>
        <v/>
      </c>
      <c r="T336" s="16"/>
      <c r="U336" s="20"/>
      <c r="V336" s="15"/>
      <c r="W336" s="22"/>
      <c r="X336" s="16"/>
      <c r="Y336" s="22"/>
      <c r="Z336" s="25" t="str">
        <f t="shared" si="95"/>
        <v/>
      </c>
      <c r="AA336" s="17" t="str">
        <f t="shared" ca="1" si="96"/>
        <v/>
      </c>
      <c r="AB336" s="17" t="str">
        <f t="shared" ca="1" si="97"/>
        <v/>
      </c>
      <c r="AC336" s="17" t="str">
        <f t="shared" ca="1" si="98"/>
        <v/>
      </c>
      <c r="AD336" s="17" t="str">
        <f t="shared" ca="1" si="99"/>
        <v/>
      </c>
      <c r="AE336" s="17" t="str">
        <f t="shared" si="100"/>
        <v/>
      </c>
      <c r="AF336" s="17" t="str">
        <f t="shared" si="101"/>
        <v/>
      </c>
      <c r="AG336" s="17" t="str">
        <f t="shared" si="102"/>
        <v/>
      </c>
      <c r="AH336" s="17">
        <f t="shared" si="103"/>
        <v>0</v>
      </c>
      <c r="AI336" s="17" t="str">
        <f t="shared" ca="1" si="104"/>
        <v/>
      </c>
      <c r="AJ336" s="17" t="str">
        <f t="shared" ca="1" si="105"/>
        <v/>
      </c>
      <c r="AK336" s="17" t="str">
        <f t="shared" si="106"/>
        <v/>
      </c>
      <c r="AL336" s="17" t="str">
        <f t="shared" ca="1" si="107"/>
        <v/>
      </c>
      <c r="AN336" s="24">
        <f t="shared" si="108"/>
        <v>0</v>
      </c>
      <c r="AO336" s="24">
        <f t="shared" si="109"/>
        <v>0</v>
      </c>
      <c r="AP336" s="24">
        <f t="shared" si="110"/>
        <v>0</v>
      </c>
      <c r="AQ336" s="24">
        <f t="shared" si="111"/>
        <v>0</v>
      </c>
      <c r="AR336" s="24">
        <f t="shared" si="112"/>
        <v>0</v>
      </c>
      <c r="AS336" s="24">
        <f t="shared" si="113"/>
        <v>0</v>
      </c>
    </row>
    <row r="337" spans="1:45" x14ac:dyDescent="0.25">
      <c r="A337" s="83"/>
      <c r="B337" s="83"/>
      <c r="C337" s="83"/>
      <c r="D337" s="15"/>
      <c r="E337" s="15"/>
      <c r="F337" s="83"/>
      <c r="G337" s="83"/>
      <c r="H337" s="16"/>
      <c r="I337" s="83"/>
      <c r="J337" s="83"/>
      <c r="K337" s="16"/>
      <c r="L337" s="15"/>
      <c r="M337" s="20"/>
      <c r="N337" s="15"/>
      <c r="O337" s="20"/>
      <c r="P337" s="15"/>
      <c r="Q337" s="15"/>
      <c r="R337" s="17" t="str">
        <f>IF(Q337="","",VLOOKUP(Q337,'References (2)'!C:D,2,0))</f>
        <v/>
      </c>
      <c r="S337" s="17" t="str">
        <f>IF(Q337="","",VLOOKUP(Q337,'References (2)'!C:F,4,0))</f>
        <v/>
      </c>
      <c r="T337" s="16"/>
      <c r="U337" s="20"/>
      <c r="V337" s="15"/>
      <c r="W337" s="22"/>
      <c r="X337" s="16"/>
      <c r="Y337" s="22"/>
      <c r="Z337" s="25" t="str">
        <f t="shared" si="95"/>
        <v/>
      </c>
      <c r="AA337" s="17" t="str">
        <f t="shared" ca="1" si="96"/>
        <v/>
      </c>
      <c r="AB337" s="17" t="str">
        <f t="shared" ca="1" si="97"/>
        <v/>
      </c>
      <c r="AC337" s="17" t="str">
        <f t="shared" ca="1" si="98"/>
        <v/>
      </c>
      <c r="AD337" s="17" t="str">
        <f t="shared" ca="1" si="99"/>
        <v/>
      </c>
      <c r="AE337" s="17" t="str">
        <f t="shared" si="100"/>
        <v/>
      </c>
      <c r="AF337" s="17" t="str">
        <f t="shared" si="101"/>
        <v/>
      </c>
      <c r="AG337" s="17" t="str">
        <f t="shared" si="102"/>
        <v/>
      </c>
      <c r="AH337" s="17">
        <f t="shared" si="103"/>
        <v>0</v>
      </c>
      <c r="AI337" s="17" t="str">
        <f t="shared" ca="1" si="104"/>
        <v/>
      </c>
      <c r="AJ337" s="17" t="str">
        <f t="shared" ca="1" si="105"/>
        <v/>
      </c>
      <c r="AK337" s="17" t="str">
        <f t="shared" si="106"/>
        <v/>
      </c>
      <c r="AL337" s="17" t="str">
        <f t="shared" ca="1" si="107"/>
        <v/>
      </c>
      <c r="AN337" s="24">
        <f t="shared" si="108"/>
        <v>0</v>
      </c>
      <c r="AO337" s="24">
        <f t="shared" si="109"/>
        <v>0</v>
      </c>
      <c r="AP337" s="24">
        <f t="shared" si="110"/>
        <v>0</v>
      </c>
      <c r="AQ337" s="24">
        <f t="shared" si="111"/>
        <v>0</v>
      </c>
      <c r="AR337" s="24">
        <f t="shared" si="112"/>
        <v>0</v>
      </c>
      <c r="AS337" s="24">
        <f t="shared" si="113"/>
        <v>0</v>
      </c>
    </row>
    <row r="338" spans="1:45" x14ac:dyDescent="0.25">
      <c r="A338" s="83"/>
      <c r="B338" s="83"/>
      <c r="C338" s="83"/>
      <c r="D338" s="15"/>
      <c r="E338" s="15"/>
      <c r="F338" s="83"/>
      <c r="G338" s="83"/>
      <c r="H338" s="16"/>
      <c r="I338" s="83"/>
      <c r="J338" s="83"/>
      <c r="K338" s="16"/>
      <c r="L338" s="15"/>
      <c r="M338" s="20"/>
      <c r="N338" s="15"/>
      <c r="O338" s="20"/>
      <c r="P338" s="15"/>
      <c r="Q338" s="15"/>
      <c r="R338" s="17" t="str">
        <f>IF(Q338="","",VLOOKUP(Q338,'References (2)'!C:D,2,0))</f>
        <v/>
      </c>
      <c r="S338" s="17" t="str">
        <f>IF(Q338="","",VLOOKUP(Q338,'References (2)'!C:F,4,0))</f>
        <v/>
      </c>
      <c r="T338" s="16"/>
      <c r="U338" s="20"/>
      <c r="V338" s="15"/>
      <c r="W338" s="22"/>
      <c r="X338" s="16"/>
      <c r="Y338" s="22"/>
      <c r="Z338" s="25" t="str">
        <f t="shared" si="95"/>
        <v/>
      </c>
      <c r="AA338" s="17" t="str">
        <f t="shared" ca="1" si="96"/>
        <v/>
      </c>
      <c r="AB338" s="17" t="str">
        <f t="shared" ca="1" si="97"/>
        <v/>
      </c>
      <c r="AC338" s="17" t="str">
        <f t="shared" ca="1" si="98"/>
        <v/>
      </c>
      <c r="AD338" s="17" t="str">
        <f t="shared" ca="1" si="99"/>
        <v/>
      </c>
      <c r="AE338" s="17" t="str">
        <f t="shared" si="100"/>
        <v/>
      </c>
      <c r="AF338" s="17" t="str">
        <f t="shared" si="101"/>
        <v/>
      </c>
      <c r="AG338" s="17" t="str">
        <f t="shared" si="102"/>
        <v/>
      </c>
      <c r="AH338" s="17">
        <f t="shared" si="103"/>
        <v>0</v>
      </c>
      <c r="AI338" s="17" t="str">
        <f t="shared" ca="1" si="104"/>
        <v/>
      </c>
      <c r="AJ338" s="17" t="str">
        <f t="shared" ca="1" si="105"/>
        <v/>
      </c>
      <c r="AK338" s="17" t="str">
        <f t="shared" si="106"/>
        <v/>
      </c>
      <c r="AL338" s="17" t="str">
        <f t="shared" ca="1" si="107"/>
        <v/>
      </c>
      <c r="AN338" s="24">
        <f t="shared" si="108"/>
        <v>0</v>
      </c>
      <c r="AO338" s="24">
        <f t="shared" si="109"/>
        <v>0</v>
      </c>
      <c r="AP338" s="24">
        <f t="shared" si="110"/>
        <v>0</v>
      </c>
      <c r="AQ338" s="24">
        <f t="shared" si="111"/>
        <v>0</v>
      </c>
      <c r="AR338" s="24">
        <f t="shared" si="112"/>
        <v>0</v>
      </c>
      <c r="AS338" s="24">
        <f t="shared" si="113"/>
        <v>0</v>
      </c>
    </row>
    <row r="339" spans="1:45" x14ac:dyDescent="0.25">
      <c r="A339" s="83"/>
      <c r="B339" s="83"/>
      <c r="C339" s="83"/>
      <c r="D339" s="15"/>
      <c r="E339" s="15"/>
      <c r="F339" s="83"/>
      <c r="G339" s="83"/>
      <c r="H339" s="16"/>
      <c r="I339" s="83"/>
      <c r="J339" s="83"/>
      <c r="K339" s="16"/>
      <c r="L339" s="15"/>
      <c r="M339" s="20"/>
      <c r="N339" s="15"/>
      <c r="O339" s="20"/>
      <c r="P339" s="15"/>
      <c r="Q339" s="15"/>
      <c r="R339" s="17" t="str">
        <f>IF(Q339="","",VLOOKUP(Q339,'References (2)'!C:D,2,0))</f>
        <v/>
      </c>
      <c r="S339" s="17" t="str">
        <f>IF(Q339="","",VLOOKUP(Q339,'References (2)'!C:F,4,0))</f>
        <v/>
      </c>
      <c r="T339" s="16"/>
      <c r="U339" s="20"/>
      <c r="V339" s="15"/>
      <c r="W339" s="22"/>
      <c r="X339" s="16"/>
      <c r="Y339" s="22"/>
      <c r="Z339" s="25" t="str">
        <f t="shared" si="95"/>
        <v/>
      </c>
      <c r="AA339" s="17" t="str">
        <f t="shared" ca="1" si="96"/>
        <v/>
      </c>
      <c r="AB339" s="17" t="str">
        <f t="shared" ca="1" si="97"/>
        <v/>
      </c>
      <c r="AC339" s="17" t="str">
        <f t="shared" ca="1" si="98"/>
        <v/>
      </c>
      <c r="AD339" s="17" t="str">
        <f t="shared" ca="1" si="99"/>
        <v/>
      </c>
      <c r="AE339" s="17" t="str">
        <f t="shared" si="100"/>
        <v/>
      </c>
      <c r="AF339" s="17" t="str">
        <f t="shared" si="101"/>
        <v/>
      </c>
      <c r="AG339" s="17" t="str">
        <f t="shared" si="102"/>
        <v/>
      </c>
      <c r="AH339" s="17">
        <f t="shared" si="103"/>
        <v>0</v>
      </c>
      <c r="AI339" s="17" t="str">
        <f t="shared" ca="1" si="104"/>
        <v/>
      </c>
      <c r="AJ339" s="17" t="str">
        <f t="shared" ca="1" si="105"/>
        <v/>
      </c>
      <c r="AK339" s="17" t="str">
        <f t="shared" si="106"/>
        <v/>
      </c>
      <c r="AL339" s="17" t="str">
        <f t="shared" ca="1" si="107"/>
        <v/>
      </c>
      <c r="AN339" s="24">
        <f t="shared" si="108"/>
        <v>0</v>
      </c>
      <c r="AO339" s="24">
        <f t="shared" si="109"/>
        <v>0</v>
      </c>
      <c r="AP339" s="24">
        <f t="shared" si="110"/>
        <v>0</v>
      </c>
      <c r="AQ339" s="24">
        <f t="shared" si="111"/>
        <v>0</v>
      </c>
      <c r="AR339" s="24">
        <f t="shared" si="112"/>
        <v>0</v>
      </c>
      <c r="AS339" s="24">
        <f t="shared" si="113"/>
        <v>0</v>
      </c>
    </row>
    <row r="340" spans="1:45" x14ac:dyDescent="0.25">
      <c r="A340" s="83"/>
      <c r="B340" s="83"/>
      <c r="C340" s="83"/>
      <c r="D340" s="15"/>
      <c r="E340" s="15"/>
      <c r="F340" s="83"/>
      <c r="G340" s="83"/>
      <c r="H340" s="16"/>
      <c r="I340" s="83"/>
      <c r="J340" s="83"/>
      <c r="K340" s="16"/>
      <c r="L340" s="15"/>
      <c r="M340" s="20"/>
      <c r="N340" s="15"/>
      <c r="O340" s="20"/>
      <c r="P340" s="15"/>
      <c r="Q340" s="15"/>
      <c r="R340" s="17" t="str">
        <f>IF(Q340="","",VLOOKUP(Q340,'References (2)'!C:D,2,0))</f>
        <v/>
      </c>
      <c r="S340" s="17" t="str">
        <f>IF(Q340="","",VLOOKUP(Q340,'References (2)'!C:F,4,0))</f>
        <v/>
      </c>
      <c r="T340" s="16"/>
      <c r="U340" s="20"/>
      <c r="V340" s="15"/>
      <c r="W340" s="22"/>
      <c r="X340" s="16"/>
      <c r="Y340" s="22"/>
      <c r="Z340" s="25" t="str">
        <f t="shared" si="95"/>
        <v/>
      </c>
      <c r="AA340" s="17" t="str">
        <f t="shared" ca="1" si="96"/>
        <v/>
      </c>
      <c r="AB340" s="17" t="str">
        <f t="shared" ca="1" si="97"/>
        <v/>
      </c>
      <c r="AC340" s="17" t="str">
        <f t="shared" ca="1" si="98"/>
        <v/>
      </c>
      <c r="AD340" s="17" t="str">
        <f t="shared" ca="1" si="99"/>
        <v/>
      </c>
      <c r="AE340" s="17" t="str">
        <f t="shared" si="100"/>
        <v/>
      </c>
      <c r="AF340" s="17" t="str">
        <f t="shared" si="101"/>
        <v/>
      </c>
      <c r="AG340" s="17" t="str">
        <f t="shared" si="102"/>
        <v/>
      </c>
      <c r="AH340" s="17">
        <f t="shared" si="103"/>
        <v>0</v>
      </c>
      <c r="AI340" s="17" t="str">
        <f t="shared" ca="1" si="104"/>
        <v/>
      </c>
      <c r="AJ340" s="17" t="str">
        <f t="shared" ca="1" si="105"/>
        <v/>
      </c>
      <c r="AK340" s="17" t="str">
        <f t="shared" si="106"/>
        <v/>
      </c>
      <c r="AL340" s="17" t="str">
        <f t="shared" ca="1" si="107"/>
        <v/>
      </c>
      <c r="AN340" s="24">
        <f t="shared" si="108"/>
        <v>0</v>
      </c>
      <c r="AO340" s="24">
        <f t="shared" si="109"/>
        <v>0</v>
      </c>
      <c r="AP340" s="24">
        <f t="shared" si="110"/>
        <v>0</v>
      </c>
      <c r="AQ340" s="24">
        <f t="shared" si="111"/>
        <v>0</v>
      </c>
      <c r="AR340" s="24">
        <f t="shared" si="112"/>
        <v>0</v>
      </c>
      <c r="AS340" s="24">
        <f t="shared" si="113"/>
        <v>0</v>
      </c>
    </row>
    <row r="341" spans="1:45" x14ac:dyDescent="0.25">
      <c r="A341" s="83"/>
      <c r="B341" s="83"/>
      <c r="C341" s="83"/>
      <c r="D341" s="15"/>
      <c r="E341" s="15"/>
      <c r="F341" s="83"/>
      <c r="G341" s="83"/>
      <c r="H341" s="16"/>
      <c r="I341" s="83"/>
      <c r="J341" s="83"/>
      <c r="K341" s="16"/>
      <c r="L341" s="15"/>
      <c r="M341" s="20"/>
      <c r="N341" s="15"/>
      <c r="O341" s="20"/>
      <c r="P341" s="15"/>
      <c r="Q341" s="15"/>
      <c r="R341" s="17" t="str">
        <f>IF(Q341="","",VLOOKUP(Q341,'References (2)'!C:D,2,0))</f>
        <v/>
      </c>
      <c r="S341" s="17" t="str">
        <f>IF(Q341="","",VLOOKUP(Q341,'References (2)'!C:F,4,0))</f>
        <v/>
      </c>
      <c r="T341" s="16"/>
      <c r="U341" s="20"/>
      <c r="V341" s="15"/>
      <c r="W341" s="22"/>
      <c r="X341" s="16"/>
      <c r="Y341" s="22"/>
      <c r="Z341" s="25" t="str">
        <f t="shared" si="95"/>
        <v/>
      </c>
      <c r="AA341" s="17" t="str">
        <f t="shared" ca="1" si="96"/>
        <v/>
      </c>
      <c r="AB341" s="17" t="str">
        <f t="shared" ca="1" si="97"/>
        <v/>
      </c>
      <c r="AC341" s="17" t="str">
        <f t="shared" ca="1" si="98"/>
        <v/>
      </c>
      <c r="AD341" s="17" t="str">
        <f t="shared" ca="1" si="99"/>
        <v/>
      </c>
      <c r="AE341" s="17" t="str">
        <f t="shared" si="100"/>
        <v/>
      </c>
      <c r="AF341" s="17" t="str">
        <f t="shared" si="101"/>
        <v/>
      </c>
      <c r="AG341" s="17" t="str">
        <f t="shared" si="102"/>
        <v/>
      </c>
      <c r="AH341" s="17">
        <f t="shared" si="103"/>
        <v>0</v>
      </c>
      <c r="AI341" s="17" t="str">
        <f t="shared" ca="1" si="104"/>
        <v/>
      </c>
      <c r="AJ341" s="17" t="str">
        <f t="shared" ca="1" si="105"/>
        <v/>
      </c>
      <c r="AK341" s="17" t="str">
        <f t="shared" si="106"/>
        <v/>
      </c>
      <c r="AL341" s="17" t="str">
        <f t="shared" ca="1" si="107"/>
        <v/>
      </c>
      <c r="AN341" s="24">
        <f t="shared" si="108"/>
        <v>0</v>
      </c>
      <c r="AO341" s="24">
        <f t="shared" si="109"/>
        <v>0</v>
      </c>
      <c r="AP341" s="24">
        <f t="shared" si="110"/>
        <v>0</v>
      </c>
      <c r="AQ341" s="24">
        <f t="shared" si="111"/>
        <v>0</v>
      </c>
      <c r="AR341" s="24">
        <f t="shared" si="112"/>
        <v>0</v>
      </c>
      <c r="AS341" s="24">
        <f t="shared" si="113"/>
        <v>0</v>
      </c>
    </row>
    <row r="342" spans="1:45" x14ac:dyDescent="0.25">
      <c r="A342" s="83"/>
      <c r="B342" s="83"/>
      <c r="C342" s="83"/>
      <c r="D342" s="15"/>
      <c r="E342" s="15"/>
      <c r="F342" s="83"/>
      <c r="G342" s="83"/>
      <c r="H342" s="16"/>
      <c r="I342" s="83"/>
      <c r="J342" s="83"/>
      <c r="K342" s="16"/>
      <c r="L342" s="15"/>
      <c r="M342" s="20"/>
      <c r="N342" s="15"/>
      <c r="O342" s="20"/>
      <c r="P342" s="15"/>
      <c r="Q342" s="15"/>
      <c r="R342" s="17" t="str">
        <f>IF(Q342="","",VLOOKUP(Q342,'References (2)'!C:D,2,0))</f>
        <v/>
      </c>
      <c r="S342" s="17" t="str">
        <f>IF(Q342="","",VLOOKUP(Q342,'References (2)'!C:F,4,0))</f>
        <v/>
      </c>
      <c r="T342" s="16"/>
      <c r="U342" s="20"/>
      <c r="V342" s="15"/>
      <c r="W342" s="22"/>
      <c r="X342" s="16"/>
      <c r="Y342" s="22"/>
      <c r="Z342" s="25" t="str">
        <f t="shared" si="95"/>
        <v/>
      </c>
      <c r="AA342" s="17" t="str">
        <f t="shared" ca="1" si="96"/>
        <v/>
      </c>
      <c r="AB342" s="17" t="str">
        <f t="shared" ca="1" si="97"/>
        <v/>
      </c>
      <c r="AC342" s="17" t="str">
        <f t="shared" ca="1" si="98"/>
        <v/>
      </c>
      <c r="AD342" s="17" t="str">
        <f t="shared" ca="1" si="99"/>
        <v/>
      </c>
      <c r="AE342" s="17" t="str">
        <f t="shared" si="100"/>
        <v/>
      </c>
      <c r="AF342" s="17" t="str">
        <f t="shared" si="101"/>
        <v/>
      </c>
      <c r="AG342" s="17" t="str">
        <f t="shared" si="102"/>
        <v/>
      </c>
      <c r="AH342" s="17">
        <f t="shared" si="103"/>
        <v>0</v>
      </c>
      <c r="AI342" s="17" t="str">
        <f t="shared" ca="1" si="104"/>
        <v/>
      </c>
      <c r="AJ342" s="17" t="str">
        <f t="shared" ca="1" si="105"/>
        <v/>
      </c>
      <c r="AK342" s="17" t="str">
        <f t="shared" si="106"/>
        <v/>
      </c>
      <c r="AL342" s="17" t="str">
        <f t="shared" ca="1" si="107"/>
        <v/>
      </c>
      <c r="AN342" s="24">
        <f t="shared" si="108"/>
        <v>0</v>
      </c>
      <c r="AO342" s="24">
        <f t="shared" si="109"/>
        <v>0</v>
      </c>
      <c r="AP342" s="24">
        <f t="shared" si="110"/>
        <v>0</v>
      </c>
      <c r="AQ342" s="24">
        <f t="shared" si="111"/>
        <v>0</v>
      </c>
      <c r="AR342" s="24">
        <f t="shared" si="112"/>
        <v>0</v>
      </c>
      <c r="AS342" s="24">
        <f t="shared" si="113"/>
        <v>0</v>
      </c>
    </row>
    <row r="343" spans="1:45" x14ac:dyDescent="0.25">
      <c r="A343" s="83"/>
      <c r="B343" s="83"/>
      <c r="C343" s="83"/>
      <c r="D343" s="15"/>
      <c r="E343" s="15"/>
      <c r="F343" s="83"/>
      <c r="G343" s="83"/>
      <c r="H343" s="16"/>
      <c r="I343" s="83"/>
      <c r="J343" s="83"/>
      <c r="K343" s="16"/>
      <c r="L343" s="15"/>
      <c r="M343" s="20"/>
      <c r="N343" s="15"/>
      <c r="O343" s="20"/>
      <c r="P343" s="15"/>
      <c r="Q343" s="15"/>
      <c r="R343" s="17" t="str">
        <f>IF(Q343="","",VLOOKUP(Q343,'References (2)'!C:D,2,0))</f>
        <v/>
      </c>
      <c r="S343" s="17" t="str">
        <f>IF(Q343="","",VLOOKUP(Q343,'References (2)'!C:F,4,0))</f>
        <v/>
      </c>
      <c r="T343" s="16"/>
      <c r="U343" s="20"/>
      <c r="V343" s="15"/>
      <c r="W343" s="22"/>
      <c r="X343" s="16"/>
      <c r="Y343" s="22"/>
      <c r="Z343" s="25" t="str">
        <f t="shared" si="95"/>
        <v/>
      </c>
      <c r="AA343" s="17" t="str">
        <f t="shared" ca="1" si="96"/>
        <v/>
      </c>
      <c r="AB343" s="17" t="str">
        <f t="shared" ca="1" si="97"/>
        <v/>
      </c>
      <c r="AC343" s="17" t="str">
        <f t="shared" ca="1" si="98"/>
        <v/>
      </c>
      <c r="AD343" s="17" t="str">
        <f t="shared" ca="1" si="99"/>
        <v/>
      </c>
      <c r="AE343" s="17" t="str">
        <f t="shared" si="100"/>
        <v/>
      </c>
      <c r="AF343" s="17" t="str">
        <f t="shared" si="101"/>
        <v/>
      </c>
      <c r="AG343" s="17" t="str">
        <f t="shared" si="102"/>
        <v/>
      </c>
      <c r="AH343" s="17">
        <f t="shared" si="103"/>
        <v>0</v>
      </c>
      <c r="AI343" s="17" t="str">
        <f t="shared" ca="1" si="104"/>
        <v/>
      </c>
      <c r="AJ343" s="17" t="str">
        <f t="shared" ca="1" si="105"/>
        <v/>
      </c>
      <c r="AK343" s="17" t="str">
        <f t="shared" si="106"/>
        <v/>
      </c>
      <c r="AL343" s="17" t="str">
        <f t="shared" ca="1" si="107"/>
        <v/>
      </c>
      <c r="AN343" s="24">
        <f t="shared" si="108"/>
        <v>0</v>
      </c>
      <c r="AO343" s="24">
        <f t="shared" si="109"/>
        <v>0</v>
      </c>
      <c r="AP343" s="24">
        <f t="shared" si="110"/>
        <v>0</v>
      </c>
      <c r="AQ343" s="24">
        <f t="shared" si="111"/>
        <v>0</v>
      </c>
      <c r="AR343" s="24">
        <f t="shared" si="112"/>
        <v>0</v>
      </c>
      <c r="AS343" s="24">
        <f t="shared" si="113"/>
        <v>0</v>
      </c>
    </row>
    <row r="344" spans="1:45" x14ac:dyDescent="0.25">
      <c r="A344" s="83"/>
      <c r="B344" s="83"/>
      <c r="C344" s="83"/>
      <c r="D344" s="15"/>
      <c r="E344" s="15"/>
      <c r="F344" s="83"/>
      <c r="G344" s="83"/>
      <c r="H344" s="16"/>
      <c r="I344" s="83"/>
      <c r="J344" s="83"/>
      <c r="K344" s="16"/>
      <c r="L344" s="15"/>
      <c r="M344" s="20"/>
      <c r="N344" s="15"/>
      <c r="O344" s="20"/>
      <c r="P344" s="15"/>
      <c r="Q344" s="15"/>
      <c r="R344" s="17" t="str">
        <f>IF(Q344="","",VLOOKUP(Q344,'References (2)'!C:D,2,0))</f>
        <v/>
      </c>
      <c r="S344" s="17" t="str">
        <f>IF(Q344="","",VLOOKUP(Q344,'References (2)'!C:F,4,0))</f>
        <v/>
      </c>
      <c r="T344" s="16"/>
      <c r="U344" s="20"/>
      <c r="V344" s="15"/>
      <c r="W344" s="22"/>
      <c r="X344" s="16"/>
      <c r="Y344" s="22"/>
      <c r="Z344" s="25" t="str">
        <f t="shared" si="95"/>
        <v/>
      </c>
      <c r="AA344" s="17" t="str">
        <f t="shared" ca="1" si="96"/>
        <v/>
      </c>
      <c r="AB344" s="17" t="str">
        <f t="shared" ca="1" si="97"/>
        <v/>
      </c>
      <c r="AC344" s="17" t="str">
        <f t="shared" ca="1" si="98"/>
        <v/>
      </c>
      <c r="AD344" s="17" t="str">
        <f t="shared" ca="1" si="99"/>
        <v/>
      </c>
      <c r="AE344" s="17" t="str">
        <f t="shared" si="100"/>
        <v/>
      </c>
      <c r="AF344" s="17" t="str">
        <f t="shared" si="101"/>
        <v/>
      </c>
      <c r="AG344" s="17" t="str">
        <f t="shared" si="102"/>
        <v/>
      </c>
      <c r="AH344" s="17">
        <f t="shared" si="103"/>
        <v>0</v>
      </c>
      <c r="AI344" s="17" t="str">
        <f t="shared" ca="1" si="104"/>
        <v/>
      </c>
      <c r="AJ344" s="17" t="str">
        <f t="shared" ca="1" si="105"/>
        <v/>
      </c>
      <c r="AK344" s="17" t="str">
        <f t="shared" si="106"/>
        <v/>
      </c>
      <c r="AL344" s="17" t="str">
        <f t="shared" ca="1" si="107"/>
        <v/>
      </c>
      <c r="AN344" s="24">
        <f t="shared" si="108"/>
        <v>0</v>
      </c>
      <c r="AO344" s="24">
        <f t="shared" si="109"/>
        <v>0</v>
      </c>
      <c r="AP344" s="24">
        <f t="shared" si="110"/>
        <v>0</v>
      </c>
      <c r="AQ344" s="24">
        <f t="shared" si="111"/>
        <v>0</v>
      </c>
      <c r="AR344" s="24">
        <f t="shared" si="112"/>
        <v>0</v>
      </c>
      <c r="AS344" s="24">
        <f t="shared" si="113"/>
        <v>0</v>
      </c>
    </row>
    <row r="345" spans="1:45" x14ac:dyDescent="0.25">
      <c r="A345" s="83"/>
      <c r="B345" s="83"/>
      <c r="C345" s="83"/>
      <c r="D345" s="15"/>
      <c r="E345" s="15"/>
      <c r="F345" s="83"/>
      <c r="G345" s="83"/>
      <c r="H345" s="16"/>
      <c r="I345" s="83"/>
      <c r="J345" s="83"/>
      <c r="K345" s="16"/>
      <c r="L345" s="15"/>
      <c r="M345" s="20"/>
      <c r="N345" s="15"/>
      <c r="O345" s="20"/>
      <c r="P345" s="15"/>
      <c r="Q345" s="15"/>
      <c r="R345" s="17" t="str">
        <f>IF(Q345="","",VLOOKUP(Q345,'References (2)'!C:D,2,0))</f>
        <v/>
      </c>
      <c r="S345" s="17" t="str">
        <f>IF(Q345="","",VLOOKUP(Q345,'References (2)'!C:F,4,0))</f>
        <v/>
      </c>
      <c r="T345" s="16"/>
      <c r="U345" s="20"/>
      <c r="V345" s="15"/>
      <c r="W345" s="22"/>
      <c r="X345" s="16"/>
      <c r="Y345" s="22"/>
      <c r="Z345" s="25" t="str">
        <f t="shared" si="95"/>
        <v/>
      </c>
      <c r="AA345" s="17" t="str">
        <f t="shared" ca="1" si="96"/>
        <v/>
      </c>
      <c r="AB345" s="17" t="str">
        <f t="shared" ca="1" si="97"/>
        <v/>
      </c>
      <c r="AC345" s="17" t="str">
        <f t="shared" ca="1" si="98"/>
        <v/>
      </c>
      <c r="AD345" s="17" t="str">
        <f t="shared" ca="1" si="99"/>
        <v/>
      </c>
      <c r="AE345" s="17" t="str">
        <f t="shared" si="100"/>
        <v/>
      </c>
      <c r="AF345" s="17" t="str">
        <f t="shared" si="101"/>
        <v/>
      </c>
      <c r="AG345" s="17" t="str">
        <f t="shared" si="102"/>
        <v/>
      </c>
      <c r="AH345" s="17">
        <f t="shared" si="103"/>
        <v>0</v>
      </c>
      <c r="AI345" s="17" t="str">
        <f t="shared" ca="1" si="104"/>
        <v/>
      </c>
      <c r="AJ345" s="17" t="str">
        <f t="shared" ca="1" si="105"/>
        <v/>
      </c>
      <c r="AK345" s="17" t="str">
        <f t="shared" si="106"/>
        <v/>
      </c>
      <c r="AL345" s="17" t="str">
        <f t="shared" ca="1" si="107"/>
        <v/>
      </c>
      <c r="AN345" s="24">
        <f t="shared" si="108"/>
        <v>0</v>
      </c>
      <c r="AO345" s="24">
        <f t="shared" si="109"/>
        <v>0</v>
      </c>
      <c r="AP345" s="24">
        <f t="shared" si="110"/>
        <v>0</v>
      </c>
      <c r="AQ345" s="24">
        <f t="shared" si="111"/>
        <v>0</v>
      </c>
      <c r="AR345" s="24">
        <f t="shared" si="112"/>
        <v>0</v>
      </c>
      <c r="AS345" s="24">
        <f t="shared" si="113"/>
        <v>0</v>
      </c>
    </row>
    <row r="346" spans="1:45" x14ac:dyDescent="0.25">
      <c r="A346" s="83"/>
      <c r="B346" s="83"/>
      <c r="C346" s="83"/>
      <c r="D346" s="15"/>
      <c r="E346" s="15"/>
      <c r="F346" s="83"/>
      <c r="G346" s="83"/>
      <c r="H346" s="16"/>
      <c r="I346" s="83"/>
      <c r="J346" s="83"/>
      <c r="K346" s="16"/>
      <c r="L346" s="15"/>
      <c r="M346" s="20"/>
      <c r="N346" s="15"/>
      <c r="O346" s="20"/>
      <c r="P346" s="15"/>
      <c r="Q346" s="15"/>
      <c r="R346" s="17" t="str">
        <f>IF(Q346="","",VLOOKUP(Q346,'References (2)'!C:D,2,0))</f>
        <v/>
      </c>
      <c r="S346" s="17" t="str">
        <f>IF(Q346="","",VLOOKUP(Q346,'References (2)'!C:F,4,0))</f>
        <v/>
      </c>
      <c r="T346" s="16"/>
      <c r="U346" s="20"/>
      <c r="V346" s="15"/>
      <c r="W346" s="22"/>
      <c r="X346" s="16"/>
      <c r="Y346" s="22"/>
      <c r="Z346" s="25" t="str">
        <f t="shared" si="95"/>
        <v/>
      </c>
      <c r="AA346" s="17" t="str">
        <f t="shared" ca="1" si="96"/>
        <v/>
      </c>
      <c r="AB346" s="17" t="str">
        <f t="shared" ca="1" si="97"/>
        <v/>
      </c>
      <c r="AC346" s="17" t="str">
        <f t="shared" ca="1" si="98"/>
        <v/>
      </c>
      <c r="AD346" s="17" t="str">
        <f t="shared" ca="1" si="99"/>
        <v/>
      </c>
      <c r="AE346" s="17" t="str">
        <f t="shared" si="100"/>
        <v/>
      </c>
      <c r="AF346" s="17" t="str">
        <f t="shared" si="101"/>
        <v/>
      </c>
      <c r="AG346" s="17" t="str">
        <f t="shared" si="102"/>
        <v/>
      </c>
      <c r="AH346" s="17">
        <f t="shared" si="103"/>
        <v>0</v>
      </c>
      <c r="AI346" s="17" t="str">
        <f t="shared" ca="1" si="104"/>
        <v/>
      </c>
      <c r="AJ346" s="17" t="str">
        <f t="shared" ca="1" si="105"/>
        <v/>
      </c>
      <c r="AK346" s="17" t="str">
        <f t="shared" si="106"/>
        <v/>
      </c>
      <c r="AL346" s="17" t="str">
        <f t="shared" ca="1" si="107"/>
        <v/>
      </c>
      <c r="AN346" s="24">
        <f t="shared" si="108"/>
        <v>0</v>
      </c>
      <c r="AO346" s="24">
        <f t="shared" si="109"/>
        <v>0</v>
      </c>
      <c r="AP346" s="24">
        <f t="shared" si="110"/>
        <v>0</v>
      </c>
      <c r="AQ346" s="24">
        <f t="shared" si="111"/>
        <v>0</v>
      </c>
      <c r="AR346" s="24">
        <f t="shared" si="112"/>
        <v>0</v>
      </c>
      <c r="AS346" s="24">
        <f t="shared" si="113"/>
        <v>0</v>
      </c>
    </row>
    <row r="347" spans="1:45" x14ac:dyDescent="0.25">
      <c r="A347" s="83"/>
      <c r="B347" s="83"/>
      <c r="C347" s="83"/>
      <c r="D347" s="15"/>
      <c r="E347" s="15"/>
      <c r="F347" s="83"/>
      <c r="G347" s="83"/>
      <c r="H347" s="16"/>
      <c r="I347" s="83"/>
      <c r="J347" s="83"/>
      <c r="K347" s="16"/>
      <c r="L347" s="15"/>
      <c r="M347" s="20"/>
      <c r="N347" s="15"/>
      <c r="O347" s="20"/>
      <c r="P347" s="15"/>
      <c r="Q347" s="15"/>
      <c r="R347" s="17" t="str">
        <f>IF(Q347="","",VLOOKUP(Q347,'References (2)'!C:D,2,0))</f>
        <v/>
      </c>
      <c r="S347" s="17" t="str">
        <f>IF(Q347="","",VLOOKUP(Q347,'References (2)'!C:F,4,0))</f>
        <v/>
      </c>
      <c r="T347" s="16"/>
      <c r="U347" s="20"/>
      <c r="V347" s="15"/>
      <c r="W347" s="22"/>
      <c r="X347" s="16"/>
      <c r="Y347" s="22"/>
      <c r="Z347" s="25" t="str">
        <f t="shared" si="95"/>
        <v/>
      </c>
      <c r="AA347" s="17" t="str">
        <f t="shared" ca="1" si="96"/>
        <v/>
      </c>
      <c r="AB347" s="17" t="str">
        <f t="shared" ca="1" si="97"/>
        <v/>
      </c>
      <c r="AC347" s="17" t="str">
        <f t="shared" ca="1" si="98"/>
        <v/>
      </c>
      <c r="AD347" s="17" t="str">
        <f t="shared" ca="1" si="99"/>
        <v/>
      </c>
      <c r="AE347" s="17" t="str">
        <f t="shared" si="100"/>
        <v/>
      </c>
      <c r="AF347" s="17" t="str">
        <f t="shared" si="101"/>
        <v/>
      </c>
      <c r="AG347" s="17" t="str">
        <f t="shared" si="102"/>
        <v/>
      </c>
      <c r="AH347" s="17">
        <f t="shared" si="103"/>
        <v>0</v>
      </c>
      <c r="AI347" s="17" t="str">
        <f t="shared" ca="1" si="104"/>
        <v/>
      </c>
      <c r="AJ347" s="17" t="str">
        <f t="shared" ca="1" si="105"/>
        <v/>
      </c>
      <c r="AK347" s="17" t="str">
        <f t="shared" si="106"/>
        <v/>
      </c>
      <c r="AL347" s="17" t="str">
        <f t="shared" ca="1" si="107"/>
        <v/>
      </c>
      <c r="AN347" s="24">
        <f t="shared" si="108"/>
        <v>0</v>
      </c>
      <c r="AO347" s="24">
        <f t="shared" si="109"/>
        <v>0</v>
      </c>
      <c r="AP347" s="24">
        <f t="shared" si="110"/>
        <v>0</v>
      </c>
      <c r="AQ347" s="24">
        <f t="shared" si="111"/>
        <v>0</v>
      </c>
      <c r="AR347" s="24">
        <f t="shared" si="112"/>
        <v>0</v>
      </c>
      <c r="AS347" s="24">
        <f t="shared" si="113"/>
        <v>0</v>
      </c>
    </row>
    <row r="348" spans="1:45" x14ac:dyDescent="0.25">
      <c r="A348" s="83"/>
      <c r="B348" s="83"/>
      <c r="C348" s="83"/>
      <c r="D348" s="15"/>
      <c r="E348" s="15"/>
      <c r="F348" s="83"/>
      <c r="G348" s="83"/>
      <c r="H348" s="16"/>
      <c r="I348" s="83"/>
      <c r="J348" s="83"/>
      <c r="K348" s="16"/>
      <c r="L348" s="15"/>
      <c r="M348" s="20"/>
      <c r="N348" s="15"/>
      <c r="O348" s="20"/>
      <c r="P348" s="15"/>
      <c r="Q348" s="15"/>
      <c r="R348" s="17" t="str">
        <f>IF(Q348="","",VLOOKUP(Q348,'References (2)'!C:D,2,0))</f>
        <v/>
      </c>
      <c r="S348" s="17" t="str">
        <f>IF(Q348="","",VLOOKUP(Q348,'References (2)'!C:F,4,0))</f>
        <v/>
      </c>
      <c r="T348" s="16"/>
      <c r="U348" s="20"/>
      <c r="V348" s="15"/>
      <c r="W348" s="22"/>
      <c r="X348" s="16"/>
      <c r="Y348" s="22"/>
      <c r="Z348" s="25" t="str">
        <f t="shared" si="95"/>
        <v/>
      </c>
      <c r="AA348" s="17" t="str">
        <f t="shared" ca="1" si="96"/>
        <v/>
      </c>
      <c r="AB348" s="17" t="str">
        <f t="shared" ca="1" si="97"/>
        <v/>
      </c>
      <c r="AC348" s="17" t="str">
        <f t="shared" ca="1" si="98"/>
        <v/>
      </c>
      <c r="AD348" s="17" t="str">
        <f t="shared" ca="1" si="99"/>
        <v/>
      </c>
      <c r="AE348" s="17" t="str">
        <f t="shared" si="100"/>
        <v/>
      </c>
      <c r="AF348" s="17" t="str">
        <f t="shared" si="101"/>
        <v/>
      </c>
      <c r="AG348" s="17" t="str">
        <f t="shared" si="102"/>
        <v/>
      </c>
      <c r="AH348" s="17">
        <f t="shared" si="103"/>
        <v>0</v>
      </c>
      <c r="AI348" s="17" t="str">
        <f t="shared" ca="1" si="104"/>
        <v/>
      </c>
      <c r="AJ348" s="17" t="str">
        <f t="shared" ca="1" si="105"/>
        <v/>
      </c>
      <c r="AK348" s="17" t="str">
        <f t="shared" si="106"/>
        <v/>
      </c>
      <c r="AL348" s="17" t="str">
        <f t="shared" ca="1" si="107"/>
        <v/>
      </c>
      <c r="AN348" s="24">
        <f t="shared" si="108"/>
        <v>0</v>
      </c>
      <c r="AO348" s="24">
        <f t="shared" si="109"/>
        <v>0</v>
      </c>
      <c r="AP348" s="24">
        <f t="shared" si="110"/>
        <v>0</v>
      </c>
      <c r="AQ348" s="24">
        <f t="shared" si="111"/>
        <v>0</v>
      </c>
      <c r="AR348" s="24">
        <f t="shared" si="112"/>
        <v>0</v>
      </c>
      <c r="AS348" s="24">
        <f t="shared" si="113"/>
        <v>0</v>
      </c>
    </row>
    <row r="349" spans="1:45" x14ac:dyDescent="0.25">
      <c r="A349" s="83"/>
      <c r="B349" s="83"/>
      <c r="C349" s="83"/>
      <c r="D349" s="15"/>
      <c r="E349" s="15"/>
      <c r="F349" s="83"/>
      <c r="G349" s="83"/>
      <c r="H349" s="16"/>
      <c r="I349" s="83"/>
      <c r="J349" s="83"/>
      <c r="K349" s="16"/>
      <c r="L349" s="15"/>
      <c r="M349" s="20"/>
      <c r="N349" s="15"/>
      <c r="O349" s="20"/>
      <c r="P349" s="15"/>
      <c r="Q349" s="15"/>
      <c r="R349" s="17" t="str">
        <f>IF(Q349="","",VLOOKUP(Q349,'References (2)'!C:D,2,0))</f>
        <v/>
      </c>
      <c r="S349" s="17" t="str">
        <f>IF(Q349="","",VLOOKUP(Q349,'References (2)'!C:F,4,0))</f>
        <v/>
      </c>
      <c r="T349" s="16"/>
      <c r="U349" s="20"/>
      <c r="V349" s="15"/>
      <c r="W349" s="22"/>
      <c r="X349" s="16"/>
      <c r="Y349" s="22"/>
      <c r="Z349" s="25" t="str">
        <f t="shared" si="95"/>
        <v/>
      </c>
      <c r="AA349" s="17" t="str">
        <f t="shared" ca="1" si="96"/>
        <v/>
      </c>
      <c r="AB349" s="17" t="str">
        <f t="shared" ca="1" si="97"/>
        <v/>
      </c>
      <c r="AC349" s="17" t="str">
        <f t="shared" ca="1" si="98"/>
        <v/>
      </c>
      <c r="AD349" s="17" t="str">
        <f t="shared" ca="1" si="99"/>
        <v/>
      </c>
      <c r="AE349" s="17" t="str">
        <f t="shared" si="100"/>
        <v/>
      </c>
      <c r="AF349" s="17" t="str">
        <f t="shared" si="101"/>
        <v/>
      </c>
      <c r="AG349" s="17" t="str">
        <f t="shared" si="102"/>
        <v/>
      </c>
      <c r="AH349" s="17">
        <f t="shared" si="103"/>
        <v>0</v>
      </c>
      <c r="AI349" s="17" t="str">
        <f t="shared" ca="1" si="104"/>
        <v/>
      </c>
      <c r="AJ349" s="17" t="str">
        <f t="shared" ca="1" si="105"/>
        <v/>
      </c>
      <c r="AK349" s="17" t="str">
        <f t="shared" si="106"/>
        <v/>
      </c>
      <c r="AL349" s="17" t="str">
        <f t="shared" ca="1" si="107"/>
        <v/>
      </c>
      <c r="AN349" s="24">
        <f t="shared" si="108"/>
        <v>0</v>
      </c>
      <c r="AO349" s="24">
        <f t="shared" si="109"/>
        <v>0</v>
      </c>
      <c r="AP349" s="24">
        <f t="shared" si="110"/>
        <v>0</v>
      </c>
      <c r="AQ349" s="24">
        <f t="shared" si="111"/>
        <v>0</v>
      </c>
      <c r="AR349" s="24">
        <f t="shared" si="112"/>
        <v>0</v>
      </c>
      <c r="AS349" s="24">
        <f t="shared" si="113"/>
        <v>0</v>
      </c>
    </row>
    <row r="350" spans="1:45" x14ac:dyDescent="0.25">
      <c r="A350" s="83"/>
      <c r="B350" s="83"/>
      <c r="C350" s="83"/>
      <c r="D350" s="15"/>
      <c r="E350" s="15"/>
      <c r="F350" s="83"/>
      <c r="G350" s="83"/>
      <c r="H350" s="16"/>
      <c r="I350" s="83"/>
      <c r="J350" s="83"/>
      <c r="K350" s="16"/>
      <c r="L350" s="15"/>
      <c r="M350" s="20"/>
      <c r="N350" s="15"/>
      <c r="O350" s="20"/>
      <c r="P350" s="15"/>
      <c r="Q350" s="15"/>
      <c r="R350" s="17" t="str">
        <f>IF(Q350="","",VLOOKUP(Q350,'References (2)'!C:D,2,0))</f>
        <v/>
      </c>
      <c r="S350" s="17" t="str">
        <f>IF(Q350="","",VLOOKUP(Q350,'References (2)'!C:F,4,0))</f>
        <v/>
      </c>
      <c r="T350" s="16"/>
      <c r="U350" s="20"/>
      <c r="V350" s="15"/>
      <c r="W350" s="22"/>
      <c r="X350" s="16"/>
      <c r="Y350" s="22"/>
      <c r="Z350" s="25" t="str">
        <f t="shared" si="95"/>
        <v/>
      </c>
      <c r="AA350" s="17" t="str">
        <f t="shared" ca="1" si="96"/>
        <v/>
      </c>
      <c r="AB350" s="17" t="str">
        <f t="shared" ca="1" si="97"/>
        <v/>
      </c>
      <c r="AC350" s="17" t="str">
        <f t="shared" ca="1" si="98"/>
        <v/>
      </c>
      <c r="AD350" s="17" t="str">
        <f t="shared" ca="1" si="99"/>
        <v/>
      </c>
      <c r="AE350" s="17" t="str">
        <f t="shared" si="100"/>
        <v/>
      </c>
      <c r="AF350" s="17" t="str">
        <f t="shared" si="101"/>
        <v/>
      </c>
      <c r="AG350" s="17" t="str">
        <f t="shared" si="102"/>
        <v/>
      </c>
      <c r="AH350" s="17">
        <f t="shared" si="103"/>
        <v>0</v>
      </c>
      <c r="AI350" s="17" t="str">
        <f t="shared" ca="1" si="104"/>
        <v/>
      </c>
      <c r="AJ350" s="17" t="str">
        <f t="shared" ca="1" si="105"/>
        <v/>
      </c>
      <c r="AK350" s="17" t="str">
        <f t="shared" si="106"/>
        <v/>
      </c>
      <c r="AL350" s="17" t="str">
        <f t="shared" ca="1" si="107"/>
        <v/>
      </c>
      <c r="AN350" s="24">
        <f t="shared" si="108"/>
        <v>0</v>
      </c>
      <c r="AO350" s="24">
        <f t="shared" si="109"/>
        <v>0</v>
      </c>
      <c r="AP350" s="24">
        <f t="shared" si="110"/>
        <v>0</v>
      </c>
      <c r="AQ350" s="24">
        <f t="shared" si="111"/>
        <v>0</v>
      </c>
      <c r="AR350" s="24">
        <f t="shared" si="112"/>
        <v>0</v>
      </c>
      <c r="AS350" s="24">
        <f t="shared" si="113"/>
        <v>0</v>
      </c>
    </row>
    <row r="351" spans="1:45" x14ac:dyDescent="0.25">
      <c r="A351" s="83"/>
      <c r="B351" s="83"/>
      <c r="C351" s="83"/>
      <c r="D351" s="15"/>
      <c r="E351" s="15"/>
      <c r="F351" s="83"/>
      <c r="G351" s="83"/>
      <c r="H351" s="16"/>
      <c r="I351" s="83"/>
      <c r="J351" s="83"/>
      <c r="K351" s="16"/>
      <c r="L351" s="15"/>
      <c r="M351" s="20"/>
      <c r="N351" s="15"/>
      <c r="O351" s="20"/>
      <c r="P351" s="15"/>
      <c r="Q351" s="15"/>
      <c r="R351" s="17" t="str">
        <f>IF(Q351="","",VLOOKUP(Q351,'References (2)'!C:D,2,0))</f>
        <v/>
      </c>
      <c r="S351" s="17" t="str">
        <f>IF(Q351="","",VLOOKUP(Q351,'References (2)'!C:F,4,0))</f>
        <v/>
      </c>
      <c r="T351" s="16"/>
      <c r="U351" s="20"/>
      <c r="V351" s="15"/>
      <c r="W351" s="22"/>
      <c r="X351" s="16"/>
      <c r="Y351" s="22"/>
      <c r="Z351" s="25" t="str">
        <f t="shared" si="95"/>
        <v/>
      </c>
      <c r="AA351" s="17" t="str">
        <f t="shared" ca="1" si="96"/>
        <v/>
      </c>
      <c r="AB351" s="17" t="str">
        <f t="shared" ca="1" si="97"/>
        <v/>
      </c>
      <c r="AC351" s="17" t="str">
        <f t="shared" ca="1" si="98"/>
        <v/>
      </c>
      <c r="AD351" s="17" t="str">
        <f t="shared" ca="1" si="99"/>
        <v/>
      </c>
      <c r="AE351" s="17" t="str">
        <f t="shared" si="100"/>
        <v/>
      </c>
      <c r="AF351" s="17" t="str">
        <f t="shared" si="101"/>
        <v/>
      </c>
      <c r="AG351" s="17" t="str">
        <f t="shared" si="102"/>
        <v/>
      </c>
      <c r="AH351" s="17">
        <f t="shared" si="103"/>
        <v>0</v>
      </c>
      <c r="AI351" s="17" t="str">
        <f t="shared" ca="1" si="104"/>
        <v/>
      </c>
      <c r="AJ351" s="17" t="str">
        <f t="shared" ca="1" si="105"/>
        <v/>
      </c>
      <c r="AK351" s="17" t="str">
        <f t="shared" si="106"/>
        <v/>
      </c>
      <c r="AL351" s="17" t="str">
        <f t="shared" ca="1" si="107"/>
        <v/>
      </c>
      <c r="AN351" s="24">
        <f t="shared" si="108"/>
        <v>0</v>
      </c>
      <c r="AO351" s="24">
        <f t="shared" si="109"/>
        <v>0</v>
      </c>
      <c r="AP351" s="24">
        <f t="shared" si="110"/>
        <v>0</v>
      </c>
      <c r="AQ351" s="24">
        <f t="shared" si="111"/>
        <v>0</v>
      </c>
      <c r="AR351" s="24">
        <f t="shared" si="112"/>
        <v>0</v>
      </c>
      <c r="AS351" s="24">
        <f t="shared" si="113"/>
        <v>0</v>
      </c>
    </row>
    <row r="352" spans="1:45" x14ac:dyDescent="0.25">
      <c r="A352" s="83"/>
      <c r="B352" s="83"/>
      <c r="C352" s="83"/>
      <c r="D352" s="15"/>
      <c r="E352" s="15"/>
      <c r="F352" s="83"/>
      <c r="G352" s="83"/>
      <c r="H352" s="16"/>
      <c r="I352" s="83"/>
      <c r="J352" s="83"/>
      <c r="K352" s="16"/>
      <c r="L352" s="15"/>
      <c r="M352" s="20"/>
      <c r="N352" s="15"/>
      <c r="O352" s="20"/>
      <c r="P352" s="15"/>
      <c r="Q352" s="15"/>
      <c r="R352" s="17" t="str">
        <f>IF(Q352="","",VLOOKUP(Q352,'References (2)'!C:D,2,0))</f>
        <v/>
      </c>
      <c r="S352" s="17" t="str">
        <f>IF(Q352="","",VLOOKUP(Q352,'References (2)'!C:F,4,0))</f>
        <v/>
      </c>
      <c r="T352" s="16"/>
      <c r="U352" s="20"/>
      <c r="V352" s="15"/>
      <c r="W352" s="22"/>
      <c r="X352" s="16"/>
      <c r="Y352" s="22"/>
      <c r="Z352" s="25" t="str">
        <f t="shared" si="95"/>
        <v/>
      </c>
      <c r="AA352" s="17" t="str">
        <f t="shared" ca="1" si="96"/>
        <v/>
      </c>
      <c r="AB352" s="17" t="str">
        <f t="shared" ca="1" si="97"/>
        <v/>
      </c>
      <c r="AC352" s="17" t="str">
        <f t="shared" ca="1" si="98"/>
        <v/>
      </c>
      <c r="AD352" s="17" t="str">
        <f t="shared" ca="1" si="99"/>
        <v/>
      </c>
      <c r="AE352" s="17" t="str">
        <f t="shared" si="100"/>
        <v/>
      </c>
      <c r="AF352" s="17" t="str">
        <f t="shared" si="101"/>
        <v/>
      </c>
      <c r="AG352" s="17" t="str">
        <f t="shared" si="102"/>
        <v/>
      </c>
      <c r="AH352" s="17">
        <f t="shared" si="103"/>
        <v>0</v>
      </c>
      <c r="AI352" s="17" t="str">
        <f t="shared" ca="1" si="104"/>
        <v/>
      </c>
      <c r="AJ352" s="17" t="str">
        <f t="shared" ca="1" si="105"/>
        <v/>
      </c>
      <c r="AK352" s="17" t="str">
        <f t="shared" si="106"/>
        <v/>
      </c>
      <c r="AL352" s="17" t="str">
        <f t="shared" ca="1" si="107"/>
        <v/>
      </c>
      <c r="AN352" s="24">
        <f t="shared" si="108"/>
        <v>0</v>
      </c>
      <c r="AO352" s="24">
        <f t="shared" si="109"/>
        <v>0</v>
      </c>
      <c r="AP352" s="24">
        <f t="shared" si="110"/>
        <v>0</v>
      </c>
      <c r="AQ352" s="24">
        <f t="shared" si="111"/>
        <v>0</v>
      </c>
      <c r="AR352" s="24">
        <f t="shared" si="112"/>
        <v>0</v>
      </c>
      <c r="AS352" s="24">
        <f t="shared" si="113"/>
        <v>0</v>
      </c>
    </row>
    <row r="353" spans="1:45" x14ac:dyDescent="0.25">
      <c r="A353" s="83"/>
      <c r="B353" s="83"/>
      <c r="C353" s="83"/>
      <c r="D353" s="15"/>
      <c r="E353" s="15"/>
      <c r="F353" s="83"/>
      <c r="G353" s="83"/>
      <c r="H353" s="16"/>
      <c r="I353" s="83"/>
      <c r="J353" s="83"/>
      <c r="K353" s="16"/>
      <c r="L353" s="15"/>
      <c r="M353" s="20"/>
      <c r="N353" s="15"/>
      <c r="O353" s="20"/>
      <c r="P353" s="15"/>
      <c r="Q353" s="15"/>
      <c r="R353" s="17" t="str">
        <f>IF(Q353="","",VLOOKUP(Q353,'References (2)'!C:D,2,0))</f>
        <v/>
      </c>
      <c r="S353" s="17" t="str">
        <f>IF(Q353="","",VLOOKUP(Q353,'References (2)'!C:F,4,0))</f>
        <v/>
      </c>
      <c r="T353" s="16"/>
      <c r="U353" s="20"/>
      <c r="V353" s="15"/>
      <c r="W353" s="22"/>
      <c r="X353" s="16"/>
      <c r="Y353" s="22"/>
      <c r="Z353" s="25" t="str">
        <f t="shared" si="95"/>
        <v/>
      </c>
      <c r="AA353" s="17" t="str">
        <f t="shared" ca="1" si="96"/>
        <v/>
      </c>
      <c r="AB353" s="17" t="str">
        <f t="shared" ca="1" si="97"/>
        <v/>
      </c>
      <c r="AC353" s="17" t="str">
        <f t="shared" ca="1" si="98"/>
        <v/>
      </c>
      <c r="AD353" s="17" t="str">
        <f t="shared" ca="1" si="99"/>
        <v/>
      </c>
      <c r="AE353" s="17" t="str">
        <f t="shared" si="100"/>
        <v/>
      </c>
      <c r="AF353" s="17" t="str">
        <f t="shared" si="101"/>
        <v/>
      </c>
      <c r="AG353" s="17" t="str">
        <f t="shared" si="102"/>
        <v/>
      </c>
      <c r="AH353" s="17">
        <f t="shared" si="103"/>
        <v>0</v>
      </c>
      <c r="AI353" s="17" t="str">
        <f t="shared" ca="1" si="104"/>
        <v/>
      </c>
      <c r="AJ353" s="17" t="str">
        <f t="shared" ca="1" si="105"/>
        <v/>
      </c>
      <c r="AK353" s="17" t="str">
        <f t="shared" si="106"/>
        <v/>
      </c>
      <c r="AL353" s="17" t="str">
        <f t="shared" ca="1" si="107"/>
        <v/>
      </c>
      <c r="AN353" s="24">
        <f t="shared" si="108"/>
        <v>0</v>
      </c>
      <c r="AO353" s="24">
        <f t="shared" si="109"/>
        <v>0</v>
      </c>
      <c r="AP353" s="24">
        <f t="shared" si="110"/>
        <v>0</v>
      </c>
      <c r="AQ353" s="24">
        <f t="shared" si="111"/>
        <v>0</v>
      </c>
      <c r="AR353" s="24">
        <f t="shared" si="112"/>
        <v>0</v>
      </c>
      <c r="AS353" s="24">
        <f t="shared" si="113"/>
        <v>0</v>
      </c>
    </row>
    <row r="354" spans="1:45" x14ac:dyDescent="0.25">
      <c r="A354" s="83"/>
      <c r="B354" s="83"/>
      <c r="C354" s="83"/>
      <c r="D354" s="15"/>
      <c r="E354" s="15"/>
      <c r="F354" s="83"/>
      <c r="G354" s="83"/>
      <c r="H354" s="16"/>
      <c r="I354" s="83"/>
      <c r="J354" s="83"/>
      <c r="K354" s="16"/>
      <c r="L354" s="15"/>
      <c r="M354" s="20"/>
      <c r="N354" s="15"/>
      <c r="O354" s="20"/>
      <c r="P354" s="15"/>
      <c r="Q354" s="15"/>
      <c r="R354" s="17" t="str">
        <f>IF(Q354="","",VLOOKUP(Q354,'References (2)'!C:D,2,0))</f>
        <v/>
      </c>
      <c r="S354" s="17" t="str">
        <f>IF(Q354="","",VLOOKUP(Q354,'References (2)'!C:F,4,0))</f>
        <v/>
      </c>
      <c r="T354" s="16"/>
      <c r="U354" s="20"/>
      <c r="V354" s="15"/>
      <c r="W354" s="22"/>
      <c r="X354" s="16"/>
      <c r="Y354" s="22"/>
      <c r="Z354" s="25" t="str">
        <f t="shared" si="95"/>
        <v/>
      </c>
      <c r="AA354" s="17" t="str">
        <f t="shared" ca="1" si="96"/>
        <v/>
      </c>
      <c r="AB354" s="17" t="str">
        <f t="shared" ca="1" si="97"/>
        <v/>
      </c>
      <c r="AC354" s="17" t="str">
        <f t="shared" ca="1" si="98"/>
        <v/>
      </c>
      <c r="AD354" s="17" t="str">
        <f t="shared" ca="1" si="99"/>
        <v/>
      </c>
      <c r="AE354" s="17" t="str">
        <f t="shared" si="100"/>
        <v/>
      </c>
      <c r="AF354" s="17" t="str">
        <f t="shared" si="101"/>
        <v/>
      </c>
      <c r="AG354" s="17" t="str">
        <f t="shared" si="102"/>
        <v/>
      </c>
      <c r="AH354" s="17">
        <f t="shared" si="103"/>
        <v>0</v>
      </c>
      <c r="AI354" s="17" t="str">
        <f t="shared" ca="1" si="104"/>
        <v/>
      </c>
      <c r="AJ354" s="17" t="str">
        <f t="shared" ca="1" si="105"/>
        <v/>
      </c>
      <c r="AK354" s="17" t="str">
        <f t="shared" si="106"/>
        <v/>
      </c>
      <c r="AL354" s="17" t="str">
        <f t="shared" ca="1" si="107"/>
        <v/>
      </c>
      <c r="AN354" s="24">
        <f t="shared" si="108"/>
        <v>0</v>
      </c>
      <c r="AO354" s="24">
        <f t="shared" si="109"/>
        <v>0</v>
      </c>
      <c r="AP354" s="24">
        <f t="shared" si="110"/>
        <v>0</v>
      </c>
      <c r="AQ354" s="24">
        <f t="shared" si="111"/>
        <v>0</v>
      </c>
      <c r="AR354" s="24">
        <f t="shared" si="112"/>
        <v>0</v>
      </c>
      <c r="AS354" s="24">
        <f t="shared" si="113"/>
        <v>0</v>
      </c>
    </row>
    <row r="355" spans="1:45" x14ac:dyDescent="0.25">
      <c r="A355" s="83"/>
      <c r="B355" s="83"/>
      <c r="C355" s="83"/>
      <c r="D355" s="15"/>
      <c r="E355" s="15"/>
      <c r="F355" s="83"/>
      <c r="G355" s="83"/>
      <c r="H355" s="16"/>
      <c r="I355" s="83"/>
      <c r="J355" s="83"/>
      <c r="K355" s="16"/>
      <c r="L355" s="15"/>
      <c r="M355" s="20"/>
      <c r="N355" s="15"/>
      <c r="O355" s="20"/>
      <c r="P355" s="15"/>
      <c r="Q355" s="15"/>
      <c r="R355" s="17" t="str">
        <f>IF(Q355="","",VLOOKUP(Q355,'References (2)'!C:D,2,0))</f>
        <v/>
      </c>
      <c r="S355" s="17" t="str">
        <f>IF(Q355="","",VLOOKUP(Q355,'References (2)'!C:F,4,0))</f>
        <v/>
      </c>
      <c r="T355" s="16"/>
      <c r="U355" s="20"/>
      <c r="V355" s="15"/>
      <c r="W355" s="22"/>
      <c r="X355" s="16"/>
      <c r="Y355" s="22"/>
      <c r="Z355" s="25" t="str">
        <f t="shared" si="95"/>
        <v/>
      </c>
      <c r="AA355" s="17" t="str">
        <f t="shared" ca="1" si="96"/>
        <v/>
      </c>
      <c r="AB355" s="17" t="str">
        <f t="shared" ca="1" si="97"/>
        <v/>
      </c>
      <c r="AC355" s="17" t="str">
        <f t="shared" ca="1" si="98"/>
        <v/>
      </c>
      <c r="AD355" s="17" t="str">
        <f t="shared" ca="1" si="99"/>
        <v/>
      </c>
      <c r="AE355" s="17" t="str">
        <f t="shared" si="100"/>
        <v/>
      </c>
      <c r="AF355" s="17" t="str">
        <f t="shared" si="101"/>
        <v/>
      </c>
      <c r="AG355" s="17" t="str">
        <f t="shared" si="102"/>
        <v/>
      </c>
      <c r="AH355" s="17">
        <f t="shared" si="103"/>
        <v>0</v>
      </c>
      <c r="AI355" s="17" t="str">
        <f t="shared" ca="1" si="104"/>
        <v/>
      </c>
      <c r="AJ355" s="17" t="str">
        <f t="shared" ca="1" si="105"/>
        <v/>
      </c>
      <c r="AK355" s="17" t="str">
        <f t="shared" si="106"/>
        <v/>
      </c>
      <c r="AL355" s="17" t="str">
        <f t="shared" ca="1" si="107"/>
        <v/>
      </c>
      <c r="AN355" s="24">
        <f t="shared" si="108"/>
        <v>0</v>
      </c>
      <c r="AO355" s="24">
        <f t="shared" si="109"/>
        <v>0</v>
      </c>
      <c r="AP355" s="24">
        <f t="shared" si="110"/>
        <v>0</v>
      </c>
      <c r="AQ355" s="24">
        <f t="shared" si="111"/>
        <v>0</v>
      </c>
      <c r="AR355" s="24">
        <f t="shared" si="112"/>
        <v>0</v>
      </c>
      <c r="AS355" s="24">
        <f t="shared" si="113"/>
        <v>0</v>
      </c>
    </row>
    <row r="356" spans="1:45" x14ac:dyDescent="0.25">
      <c r="A356" s="83"/>
      <c r="B356" s="83"/>
      <c r="C356" s="83"/>
      <c r="D356" s="15"/>
      <c r="E356" s="15"/>
      <c r="F356" s="83"/>
      <c r="G356" s="83"/>
      <c r="H356" s="16"/>
      <c r="I356" s="83"/>
      <c r="J356" s="83"/>
      <c r="K356" s="16"/>
      <c r="L356" s="15"/>
      <c r="M356" s="20"/>
      <c r="N356" s="15"/>
      <c r="O356" s="20"/>
      <c r="P356" s="15"/>
      <c r="Q356" s="15"/>
      <c r="R356" s="17" t="str">
        <f>IF(Q356="","",VLOOKUP(Q356,'References (2)'!C:D,2,0))</f>
        <v/>
      </c>
      <c r="S356" s="17" t="str">
        <f>IF(Q356="","",VLOOKUP(Q356,'References (2)'!C:F,4,0))</f>
        <v/>
      </c>
      <c r="T356" s="16"/>
      <c r="U356" s="20"/>
      <c r="V356" s="15"/>
      <c r="W356" s="22"/>
      <c r="X356" s="16"/>
      <c r="Y356" s="22"/>
      <c r="Z356" s="25" t="str">
        <f t="shared" si="95"/>
        <v/>
      </c>
      <c r="AA356" s="17" t="str">
        <f t="shared" ca="1" si="96"/>
        <v/>
      </c>
      <c r="AB356" s="17" t="str">
        <f t="shared" ca="1" si="97"/>
        <v/>
      </c>
      <c r="AC356" s="17" t="str">
        <f t="shared" ca="1" si="98"/>
        <v/>
      </c>
      <c r="AD356" s="17" t="str">
        <f t="shared" ca="1" si="99"/>
        <v/>
      </c>
      <c r="AE356" s="17" t="str">
        <f t="shared" si="100"/>
        <v/>
      </c>
      <c r="AF356" s="17" t="str">
        <f t="shared" si="101"/>
        <v/>
      </c>
      <c r="AG356" s="17" t="str">
        <f t="shared" si="102"/>
        <v/>
      </c>
      <c r="AH356" s="17">
        <f t="shared" si="103"/>
        <v>0</v>
      </c>
      <c r="AI356" s="17" t="str">
        <f t="shared" ca="1" si="104"/>
        <v/>
      </c>
      <c r="AJ356" s="17" t="str">
        <f t="shared" ca="1" si="105"/>
        <v/>
      </c>
      <c r="AK356" s="17" t="str">
        <f t="shared" si="106"/>
        <v/>
      </c>
      <c r="AL356" s="17" t="str">
        <f t="shared" ca="1" si="107"/>
        <v/>
      </c>
      <c r="AN356" s="24">
        <f t="shared" si="108"/>
        <v>0</v>
      </c>
      <c r="AO356" s="24">
        <f t="shared" si="109"/>
        <v>0</v>
      </c>
      <c r="AP356" s="24">
        <f t="shared" si="110"/>
        <v>0</v>
      </c>
      <c r="AQ356" s="24">
        <f t="shared" si="111"/>
        <v>0</v>
      </c>
      <c r="AR356" s="24">
        <f t="shared" si="112"/>
        <v>0</v>
      </c>
      <c r="AS356" s="24">
        <f t="shared" si="113"/>
        <v>0</v>
      </c>
    </row>
    <row r="357" spans="1:45" x14ac:dyDescent="0.25">
      <c r="A357" s="83"/>
      <c r="B357" s="83"/>
      <c r="C357" s="83"/>
      <c r="D357" s="15"/>
      <c r="E357" s="15"/>
      <c r="F357" s="83"/>
      <c r="G357" s="83"/>
      <c r="H357" s="16"/>
      <c r="I357" s="83"/>
      <c r="J357" s="83"/>
      <c r="K357" s="16"/>
      <c r="L357" s="15"/>
      <c r="M357" s="20"/>
      <c r="N357" s="15"/>
      <c r="O357" s="20"/>
      <c r="P357" s="15"/>
      <c r="Q357" s="15"/>
      <c r="R357" s="17" t="str">
        <f>IF(Q357="","",VLOOKUP(Q357,'References (2)'!C:D,2,0))</f>
        <v/>
      </c>
      <c r="S357" s="17" t="str">
        <f>IF(Q357="","",VLOOKUP(Q357,'References (2)'!C:F,4,0))</f>
        <v/>
      </c>
      <c r="T357" s="16"/>
      <c r="U357" s="20"/>
      <c r="V357" s="15"/>
      <c r="W357" s="22"/>
      <c r="X357" s="16"/>
      <c r="Y357" s="22"/>
      <c r="Z357" s="25" t="str">
        <f t="shared" si="95"/>
        <v/>
      </c>
      <c r="AA357" s="17" t="str">
        <f t="shared" ca="1" si="96"/>
        <v/>
      </c>
      <c r="AB357" s="17" t="str">
        <f t="shared" ca="1" si="97"/>
        <v/>
      </c>
      <c r="AC357" s="17" t="str">
        <f t="shared" ca="1" si="98"/>
        <v/>
      </c>
      <c r="AD357" s="17" t="str">
        <f t="shared" ca="1" si="99"/>
        <v/>
      </c>
      <c r="AE357" s="17" t="str">
        <f t="shared" si="100"/>
        <v/>
      </c>
      <c r="AF357" s="17" t="str">
        <f t="shared" si="101"/>
        <v/>
      </c>
      <c r="AG357" s="17" t="str">
        <f t="shared" si="102"/>
        <v/>
      </c>
      <c r="AH357" s="17">
        <f t="shared" si="103"/>
        <v>0</v>
      </c>
      <c r="AI357" s="17" t="str">
        <f t="shared" ca="1" si="104"/>
        <v/>
      </c>
      <c r="AJ357" s="17" t="str">
        <f t="shared" ca="1" si="105"/>
        <v/>
      </c>
      <c r="AK357" s="17" t="str">
        <f t="shared" si="106"/>
        <v/>
      </c>
      <c r="AL357" s="17" t="str">
        <f t="shared" ca="1" si="107"/>
        <v/>
      </c>
      <c r="AN357" s="24">
        <f t="shared" si="108"/>
        <v>0</v>
      </c>
      <c r="AO357" s="24">
        <f t="shared" si="109"/>
        <v>0</v>
      </c>
      <c r="AP357" s="24">
        <f t="shared" si="110"/>
        <v>0</v>
      </c>
      <c r="AQ357" s="24">
        <f t="shared" si="111"/>
        <v>0</v>
      </c>
      <c r="AR357" s="24">
        <f t="shared" si="112"/>
        <v>0</v>
      </c>
      <c r="AS357" s="24">
        <f t="shared" si="113"/>
        <v>0</v>
      </c>
    </row>
    <row r="358" spans="1:45" x14ac:dyDescent="0.25">
      <c r="A358" s="83"/>
      <c r="B358" s="83"/>
      <c r="C358" s="83"/>
      <c r="D358" s="15"/>
      <c r="E358" s="15"/>
      <c r="F358" s="83"/>
      <c r="G358" s="83"/>
      <c r="H358" s="16"/>
      <c r="I358" s="83"/>
      <c r="J358" s="83"/>
      <c r="K358" s="16"/>
      <c r="L358" s="15"/>
      <c r="M358" s="20"/>
      <c r="N358" s="15"/>
      <c r="O358" s="20"/>
      <c r="P358" s="15"/>
      <c r="Q358" s="15"/>
      <c r="R358" s="17" t="str">
        <f>IF(Q358="","",VLOOKUP(Q358,'References (2)'!C:D,2,0))</f>
        <v/>
      </c>
      <c r="S358" s="17" t="str">
        <f>IF(Q358="","",VLOOKUP(Q358,'References (2)'!C:F,4,0))</f>
        <v/>
      </c>
      <c r="T358" s="16"/>
      <c r="U358" s="20"/>
      <c r="V358" s="15"/>
      <c r="W358" s="22"/>
      <c r="X358" s="16"/>
      <c r="Y358" s="22"/>
      <c r="Z358" s="25" t="str">
        <f t="shared" si="95"/>
        <v/>
      </c>
      <c r="AA358" s="17" t="str">
        <f t="shared" ca="1" si="96"/>
        <v/>
      </c>
      <c r="AB358" s="17" t="str">
        <f t="shared" ca="1" si="97"/>
        <v/>
      </c>
      <c r="AC358" s="17" t="str">
        <f t="shared" ca="1" si="98"/>
        <v/>
      </c>
      <c r="AD358" s="17" t="str">
        <f t="shared" ca="1" si="99"/>
        <v/>
      </c>
      <c r="AE358" s="17" t="str">
        <f t="shared" si="100"/>
        <v/>
      </c>
      <c r="AF358" s="17" t="str">
        <f t="shared" si="101"/>
        <v/>
      </c>
      <c r="AG358" s="17" t="str">
        <f t="shared" si="102"/>
        <v/>
      </c>
      <c r="AH358" s="17">
        <f t="shared" si="103"/>
        <v>0</v>
      </c>
      <c r="AI358" s="17" t="str">
        <f t="shared" ca="1" si="104"/>
        <v/>
      </c>
      <c r="AJ358" s="17" t="str">
        <f t="shared" ca="1" si="105"/>
        <v/>
      </c>
      <c r="AK358" s="17" t="str">
        <f t="shared" si="106"/>
        <v/>
      </c>
      <c r="AL358" s="17" t="str">
        <f t="shared" ca="1" si="107"/>
        <v/>
      </c>
      <c r="AN358" s="24">
        <f t="shared" si="108"/>
        <v>0</v>
      </c>
      <c r="AO358" s="24">
        <f t="shared" si="109"/>
        <v>0</v>
      </c>
      <c r="AP358" s="24">
        <f t="shared" si="110"/>
        <v>0</v>
      </c>
      <c r="AQ358" s="24">
        <f t="shared" si="111"/>
        <v>0</v>
      </c>
      <c r="AR358" s="24">
        <f t="shared" si="112"/>
        <v>0</v>
      </c>
      <c r="AS358" s="24">
        <f t="shared" si="113"/>
        <v>0</v>
      </c>
    </row>
    <row r="359" spans="1:45" x14ac:dyDescent="0.25">
      <c r="A359" s="83"/>
      <c r="B359" s="83"/>
      <c r="C359" s="83"/>
      <c r="D359" s="15"/>
      <c r="E359" s="15"/>
      <c r="F359" s="83"/>
      <c r="G359" s="83"/>
      <c r="H359" s="16"/>
      <c r="I359" s="83"/>
      <c r="J359" s="83"/>
      <c r="K359" s="16"/>
      <c r="L359" s="15"/>
      <c r="M359" s="20"/>
      <c r="N359" s="15"/>
      <c r="O359" s="20"/>
      <c r="P359" s="15"/>
      <c r="Q359" s="15"/>
      <c r="R359" s="17" t="str">
        <f>IF(Q359="","",VLOOKUP(Q359,'References (2)'!C:D,2,0))</f>
        <v/>
      </c>
      <c r="S359" s="17" t="str">
        <f>IF(Q359="","",VLOOKUP(Q359,'References (2)'!C:F,4,0))</f>
        <v/>
      </c>
      <c r="T359" s="16"/>
      <c r="U359" s="20"/>
      <c r="V359" s="15"/>
      <c r="W359" s="22"/>
      <c r="X359" s="16"/>
      <c r="Y359" s="22"/>
      <c r="Z359" s="25" t="str">
        <f t="shared" si="95"/>
        <v/>
      </c>
      <c r="AA359" s="17" t="str">
        <f t="shared" ca="1" si="96"/>
        <v/>
      </c>
      <c r="AB359" s="17" t="str">
        <f t="shared" ca="1" si="97"/>
        <v/>
      </c>
      <c r="AC359" s="17" t="str">
        <f t="shared" ca="1" si="98"/>
        <v/>
      </c>
      <c r="AD359" s="17" t="str">
        <f t="shared" ca="1" si="99"/>
        <v/>
      </c>
      <c r="AE359" s="17" t="str">
        <f t="shared" si="100"/>
        <v/>
      </c>
      <c r="AF359" s="17" t="str">
        <f t="shared" si="101"/>
        <v/>
      </c>
      <c r="AG359" s="17" t="str">
        <f t="shared" si="102"/>
        <v/>
      </c>
      <c r="AH359" s="17">
        <f t="shared" si="103"/>
        <v>0</v>
      </c>
      <c r="AI359" s="17" t="str">
        <f t="shared" ca="1" si="104"/>
        <v/>
      </c>
      <c r="AJ359" s="17" t="str">
        <f t="shared" ca="1" si="105"/>
        <v/>
      </c>
      <c r="AK359" s="17" t="str">
        <f t="shared" si="106"/>
        <v/>
      </c>
      <c r="AL359" s="17" t="str">
        <f t="shared" ca="1" si="107"/>
        <v/>
      </c>
      <c r="AN359" s="24">
        <f t="shared" si="108"/>
        <v>0</v>
      </c>
      <c r="AO359" s="24">
        <f t="shared" si="109"/>
        <v>0</v>
      </c>
      <c r="AP359" s="24">
        <f t="shared" si="110"/>
        <v>0</v>
      </c>
      <c r="AQ359" s="24">
        <f t="shared" si="111"/>
        <v>0</v>
      </c>
      <c r="AR359" s="24">
        <f t="shared" si="112"/>
        <v>0</v>
      </c>
      <c r="AS359" s="24">
        <f t="shared" si="113"/>
        <v>0</v>
      </c>
    </row>
    <row r="360" spans="1:45" x14ac:dyDescent="0.25">
      <c r="A360" s="83"/>
      <c r="B360" s="83"/>
      <c r="C360" s="83"/>
      <c r="D360" s="15"/>
      <c r="E360" s="15"/>
      <c r="F360" s="83"/>
      <c r="G360" s="83"/>
      <c r="H360" s="16"/>
      <c r="I360" s="83"/>
      <c r="J360" s="83"/>
      <c r="K360" s="16"/>
      <c r="L360" s="15"/>
      <c r="M360" s="20"/>
      <c r="N360" s="15"/>
      <c r="O360" s="20"/>
      <c r="P360" s="15"/>
      <c r="Q360" s="15"/>
      <c r="R360" s="17" t="str">
        <f>IF(Q360="","",VLOOKUP(Q360,'References (2)'!C:D,2,0))</f>
        <v/>
      </c>
      <c r="S360" s="17" t="str">
        <f>IF(Q360="","",VLOOKUP(Q360,'References (2)'!C:F,4,0))</f>
        <v/>
      </c>
      <c r="T360" s="16"/>
      <c r="U360" s="20"/>
      <c r="V360" s="15"/>
      <c r="W360" s="22"/>
      <c r="X360" s="16"/>
      <c r="Y360" s="22"/>
      <c r="Z360" s="25" t="str">
        <f t="shared" si="95"/>
        <v/>
      </c>
      <c r="AA360" s="17" t="str">
        <f t="shared" ca="1" si="96"/>
        <v/>
      </c>
      <c r="AB360" s="17" t="str">
        <f t="shared" ca="1" si="97"/>
        <v/>
      </c>
      <c r="AC360" s="17" t="str">
        <f t="shared" ca="1" si="98"/>
        <v/>
      </c>
      <c r="AD360" s="17" t="str">
        <f t="shared" ca="1" si="99"/>
        <v/>
      </c>
      <c r="AE360" s="17" t="str">
        <f t="shared" si="100"/>
        <v/>
      </c>
      <c r="AF360" s="17" t="str">
        <f t="shared" si="101"/>
        <v/>
      </c>
      <c r="AG360" s="17" t="str">
        <f t="shared" si="102"/>
        <v/>
      </c>
      <c r="AH360" s="17">
        <f t="shared" si="103"/>
        <v>0</v>
      </c>
      <c r="AI360" s="17" t="str">
        <f t="shared" ca="1" si="104"/>
        <v/>
      </c>
      <c r="AJ360" s="17" t="str">
        <f t="shared" ca="1" si="105"/>
        <v/>
      </c>
      <c r="AK360" s="17" t="str">
        <f t="shared" si="106"/>
        <v/>
      </c>
      <c r="AL360" s="17" t="str">
        <f t="shared" ca="1" si="107"/>
        <v/>
      </c>
      <c r="AN360" s="24">
        <f t="shared" si="108"/>
        <v>0</v>
      </c>
      <c r="AO360" s="24">
        <f t="shared" si="109"/>
        <v>0</v>
      </c>
      <c r="AP360" s="24">
        <f t="shared" si="110"/>
        <v>0</v>
      </c>
      <c r="AQ360" s="24">
        <f t="shared" si="111"/>
        <v>0</v>
      </c>
      <c r="AR360" s="24">
        <f t="shared" si="112"/>
        <v>0</v>
      </c>
      <c r="AS360" s="24">
        <f t="shared" si="113"/>
        <v>0</v>
      </c>
    </row>
    <row r="361" spans="1:45" x14ac:dyDescent="0.25">
      <c r="A361" s="83"/>
      <c r="B361" s="83"/>
      <c r="C361" s="83"/>
      <c r="D361" s="15"/>
      <c r="E361" s="15"/>
      <c r="F361" s="83"/>
      <c r="G361" s="83"/>
      <c r="H361" s="16"/>
      <c r="I361" s="83"/>
      <c r="J361" s="83"/>
      <c r="K361" s="16"/>
      <c r="L361" s="15"/>
      <c r="M361" s="20"/>
      <c r="N361" s="15"/>
      <c r="O361" s="20"/>
      <c r="P361" s="15"/>
      <c r="Q361" s="15"/>
      <c r="R361" s="17" t="str">
        <f>IF(Q361="","",VLOOKUP(Q361,'References (2)'!C:D,2,0))</f>
        <v/>
      </c>
      <c r="S361" s="17" t="str">
        <f>IF(Q361="","",VLOOKUP(Q361,'References (2)'!C:F,4,0))</f>
        <v/>
      </c>
      <c r="T361" s="16"/>
      <c r="U361" s="20"/>
      <c r="V361" s="15"/>
      <c r="W361" s="22"/>
      <c r="X361" s="16"/>
      <c r="Y361" s="22"/>
      <c r="Z361" s="25" t="str">
        <f t="shared" si="95"/>
        <v/>
      </c>
      <c r="AA361" s="17" t="str">
        <f t="shared" ca="1" si="96"/>
        <v/>
      </c>
      <c r="AB361" s="17" t="str">
        <f t="shared" ca="1" si="97"/>
        <v/>
      </c>
      <c r="AC361" s="17" t="str">
        <f t="shared" ca="1" si="98"/>
        <v/>
      </c>
      <c r="AD361" s="17" t="str">
        <f t="shared" ca="1" si="99"/>
        <v/>
      </c>
      <c r="AE361" s="17" t="str">
        <f t="shared" si="100"/>
        <v/>
      </c>
      <c r="AF361" s="17" t="str">
        <f t="shared" si="101"/>
        <v/>
      </c>
      <c r="AG361" s="17" t="str">
        <f t="shared" si="102"/>
        <v/>
      </c>
      <c r="AH361" s="17">
        <f t="shared" si="103"/>
        <v>0</v>
      </c>
      <c r="AI361" s="17" t="str">
        <f t="shared" ca="1" si="104"/>
        <v/>
      </c>
      <c r="AJ361" s="17" t="str">
        <f t="shared" ca="1" si="105"/>
        <v/>
      </c>
      <c r="AK361" s="17" t="str">
        <f t="shared" si="106"/>
        <v/>
      </c>
      <c r="AL361" s="17" t="str">
        <f t="shared" ca="1" si="107"/>
        <v/>
      </c>
      <c r="AN361" s="24">
        <f t="shared" si="108"/>
        <v>0</v>
      </c>
      <c r="AO361" s="24">
        <f t="shared" si="109"/>
        <v>0</v>
      </c>
      <c r="AP361" s="24">
        <f t="shared" si="110"/>
        <v>0</v>
      </c>
      <c r="AQ361" s="24">
        <f t="shared" si="111"/>
        <v>0</v>
      </c>
      <c r="AR361" s="24">
        <f t="shared" si="112"/>
        <v>0</v>
      </c>
      <c r="AS361" s="24">
        <f t="shared" si="113"/>
        <v>0</v>
      </c>
    </row>
    <row r="362" spans="1:45" x14ac:dyDescent="0.25">
      <c r="A362" s="83"/>
      <c r="B362" s="83"/>
      <c r="C362" s="83"/>
      <c r="D362" s="15"/>
      <c r="E362" s="15"/>
      <c r="F362" s="83"/>
      <c r="G362" s="83"/>
      <c r="H362" s="16"/>
      <c r="I362" s="83"/>
      <c r="J362" s="83"/>
      <c r="K362" s="16"/>
      <c r="L362" s="15"/>
      <c r="M362" s="20"/>
      <c r="N362" s="15"/>
      <c r="O362" s="20"/>
      <c r="P362" s="15"/>
      <c r="Q362" s="15"/>
      <c r="R362" s="17" t="str">
        <f>IF(Q362="","",VLOOKUP(Q362,'References (2)'!C:D,2,0))</f>
        <v/>
      </c>
      <c r="S362" s="17" t="str">
        <f>IF(Q362="","",VLOOKUP(Q362,'References (2)'!C:F,4,0))</f>
        <v/>
      </c>
      <c r="T362" s="16"/>
      <c r="U362" s="20"/>
      <c r="V362" s="15"/>
      <c r="W362" s="22"/>
      <c r="X362" s="16"/>
      <c r="Y362" s="22"/>
      <c r="Z362" s="25" t="str">
        <f t="shared" si="95"/>
        <v/>
      </c>
      <c r="AA362" s="17" t="str">
        <f t="shared" ca="1" si="96"/>
        <v/>
      </c>
      <c r="AB362" s="17" t="str">
        <f t="shared" ca="1" si="97"/>
        <v/>
      </c>
      <c r="AC362" s="17" t="str">
        <f t="shared" ca="1" si="98"/>
        <v/>
      </c>
      <c r="AD362" s="17" t="str">
        <f t="shared" ca="1" si="99"/>
        <v/>
      </c>
      <c r="AE362" s="17" t="str">
        <f t="shared" si="100"/>
        <v/>
      </c>
      <c r="AF362" s="17" t="str">
        <f t="shared" si="101"/>
        <v/>
      </c>
      <c r="AG362" s="17" t="str">
        <f t="shared" si="102"/>
        <v/>
      </c>
      <c r="AH362" s="17">
        <f t="shared" si="103"/>
        <v>0</v>
      </c>
      <c r="AI362" s="17" t="str">
        <f t="shared" ca="1" si="104"/>
        <v/>
      </c>
      <c r="AJ362" s="17" t="str">
        <f t="shared" ca="1" si="105"/>
        <v/>
      </c>
      <c r="AK362" s="17" t="str">
        <f t="shared" si="106"/>
        <v/>
      </c>
      <c r="AL362" s="17" t="str">
        <f t="shared" ca="1" si="107"/>
        <v/>
      </c>
      <c r="AN362" s="24">
        <f t="shared" si="108"/>
        <v>0</v>
      </c>
      <c r="AO362" s="24">
        <f t="shared" si="109"/>
        <v>0</v>
      </c>
      <c r="AP362" s="24">
        <f t="shared" si="110"/>
        <v>0</v>
      </c>
      <c r="AQ362" s="24">
        <f t="shared" si="111"/>
        <v>0</v>
      </c>
      <c r="AR362" s="24">
        <f t="shared" si="112"/>
        <v>0</v>
      </c>
      <c r="AS362" s="24">
        <f t="shared" si="113"/>
        <v>0</v>
      </c>
    </row>
    <row r="363" spans="1:45" x14ac:dyDescent="0.25">
      <c r="A363" s="83"/>
      <c r="B363" s="83"/>
      <c r="C363" s="83"/>
      <c r="D363" s="15"/>
      <c r="E363" s="15"/>
      <c r="F363" s="83"/>
      <c r="G363" s="83"/>
      <c r="H363" s="16"/>
      <c r="I363" s="83"/>
      <c r="J363" s="83"/>
      <c r="K363" s="16"/>
      <c r="L363" s="15"/>
      <c r="M363" s="20"/>
      <c r="N363" s="15"/>
      <c r="O363" s="20"/>
      <c r="P363" s="15"/>
      <c r="Q363" s="15"/>
      <c r="R363" s="17" t="str">
        <f>IF(Q363="","",VLOOKUP(Q363,'References (2)'!C:D,2,0))</f>
        <v/>
      </c>
      <c r="S363" s="17" t="str">
        <f>IF(Q363="","",VLOOKUP(Q363,'References (2)'!C:F,4,0))</f>
        <v/>
      </c>
      <c r="T363" s="16"/>
      <c r="U363" s="20"/>
      <c r="V363" s="15"/>
      <c r="W363" s="22"/>
      <c r="X363" s="16"/>
      <c r="Y363" s="22"/>
      <c r="Z363" s="25" t="str">
        <f t="shared" si="95"/>
        <v/>
      </c>
      <c r="AA363" s="17" t="str">
        <f t="shared" ca="1" si="96"/>
        <v/>
      </c>
      <c r="AB363" s="17" t="str">
        <f t="shared" ca="1" si="97"/>
        <v/>
      </c>
      <c r="AC363" s="17" t="str">
        <f t="shared" ca="1" si="98"/>
        <v/>
      </c>
      <c r="AD363" s="17" t="str">
        <f t="shared" ca="1" si="99"/>
        <v/>
      </c>
      <c r="AE363" s="17" t="str">
        <f t="shared" si="100"/>
        <v/>
      </c>
      <c r="AF363" s="17" t="str">
        <f t="shared" si="101"/>
        <v/>
      </c>
      <c r="AG363" s="17" t="str">
        <f t="shared" si="102"/>
        <v/>
      </c>
      <c r="AH363" s="17">
        <f t="shared" si="103"/>
        <v>0</v>
      </c>
      <c r="AI363" s="17" t="str">
        <f t="shared" ca="1" si="104"/>
        <v/>
      </c>
      <c r="AJ363" s="17" t="str">
        <f t="shared" ca="1" si="105"/>
        <v/>
      </c>
      <c r="AK363" s="17" t="str">
        <f t="shared" si="106"/>
        <v/>
      </c>
      <c r="AL363" s="17" t="str">
        <f t="shared" ca="1" si="107"/>
        <v/>
      </c>
      <c r="AN363" s="24">
        <f t="shared" si="108"/>
        <v>0</v>
      </c>
      <c r="AO363" s="24">
        <f t="shared" si="109"/>
        <v>0</v>
      </c>
      <c r="AP363" s="24">
        <f t="shared" si="110"/>
        <v>0</v>
      </c>
      <c r="AQ363" s="24">
        <f t="shared" si="111"/>
        <v>0</v>
      </c>
      <c r="AR363" s="24">
        <f t="shared" si="112"/>
        <v>0</v>
      </c>
      <c r="AS363" s="24">
        <f t="shared" si="113"/>
        <v>0</v>
      </c>
    </row>
    <row r="364" spans="1:45" x14ac:dyDescent="0.25">
      <c r="A364" s="83"/>
      <c r="B364" s="83"/>
      <c r="C364" s="83"/>
      <c r="D364" s="15"/>
      <c r="E364" s="15"/>
      <c r="F364" s="83"/>
      <c r="G364" s="83"/>
      <c r="H364" s="16"/>
      <c r="I364" s="83"/>
      <c r="J364" s="83"/>
      <c r="K364" s="16"/>
      <c r="L364" s="15"/>
      <c r="M364" s="20"/>
      <c r="N364" s="15"/>
      <c r="O364" s="20"/>
      <c r="P364" s="15"/>
      <c r="Q364" s="15"/>
      <c r="R364" s="17" t="str">
        <f>IF(Q364="","",VLOOKUP(Q364,'References (2)'!C:D,2,0))</f>
        <v/>
      </c>
      <c r="S364" s="17" t="str">
        <f>IF(Q364="","",VLOOKUP(Q364,'References (2)'!C:F,4,0))</f>
        <v/>
      </c>
      <c r="T364" s="16"/>
      <c r="U364" s="20"/>
      <c r="V364" s="15"/>
      <c r="W364" s="22"/>
      <c r="X364" s="16"/>
      <c r="Y364" s="22"/>
      <c r="Z364" s="25" t="str">
        <f t="shared" si="95"/>
        <v/>
      </c>
      <c r="AA364" s="17" t="str">
        <f t="shared" ca="1" si="96"/>
        <v/>
      </c>
      <c r="AB364" s="17" t="str">
        <f t="shared" ca="1" si="97"/>
        <v/>
      </c>
      <c r="AC364" s="17" t="str">
        <f t="shared" ca="1" si="98"/>
        <v/>
      </c>
      <c r="AD364" s="17" t="str">
        <f t="shared" ca="1" si="99"/>
        <v/>
      </c>
      <c r="AE364" s="17" t="str">
        <f t="shared" si="100"/>
        <v/>
      </c>
      <c r="AF364" s="17" t="str">
        <f t="shared" si="101"/>
        <v/>
      </c>
      <c r="AG364" s="17" t="str">
        <f t="shared" si="102"/>
        <v/>
      </c>
      <c r="AH364" s="17">
        <f t="shared" si="103"/>
        <v>0</v>
      </c>
      <c r="AI364" s="17" t="str">
        <f t="shared" ca="1" si="104"/>
        <v/>
      </c>
      <c r="AJ364" s="17" t="str">
        <f t="shared" ca="1" si="105"/>
        <v/>
      </c>
      <c r="AK364" s="17" t="str">
        <f t="shared" si="106"/>
        <v/>
      </c>
      <c r="AL364" s="17" t="str">
        <f t="shared" ca="1" si="107"/>
        <v/>
      </c>
      <c r="AN364" s="24">
        <f t="shared" si="108"/>
        <v>0</v>
      </c>
      <c r="AO364" s="24">
        <f t="shared" si="109"/>
        <v>0</v>
      </c>
      <c r="AP364" s="24">
        <f t="shared" si="110"/>
        <v>0</v>
      </c>
      <c r="AQ364" s="24">
        <f t="shared" si="111"/>
        <v>0</v>
      </c>
      <c r="AR364" s="24">
        <f t="shared" si="112"/>
        <v>0</v>
      </c>
      <c r="AS364" s="24">
        <f t="shared" si="113"/>
        <v>0</v>
      </c>
    </row>
    <row r="365" spans="1:45" x14ac:dyDescent="0.25">
      <c r="A365" s="83"/>
      <c r="B365" s="83"/>
      <c r="C365" s="83"/>
      <c r="D365" s="15"/>
      <c r="E365" s="15"/>
      <c r="F365" s="83"/>
      <c r="G365" s="83"/>
      <c r="H365" s="16"/>
      <c r="I365" s="83"/>
      <c r="J365" s="83"/>
      <c r="K365" s="16"/>
      <c r="L365" s="15"/>
      <c r="M365" s="20"/>
      <c r="N365" s="15"/>
      <c r="O365" s="20"/>
      <c r="P365" s="15"/>
      <c r="Q365" s="15"/>
      <c r="R365" s="17" t="str">
        <f>IF(Q365="","",VLOOKUP(Q365,'References (2)'!C:D,2,0))</f>
        <v/>
      </c>
      <c r="S365" s="17" t="str">
        <f>IF(Q365="","",VLOOKUP(Q365,'References (2)'!C:F,4,0))</f>
        <v/>
      </c>
      <c r="T365" s="16"/>
      <c r="U365" s="20"/>
      <c r="V365" s="15"/>
      <c r="W365" s="22"/>
      <c r="X365" s="16"/>
      <c r="Y365" s="22"/>
      <c r="Z365" s="25" t="str">
        <f t="shared" si="95"/>
        <v/>
      </c>
      <c r="AA365" s="17" t="str">
        <f t="shared" ca="1" si="96"/>
        <v/>
      </c>
      <c r="AB365" s="17" t="str">
        <f t="shared" ca="1" si="97"/>
        <v/>
      </c>
      <c r="AC365" s="17" t="str">
        <f t="shared" ca="1" si="98"/>
        <v/>
      </c>
      <c r="AD365" s="17" t="str">
        <f t="shared" ca="1" si="99"/>
        <v/>
      </c>
      <c r="AE365" s="17" t="str">
        <f t="shared" si="100"/>
        <v/>
      </c>
      <c r="AF365" s="17" t="str">
        <f t="shared" si="101"/>
        <v/>
      </c>
      <c r="AG365" s="17" t="str">
        <f t="shared" si="102"/>
        <v/>
      </c>
      <c r="AH365" s="17">
        <f t="shared" si="103"/>
        <v>0</v>
      </c>
      <c r="AI365" s="17" t="str">
        <f t="shared" ca="1" si="104"/>
        <v/>
      </c>
      <c r="AJ365" s="17" t="str">
        <f t="shared" ca="1" si="105"/>
        <v/>
      </c>
      <c r="AK365" s="17" t="str">
        <f t="shared" si="106"/>
        <v/>
      </c>
      <c r="AL365" s="17" t="str">
        <f t="shared" ca="1" si="107"/>
        <v/>
      </c>
      <c r="AN365" s="24">
        <f t="shared" si="108"/>
        <v>0</v>
      </c>
      <c r="AO365" s="24">
        <f t="shared" si="109"/>
        <v>0</v>
      </c>
      <c r="AP365" s="24">
        <f t="shared" si="110"/>
        <v>0</v>
      </c>
      <c r="AQ365" s="24">
        <f t="shared" si="111"/>
        <v>0</v>
      </c>
      <c r="AR365" s="24">
        <f t="shared" si="112"/>
        <v>0</v>
      </c>
      <c r="AS365" s="24">
        <f t="shared" si="113"/>
        <v>0</v>
      </c>
    </row>
    <row r="366" spans="1:45" x14ac:dyDescent="0.25">
      <c r="A366" s="83"/>
      <c r="B366" s="83"/>
      <c r="C366" s="83"/>
      <c r="D366" s="15"/>
      <c r="E366" s="15"/>
      <c r="F366" s="83"/>
      <c r="G366" s="83"/>
      <c r="H366" s="16"/>
      <c r="I366" s="83"/>
      <c r="J366" s="83"/>
      <c r="K366" s="16"/>
      <c r="L366" s="15"/>
      <c r="M366" s="20"/>
      <c r="N366" s="15"/>
      <c r="O366" s="20"/>
      <c r="P366" s="15"/>
      <c r="Q366" s="15"/>
      <c r="R366" s="17" t="str">
        <f>IF(Q366="","",VLOOKUP(Q366,'References (2)'!C:D,2,0))</f>
        <v/>
      </c>
      <c r="S366" s="17" t="str">
        <f>IF(Q366="","",VLOOKUP(Q366,'References (2)'!C:F,4,0))</f>
        <v/>
      </c>
      <c r="T366" s="16"/>
      <c r="U366" s="20"/>
      <c r="V366" s="15"/>
      <c r="W366" s="22"/>
      <c r="X366" s="16"/>
      <c r="Y366" s="22"/>
      <c r="Z366" s="25" t="str">
        <f t="shared" si="95"/>
        <v/>
      </c>
      <c r="AA366" s="17" t="str">
        <f t="shared" ca="1" si="96"/>
        <v/>
      </c>
      <c r="AB366" s="17" t="str">
        <f t="shared" ca="1" si="97"/>
        <v/>
      </c>
      <c r="AC366" s="17" t="str">
        <f t="shared" ca="1" si="98"/>
        <v/>
      </c>
      <c r="AD366" s="17" t="str">
        <f t="shared" ca="1" si="99"/>
        <v/>
      </c>
      <c r="AE366" s="17" t="str">
        <f t="shared" si="100"/>
        <v/>
      </c>
      <c r="AF366" s="17" t="str">
        <f t="shared" si="101"/>
        <v/>
      </c>
      <c r="AG366" s="17" t="str">
        <f t="shared" si="102"/>
        <v/>
      </c>
      <c r="AH366" s="17">
        <f t="shared" si="103"/>
        <v>0</v>
      </c>
      <c r="AI366" s="17" t="str">
        <f t="shared" ca="1" si="104"/>
        <v/>
      </c>
      <c r="AJ366" s="17" t="str">
        <f t="shared" ca="1" si="105"/>
        <v/>
      </c>
      <c r="AK366" s="17" t="str">
        <f t="shared" si="106"/>
        <v/>
      </c>
      <c r="AL366" s="17" t="str">
        <f t="shared" ca="1" si="107"/>
        <v/>
      </c>
      <c r="AN366" s="24">
        <f t="shared" si="108"/>
        <v>0</v>
      </c>
      <c r="AO366" s="24">
        <f t="shared" si="109"/>
        <v>0</v>
      </c>
      <c r="AP366" s="24">
        <f t="shared" si="110"/>
        <v>0</v>
      </c>
      <c r="AQ366" s="24">
        <f t="shared" si="111"/>
        <v>0</v>
      </c>
      <c r="AR366" s="24">
        <f t="shared" si="112"/>
        <v>0</v>
      </c>
      <c r="AS366" s="24">
        <f t="shared" si="113"/>
        <v>0</v>
      </c>
    </row>
    <row r="367" spans="1:45" x14ac:dyDescent="0.25">
      <c r="A367" s="83"/>
      <c r="B367" s="83"/>
      <c r="C367" s="83"/>
      <c r="D367" s="15"/>
      <c r="E367" s="15"/>
      <c r="F367" s="83"/>
      <c r="G367" s="83"/>
      <c r="H367" s="16"/>
      <c r="I367" s="83"/>
      <c r="J367" s="83"/>
      <c r="K367" s="16"/>
      <c r="L367" s="15"/>
      <c r="M367" s="20"/>
      <c r="N367" s="15"/>
      <c r="O367" s="20"/>
      <c r="P367" s="15"/>
      <c r="Q367" s="15"/>
      <c r="R367" s="17" t="str">
        <f>IF(Q367="","",VLOOKUP(Q367,'References (2)'!C:D,2,0))</f>
        <v/>
      </c>
      <c r="S367" s="17" t="str">
        <f>IF(Q367="","",VLOOKUP(Q367,'References (2)'!C:F,4,0))</f>
        <v/>
      </c>
      <c r="T367" s="16"/>
      <c r="U367" s="20"/>
      <c r="V367" s="15"/>
      <c r="W367" s="22"/>
      <c r="X367" s="16"/>
      <c r="Y367" s="22"/>
      <c r="Z367" s="25" t="str">
        <f t="shared" si="95"/>
        <v/>
      </c>
      <c r="AA367" s="17" t="str">
        <f t="shared" ca="1" si="96"/>
        <v/>
      </c>
      <c r="AB367" s="17" t="str">
        <f t="shared" ca="1" si="97"/>
        <v/>
      </c>
      <c r="AC367" s="17" t="str">
        <f t="shared" ca="1" si="98"/>
        <v/>
      </c>
      <c r="AD367" s="17" t="str">
        <f t="shared" ca="1" si="99"/>
        <v/>
      </c>
      <c r="AE367" s="17" t="str">
        <f t="shared" si="100"/>
        <v/>
      </c>
      <c r="AF367" s="17" t="str">
        <f t="shared" si="101"/>
        <v/>
      </c>
      <c r="AG367" s="17" t="str">
        <f t="shared" si="102"/>
        <v/>
      </c>
      <c r="AH367" s="17">
        <f t="shared" si="103"/>
        <v>0</v>
      </c>
      <c r="AI367" s="17" t="str">
        <f t="shared" ca="1" si="104"/>
        <v/>
      </c>
      <c r="AJ367" s="17" t="str">
        <f t="shared" ca="1" si="105"/>
        <v/>
      </c>
      <c r="AK367" s="17" t="str">
        <f t="shared" si="106"/>
        <v/>
      </c>
      <c r="AL367" s="17" t="str">
        <f t="shared" ca="1" si="107"/>
        <v/>
      </c>
      <c r="AN367" s="24">
        <f t="shared" si="108"/>
        <v>0</v>
      </c>
      <c r="AO367" s="24">
        <f t="shared" si="109"/>
        <v>0</v>
      </c>
      <c r="AP367" s="24">
        <f t="shared" si="110"/>
        <v>0</v>
      </c>
      <c r="AQ367" s="24">
        <f t="shared" si="111"/>
        <v>0</v>
      </c>
      <c r="AR367" s="24">
        <f t="shared" si="112"/>
        <v>0</v>
      </c>
      <c r="AS367" s="24">
        <f t="shared" si="113"/>
        <v>0</v>
      </c>
    </row>
    <row r="368" spans="1:45" x14ac:dyDescent="0.25">
      <c r="A368" s="83"/>
      <c r="B368" s="83"/>
      <c r="C368" s="83"/>
      <c r="D368" s="15"/>
      <c r="E368" s="15"/>
      <c r="F368" s="83"/>
      <c r="G368" s="83"/>
      <c r="H368" s="16"/>
      <c r="I368" s="83"/>
      <c r="J368" s="83"/>
      <c r="K368" s="16"/>
      <c r="L368" s="15"/>
      <c r="M368" s="20"/>
      <c r="N368" s="15"/>
      <c r="O368" s="20"/>
      <c r="P368" s="15"/>
      <c r="Q368" s="15"/>
      <c r="R368" s="17" t="str">
        <f>IF(Q368="","",VLOOKUP(Q368,'References (2)'!C:D,2,0))</f>
        <v/>
      </c>
      <c r="S368" s="17" t="str">
        <f>IF(Q368="","",VLOOKUP(Q368,'References (2)'!C:F,4,0))</f>
        <v/>
      </c>
      <c r="T368" s="16"/>
      <c r="U368" s="20"/>
      <c r="V368" s="15"/>
      <c r="W368" s="22"/>
      <c r="X368" s="16"/>
      <c r="Y368" s="22"/>
      <c r="Z368" s="25" t="str">
        <f t="shared" si="95"/>
        <v/>
      </c>
      <c r="AA368" s="17" t="str">
        <f t="shared" ca="1" si="96"/>
        <v/>
      </c>
      <c r="AB368" s="17" t="str">
        <f t="shared" ca="1" si="97"/>
        <v/>
      </c>
      <c r="AC368" s="17" t="str">
        <f t="shared" ca="1" si="98"/>
        <v/>
      </c>
      <c r="AD368" s="17" t="str">
        <f t="shared" ca="1" si="99"/>
        <v/>
      </c>
      <c r="AE368" s="17" t="str">
        <f t="shared" si="100"/>
        <v/>
      </c>
      <c r="AF368" s="17" t="str">
        <f t="shared" si="101"/>
        <v/>
      </c>
      <c r="AG368" s="17" t="str">
        <f t="shared" si="102"/>
        <v/>
      </c>
      <c r="AH368" s="17">
        <f t="shared" si="103"/>
        <v>0</v>
      </c>
      <c r="AI368" s="17" t="str">
        <f t="shared" ca="1" si="104"/>
        <v/>
      </c>
      <c r="AJ368" s="17" t="str">
        <f t="shared" ca="1" si="105"/>
        <v/>
      </c>
      <c r="AK368" s="17" t="str">
        <f t="shared" si="106"/>
        <v/>
      </c>
      <c r="AL368" s="17" t="str">
        <f t="shared" ca="1" si="107"/>
        <v/>
      </c>
      <c r="AN368" s="24">
        <f t="shared" si="108"/>
        <v>0</v>
      </c>
      <c r="AO368" s="24">
        <f t="shared" si="109"/>
        <v>0</v>
      </c>
      <c r="AP368" s="24">
        <f t="shared" si="110"/>
        <v>0</v>
      </c>
      <c r="AQ368" s="24">
        <f t="shared" si="111"/>
        <v>0</v>
      </c>
      <c r="AR368" s="24">
        <f t="shared" si="112"/>
        <v>0</v>
      </c>
      <c r="AS368" s="24">
        <f t="shared" si="113"/>
        <v>0</v>
      </c>
    </row>
    <row r="369" spans="1:45" x14ac:dyDescent="0.25">
      <c r="A369" s="83"/>
      <c r="B369" s="83"/>
      <c r="C369" s="83"/>
      <c r="D369" s="15"/>
      <c r="E369" s="15"/>
      <c r="F369" s="83"/>
      <c r="G369" s="83"/>
      <c r="H369" s="16"/>
      <c r="I369" s="83"/>
      <c r="J369" s="83"/>
      <c r="K369" s="16"/>
      <c r="L369" s="15"/>
      <c r="M369" s="20"/>
      <c r="N369" s="15"/>
      <c r="O369" s="20"/>
      <c r="P369" s="15"/>
      <c r="Q369" s="15"/>
      <c r="R369" s="17" t="str">
        <f>IF(Q369="","",VLOOKUP(Q369,'References (2)'!C:D,2,0))</f>
        <v/>
      </c>
      <c r="S369" s="17" t="str">
        <f>IF(Q369="","",VLOOKUP(Q369,'References (2)'!C:F,4,0))</f>
        <v/>
      </c>
      <c r="T369" s="16"/>
      <c r="U369" s="20"/>
      <c r="V369" s="15"/>
      <c r="W369" s="22"/>
      <c r="X369" s="16"/>
      <c r="Y369" s="22"/>
      <c r="Z369" s="25" t="str">
        <f t="shared" si="95"/>
        <v/>
      </c>
      <c r="AA369" s="17" t="str">
        <f t="shared" ca="1" si="96"/>
        <v/>
      </c>
      <c r="AB369" s="17" t="str">
        <f t="shared" ca="1" si="97"/>
        <v/>
      </c>
      <c r="AC369" s="17" t="str">
        <f t="shared" ca="1" si="98"/>
        <v/>
      </c>
      <c r="AD369" s="17" t="str">
        <f t="shared" ca="1" si="99"/>
        <v/>
      </c>
      <c r="AE369" s="17" t="str">
        <f t="shared" si="100"/>
        <v/>
      </c>
      <c r="AF369" s="17" t="str">
        <f t="shared" si="101"/>
        <v/>
      </c>
      <c r="AG369" s="17" t="str">
        <f t="shared" si="102"/>
        <v/>
      </c>
      <c r="AH369" s="17">
        <f t="shared" si="103"/>
        <v>0</v>
      </c>
      <c r="AI369" s="17" t="str">
        <f t="shared" ca="1" si="104"/>
        <v/>
      </c>
      <c r="AJ369" s="17" t="str">
        <f t="shared" ca="1" si="105"/>
        <v/>
      </c>
      <c r="AK369" s="17" t="str">
        <f t="shared" si="106"/>
        <v/>
      </c>
      <c r="AL369" s="17" t="str">
        <f t="shared" ca="1" si="107"/>
        <v/>
      </c>
      <c r="AN369" s="24">
        <f t="shared" si="108"/>
        <v>0</v>
      </c>
      <c r="AO369" s="24">
        <f t="shared" si="109"/>
        <v>0</v>
      </c>
      <c r="AP369" s="24">
        <f t="shared" si="110"/>
        <v>0</v>
      </c>
      <c r="AQ369" s="24">
        <f t="shared" si="111"/>
        <v>0</v>
      </c>
      <c r="AR369" s="24">
        <f t="shared" si="112"/>
        <v>0</v>
      </c>
      <c r="AS369" s="24">
        <f t="shared" si="113"/>
        <v>0</v>
      </c>
    </row>
    <row r="370" spans="1:45" x14ac:dyDescent="0.25">
      <c r="A370" s="83"/>
      <c r="B370" s="83"/>
      <c r="C370" s="83"/>
      <c r="D370" s="15"/>
      <c r="E370" s="15"/>
      <c r="F370" s="83"/>
      <c r="G370" s="83"/>
      <c r="H370" s="16"/>
      <c r="I370" s="83"/>
      <c r="J370" s="83"/>
      <c r="K370" s="16"/>
      <c r="L370" s="15"/>
      <c r="M370" s="20"/>
      <c r="N370" s="15"/>
      <c r="O370" s="20"/>
      <c r="P370" s="15"/>
      <c r="Q370" s="15"/>
      <c r="R370" s="17" t="str">
        <f>IF(Q370="","",VLOOKUP(Q370,'References (2)'!C:D,2,0))</f>
        <v/>
      </c>
      <c r="S370" s="17" t="str">
        <f>IF(Q370="","",VLOOKUP(Q370,'References (2)'!C:F,4,0))</f>
        <v/>
      </c>
      <c r="T370" s="16"/>
      <c r="U370" s="20"/>
      <c r="V370" s="15"/>
      <c r="W370" s="22"/>
      <c r="X370" s="16"/>
      <c r="Y370" s="22"/>
      <c r="Z370" s="25" t="str">
        <f t="shared" si="95"/>
        <v/>
      </c>
      <c r="AA370" s="17" t="str">
        <f t="shared" ca="1" si="96"/>
        <v/>
      </c>
      <c r="AB370" s="17" t="str">
        <f t="shared" ca="1" si="97"/>
        <v/>
      </c>
      <c r="AC370" s="17" t="str">
        <f t="shared" ca="1" si="98"/>
        <v/>
      </c>
      <c r="AD370" s="17" t="str">
        <f t="shared" ca="1" si="99"/>
        <v/>
      </c>
      <c r="AE370" s="17" t="str">
        <f t="shared" si="100"/>
        <v/>
      </c>
      <c r="AF370" s="17" t="str">
        <f t="shared" si="101"/>
        <v/>
      </c>
      <c r="AG370" s="17" t="str">
        <f t="shared" si="102"/>
        <v/>
      </c>
      <c r="AH370" s="17">
        <f t="shared" si="103"/>
        <v>0</v>
      </c>
      <c r="AI370" s="17" t="str">
        <f t="shared" ca="1" si="104"/>
        <v/>
      </c>
      <c r="AJ370" s="17" t="str">
        <f t="shared" ca="1" si="105"/>
        <v/>
      </c>
      <c r="AK370" s="17" t="str">
        <f t="shared" si="106"/>
        <v/>
      </c>
      <c r="AL370" s="17" t="str">
        <f t="shared" ca="1" si="107"/>
        <v/>
      </c>
      <c r="AN370" s="24">
        <f t="shared" si="108"/>
        <v>0</v>
      </c>
      <c r="AO370" s="24">
        <f t="shared" si="109"/>
        <v>0</v>
      </c>
      <c r="AP370" s="24">
        <f t="shared" si="110"/>
        <v>0</v>
      </c>
      <c r="AQ370" s="24">
        <f t="shared" si="111"/>
        <v>0</v>
      </c>
      <c r="AR370" s="24">
        <f t="shared" si="112"/>
        <v>0</v>
      </c>
      <c r="AS370" s="24">
        <f t="shared" si="113"/>
        <v>0</v>
      </c>
    </row>
    <row r="371" spans="1:45" x14ac:dyDescent="0.25">
      <c r="A371" s="83"/>
      <c r="B371" s="83"/>
      <c r="C371" s="83"/>
      <c r="D371" s="15"/>
      <c r="E371" s="15"/>
      <c r="F371" s="83"/>
      <c r="G371" s="83"/>
      <c r="H371" s="16"/>
      <c r="I371" s="83"/>
      <c r="J371" s="83"/>
      <c r="K371" s="16"/>
      <c r="L371" s="15"/>
      <c r="M371" s="20"/>
      <c r="N371" s="15"/>
      <c r="O371" s="20"/>
      <c r="P371" s="15"/>
      <c r="Q371" s="15"/>
      <c r="R371" s="17" t="str">
        <f>IF(Q371="","",VLOOKUP(Q371,'References (2)'!C:D,2,0))</f>
        <v/>
      </c>
      <c r="S371" s="17" t="str">
        <f>IF(Q371="","",VLOOKUP(Q371,'References (2)'!C:F,4,0))</f>
        <v/>
      </c>
      <c r="T371" s="16"/>
      <c r="U371" s="20"/>
      <c r="V371" s="15"/>
      <c r="W371" s="22"/>
      <c r="X371" s="16"/>
      <c r="Y371" s="22"/>
      <c r="Z371" s="25" t="str">
        <f t="shared" si="95"/>
        <v/>
      </c>
      <c r="AA371" s="17" t="str">
        <f t="shared" ca="1" si="96"/>
        <v/>
      </c>
      <c r="AB371" s="17" t="str">
        <f t="shared" ca="1" si="97"/>
        <v/>
      </c>
      <c r="AC371" s="17" t="str">
        <f t="shared" ca="1" si="98"/>
        <v/>
      </c>
      <c r="AD371" s="17" t="str">
        <f t="shared" ca="1" si="99"/>
        <v/>
      </c>
      <c r="AE371" s="17" t="str">
        <f t="shared" si="100"/>
        <v/>
      </c>
      <c r="AF371" s="17" t="str">
        <f t="shared" si="101"/>
        <v/>
      </c>
      <c r="AG371" s="17" t="str">
        <f t="shared" si="102"/>
        <v/>
      </c>
      <c r="AH371" s="17">
        <f t="shared" si="103"/>
        <v>0</v>
      </c>
      <c r="AI371" s="17" t="str">
        <f t="shared" ca="1" si="104"/>
        <v/>
      </c>
      <c r="AJ371" s="17" t="str">
        <f t="shared" ca="1" si="105"/>
        <v/>
      </c>
      <c r="AK371" s="17" t="str">
        <f t="shared" si="106"/>
        <v/>
      </c>
      <c r="AL371" s="17" t="str">
        <f t="shared" ca="1" si="107"/>
        <v/>
      </c>
      <c r="AN371" s="24">
        <f t="shared" si="108"/>
        <v>0</v>
      </c>
      <c r="AO371" s="24">
        <f t="shared" si="109"/>
        <v>0</v>
      </c>
      <c r="AP371" s="24">
        <f t="shared" si="110"/>
        <v>0</v>
      </c>
      <c r="AQ371" s="24">
        <f t="shared" si="111"/>
        <v>0</v>
      </c>
      <c r="AR371" s="24">
        <f t="shared" si="112"/>
        <v>0</v>
      </c>
      <c r="AS371" s="24">
        <f t="shared" si="113"/>
        <v>0</v>
      </c>
    </row>
    <row r="372" spans="1:45" x14ac:dyDescent="0.25">
      <c r="A372" s="83"/>
      <c r="B372" s="83"/>
      <c r="C372" s="83"/>
      <c r="D372" s="15"/>
      <c r="E372" s="15"/>
      <c r="F372" s="83"/>
      <c r="G372" s="83"/>
      <c r="H372" s="16"/>
      <c r="I372" s="83"/>
      <c r="J372" s="83"/>
      <c r="K372" s="16"/>
      <c r="L372" s="15"/>
      <c r="M372" s="20"/>
      <c r="N372" s="15"/>
      <c r="O372" s="20"/>
      <c r="P372" s="15"/>
      <c r="Q372" s="15"/>
      <c r="R372" s="17" t="str">
        <f>IF(Q372="","",VLOOKUP(Q372,'References (2)'!C:D,2,0))</f>
        <v/>
      </c>
      <c r="S372" s="17" t="str">
        <f>IF(Q372="","",VLOOKUP(Q372,'References (2)'!C:F,4,0))</f>
        <v/>
      </c>
      <c r="T372" s="16"/>
      <c r="U372" s="20"/>
      <c r="V372" s="15"/>
      <c r="W372" s="22"/>
      <c r="X372" s="16"/>
      <c r="Y372" s="22"/>
      <c r="Z372" s="25" t="str">
        <f t="shared" si="95"/>
        <v/>
      </c>
      <c r="AA372" s="17" t="str">
        <f t="shared" ca="1" si="96"/>
        <v/>
      </c>
      <c r="AB372" s="17" t="str">
        <f t="shared" ca="1" si="97"/>
        <v/>
      </c>
      <c r="AC372" s="17" t="str">
        <f t="shared" ca="1" si="98"/>
        <v/>
      </c>
      <c r="AD372" s="17" t="str">
        <f t="shared" ca="1" si="99"/>
        <v/>
      </c>
      <c r="AE372" s="17" t="str">
        <f t="shared" si="100"/>
        <v/>
      </c>
      <c r="AF372" s="17" t="str">
        <f t="shared" si="101"/>
        <v/>
      </c>
      <c r="AG372" s="17" t="str">
        <f t="shared" si="102"/>
        <v/>
      </c>
      <c r="AH372" s="17">
        <f t="shared" si="103"/>
        <v>0</v>
      </c>
      <c r="AI372" s="17" t="str">
        <f t="shared" ca="1" si="104"/>
        <v/>
      </c>
      <c r="AJ372" s="17" t="str">
        <f t="shared" ca="1" si="105"/>
        <v/>
      </c>
      <c r="AK372" s="17" t="str">
        <f t="shared" si="106"/>
        <v/>
      </c>
      <c r="AL372" s="17" t="str">
        <f t="shared" ca="1" si="107"/>
        <v/>
      </c>
      <c r="AN372" s="24">
        <f t="shared" si="108"/>
        <v>0</v>
      </c>
      <c r="AO372" s="24">
        <f t="shared" si="109"/>
        <v>0</v>
      </c>
      <c r="AP372" s="24">
        <f t="shared" si="110"/>
        <v>0</v>
      </c>
      <c r="AQ372" s="24">
        <f t="shared" si="111"/>
        <v>0</v>
      </c>
      <c r="AR372" s="24">
        <f t="shared" si="112"/>
        <v>0</v>
      </c>
      <c r="AS372" s="24">
        <f t="shared" si="113"/>
        <v>0</v>
      </c>
    </row>
    <row r="373" spans="1:45" x14ac:dyDescent="0.25">
      <c r="A373" s="83"/>
      <c r="B373" s="83"/>
      <c r="C373" s="83"/>
      <c r="D373" s="15"/>
      <c r="E373" s="15"/>
      <c r="F373" s="83"/>
      <c r="G373" s="83"/>
      <c r="H373" s="16"/>
      <c r="I373" s="83"/>
      <c r="J373" s="83"/>
      <c r="K373" s="16"/>
      <c r="L373" s="15"/>
      <c r="M373" s="20"/>
      <c r="N373" s="15"/>
      <c r="O373" s="20"/>
      <c r="P373" s="15"/>
      <c r="Q373" s="15"/>
      <c r="R373" s="17" t="str">
        <f>IF(Q373="","",VLOOKUP(Q373,'References (2)'!C:D,2,0))</f>
        <v/>
      </c>
      <c r="S373" s="17" t="str">
        <f>IF(Q373="","",VLOOKUP(Q373,'References (2)'!C:F,4,0))</f>
        <v/>
      </c>
      <c r="T373" s="16"/>
      <c r="U373" s="20"/>
      <c r="V373" s="15"/>
      <c r="W373" s="22"/>
      <c r="X373" s="16"/>
      <c r="Y373" s="22"/>
      <c r="Z373" s="25" t="str">
        <f t="shared" si="95"/>
        <v/>
      </c>
      <c r="AA373" s="17" t="str">
        <f t="shared" ca="1" si="96"/>
        <v/>
      </c>
      <c r="AB373" s="17" t="str">
        <f t="shared" ca="1" si="97"/>
        <v/>
      </c>
      <c r="AC373" s="17" t="str">
        <f t="shared" ca="1" si="98"/>
        <v/>
      </c>
      <c r="AD373" s="17" t="str">
        <f t="shared" ca="1" si="99"/>
        <v/>
      </c>
      <c r="AE373" s="17" t="str">
        <f t="shared" si="100"/>
        <v/>
      </c>
      <c r="AF373" s="17" t="str">
        <f t="shared" si="101"/>
        <v/>
      </c>
      <c r="AG373" s="17" t="str">
        <f t="shared" si="102"/>
        <v/>
      </c>
      <c r="AH373" s="17">
        <f t="shared" si="103"/>
        <v>0</v>
      </c>
      <c r="AI373" s="17" t="str">
        <f t="shared" ca="1" si="104"/>
        <v/>
      </c>
      <c r="AJ373" s="17" t="str">
        <f t="shared" ca="1" si="105"/>
        <v/>
      </c>
      <c r="AK373" s="17" t="str">
        <f t="shared" si="106"/>
        <v/>
      </c>
      <c r="AL373" s="17" t="str">
        <f t="shared" ca="1" si="107"/>
        <v/>
      </c>
      <c r="AN373" s="24">
        <f t="shared" si="108"/>
        <v>0</v>
      </c>
      <c r="AO373" s="24">
        <f t="shared" si="109"/>
        <v>0</v>
      </c>
      <c r="AP373" s="24">
        <f t="shared" si="110"/>
        <v>0</v>
      </c>
      <c r="AQ373" s="24">
        <f t="shared" si="111"/>
        <v>0</v>
      </c>
      <c r="AR373" s="24">
        <f t="shared" si="112"/>
        <v>0</v>
      </c>
      <c r="AS373" s="24">
        <f t="shared" si="113"/>
        <v>0</v>
      </c>
    </row>
    <row r="374" spans="1:45" x14ac:dyDescent="0.25">
      <c r="A374" s="83"/>
      <c r="B374" s="83"/>
      <c r="C374" s="83"/>
      <c r="D374" s="15"/>
      <c r="E374" s="15"/>
      <c r="F374" s="83"/>
      <c r="G374" s="83"/>
      <c r="H374" s="16"/>
      <c r="I374" s="83"/>
      <c r="J374" s="83"/>
      <c r="K374" s="16"/>
      <c r="L374" s="15"/>
      <c r="M374" s="20"/>
      <c r="N374" s="15"/>
      <c r="O374" s="20"/>
      <c r="P374" s="15"/>
      <c r="Q374" s="15"/>
      <c r="R374" s="17" t="str">
        <f>IF(Q374="","",VLOOKUP(Q374,'References (2)'!C:D,2,0))</f>
        <v/>
      </c>
      <c r="S374" s="17" t="str">
        <f>IF(Q374="","",VLOOKUP(Q374,'References (2)'!C:F,4,0))</f>
        <v/>
      </c>
      <c r="T374" s="16"/>
      <c r="U374" s="20"/>
      <c r="V374" s="15"/>
      <c r="W374" s="22"/>
      <c r="X374" s="16"/>
      <c r="Y374" s="22"/>
      <c r="Z374" s="25" t="str">
        <f t="shared" si="95"/>
        <v/>
      </c>
      <c r="AA374" s="17" t="str">
        <f t="shared" ca="1" si="96"/>
        <v/>
      </c>
      <c r="AB374" s="17" t="str">
        <f t="shared" ca="1" si="97"/>
        <v/>
      </c>
      <c r="AC374" s="17" t="str">
        <f t="shared" ca="1" si="98"/>
        <v/>
      </c>
      <c r="AD374" s="17" t="str">
        <f t="shared" ca="1" si="99"/>
        <v/>
      </c>
      <c r="AE374" s="17" t="str">
        <f t="shared" si="100"/>
        <v/>
      </c>
      <c r="AF374" s="17" t="str">
        <f t="shared" si="101"/>
        <v/>
      </c>
      <c r="AG374" s="17" t="str">
        <f t="shared" si="102"/>
        <v/>
      </c>
      <c r="AH374" s="17">
        <f t="shared" si="103"/>
        <v>0</v>
      </c>
      <c r="AI374" s="17" t="str">
        <f t="shared" ca="1" si="104"/>
        <v/>
      </c>
      <c r="AJ374" s="17" t="str">
        <f t="shared" ca="1" si="105"/>
        <v/>
      </c>
      <c r="AK374" s="17" t="str">
        <f t="shared" si="106"/>
        <v/>
      </c>
      <c r="AL374" s="17" t="str">
        <f t="shared" ca="1" si="107"/>
        <v/>
      </c>
      <c r="AN374" s="24">
        <f t="shared" si="108"/>
        <v>0</v>
      </c>
      <c r="AO374" s="24">
        <f t="shared" si="109"/>
        <v>0</v>
      </c>
      <c r="AP374" s="24">
        <f t="shared" si="110"/>
        <v>0</v>
      </c>
      <c r="AQ374" s="24">
        <f t="shared" si="111"/>
        <v>0</v>
      </c>
      <c r="AR374" s="24">
        <f t="shared" si="112"/>
        <v>0</v>
      </c>
      <c r="AS374" s="24">
        <f t="shared" si="113"/>
        <v>0</v>
      </c>
    </row>
    <row r="375" spans="1:45" x14ac:dyDescent="0.25">
      <c r="A375" s="83"/>
      <c r="B375" s="83"/>
      <c r="C375" s="83"/>
      <c r="D375" s="15"/>
      <c r="E375" s="15"/>
      <c r="F375" s="83"/>
      <c r="G375" s="83"/>
      <c r="H375" s="16"/>
      <c r="I375" s="83"/>
      <c r="J375" s="83"/>
      <c r="K375" s="16"/>
      <c r="L375" s="15"/>
      <c r="M375" s="20"/>
      <c r="N375" s="15"/>
      <c r="O375" s="20"/>
      <c r="P375" s="15"/>
      <c r="Q375" s="15"/>
      <c r="R375" s="17" t="str">
        <f>IF(Q375="","",VLOOKUP(Q375,'References (2)'!C:D,2,0))</f>
        <v/>
      </c>
      <c r="S375" s="17" t="str">
        <f>IF(Q375="","",VLOOKUP(Q375,'References (2)'!C:F,4,0))</f>
        <v/>
      </c>
      <c r="T375" s="16"/>
      <c r="U375" s="20"/>
      <c r="V375" s="15"/>
      <c r="W375" s="22"/>
      <c r="X375" s="16"/>
      <c r="Y375" s="22"/>
      <c r="Z375" s="25" t="str">
        <f t="shared" si="95"/>
        <v/>
      </c>
      <c r="AA375" s="17" t="str">
        <f t="shared" ca="1" si="96"/>
        <v/>
      </c>
      <c r="AB375" s="17" t="str">
        <f t="shared" ca="1" si="97"/>
        <v/>
      </c>
      <c r="AC375" s="17" t="str">
        <f t="shared" ca="1" si="98"/>
        <v/>
      </c>
      <c r="AD375" s="17" t="str">
        <f t="shared" ca="1" si="99"/>
        <v/>
      </c>
      <c r="AE375" s="17" t="str">
        <f t="shared" si="100"/>
        <v/>
      </c>
      <c r="AF375" s="17" t="str">
        <f t="shared" si="101"/>
        <v/>
      </c>
      <c r="AG375" s="17" t="str">
        <f t="shared" si="102"/>
        <v/>
      </c>
      <c r="AH375" s="17">
        <f t="shared" si="103"/>
        <v>0</v>
      </c>
      <c r="AI375" s="17" t="str">
        <f t="shared" ca="1" si="104"/>
        <v/>
      </c>
      <c r="AJ375" s="17" t="str">
        <f t="shared" ca="1" si="105"/>
        <v/>
      </c>
      <c r="AK375" s="17" t="str">
        <f t="shared" si="106"/>
        <v/>
      </c>
      <c r="AL375" s="17" t="str">
        <f t="shared" ca="1" si="107"/>
        <v/>
      </c>
      <c r="AN375" s="24">
        <f t="shared" si="108"/>
        <v>0</v>
      </c>
      <c r="AO375" s="24">
        <f t="shared" si="109"/>
        <v>0</v>
      </c>
      <c r="AP375" s="24">
        <f t="shared" si="110"/>
        <v>0</v>
      </c>
      <c r="AQ375" s="24">
        <f t="shared" si="111"/>
        <v>0</v>
      </c>
      <c r="AR375" s="24">
        <f t="shared" si="112"/>
        <v>0</v>
      </c>
      <c r="AS375" s="24">
        <f t="shared" si="113"/>
        <v>0</v>
      </c>
    </row>
    <row r="376" spans="1:45" x14ac:dyDescent="0.25">
      <c r="A376" s="83"/>
      <c r="B376" s="83"/>
      <c r="C376" s="83"/>
      <c r="D376" s="15"/>
      <c r="E376" s="15"/>
      <c r="F376" s="83"/>
      <c r="G376" s="83"/>
      <c r="H376" s="16"/>
      <c r="I376" s="83"/>
      <c r="J376" s="83"/>
      <c r="K376" s="16"/>
      <c r="L376" s="15"/>
      <c r="M376" s="20"/>
      <c r="N376" s="15"/>
      <c r="O376" s="20"/>
      <c r="P376" s="15"/>
      <c r="Q376" s="15"/>
      <c r="R376" s="17" t="str">
        <f>IF(Q376="","",VLOOKUP(Q376,'References (2)'!C:D,2,0))</f>
        <v/>
      </c>
      <c r="S376" s="17" t="str">
        <f>IF(Q376="","",VLOOKUP(Q376,'References (2)'!C:F,4,0))</f>
        <v/>
      </c>
      <c r="T376" s="16"/>
      <c r="U376" s="20"/>
      <c r="V376" s="15"/>
      <c r="W376" s="22"/>
      <c r="X376" s="16"/>
      <c r="Y376" s="22"/>
      <c r="Z376" s="25" t="str">
        <f t="shared" si="95"/>
        <v/>
      </c>
      <c r="AA376" s="17" t="str">
        <f t="shared" ca="1" si="96"/>
        <v/>
      </c>
      <c r="AB376" s="17" t="str">
        <f t="shared" ca="1" si="97"/>
        <v/>
      </c>
      <c r="AC376" s="17" t="str">
        <f t="shared" ca="1" si="98"/>
        <v/>
      </c>
      <c r="AD376" s="17" t="str">
        <f t="shared" ca="1" si="99"/>
        <v/>
      </c>
      <c r="AE376" s="17" t="str">
        <f t="shared" si="100"/>
        <v/>
      </c>
      <c r="AF376" s="17" t="str">
        <f t="shared" si="101"/>
        <v/>
      </c>
      <c r="AG376" s="17" t="str">
        <f t="shared" si="102"/>
        <v/>
      </c>
      <c r="AH376" s="17">
        <f t="shared" si="103"/>
        <v>0</v>
      </c>
      <c r="AI376" s="17" t="str">
        <f t="shared" ca="1" si="104"/>
        <v/>
      </c>
      <c r="AJ376" s="17" t="str">
        <f t="shared" ca="1" si="105"/>
        <v/>
      </c>
      <c r="AK376" s="17" t="str">
        <f t="shared" si="106"/>
        <v/>
      </c>
      <c r="AL376" s="17" t="str">
        <f t="shared" ca="1" si="107"/>
        <v/>
      </c>
      <c r="AN376" s="24">
        <f t="shared" si="108"/>
        <v>0</v>
      </c>
      <c r="AO376" s="24">
        <f t="shared" si="109"/>
        <v>0</v>
      </c>
      <c r="AP376" s="24">
        <f t="shared" si="110"/>
        <v>0</v>
      </c>
      <c r="AQ376" s="24">
        <f t="shared" si="111"/>
        <v>0</v>
      </c>
      <c r="AR376" s="24">
        <f t="shared" si="112"/>
        <v>0</v>
      </c>
      <c r="AS376" s="24">
        <f t="shared" si="113"/>
        <v>0</v>
      </c>
    </row>
    <row r="377" spans="1:45" x14ac:dyDescent="0.25">
      <c r="A377" s="83"/>
      <c r="B377" s="83"/>
      <c r="C377" s="83"/>
      <c r="D377" s="15"/>
      <c r="E377" s="15"/>
      <c r="F377" s="83"/>
      <c r="G377" s="83"/>
      <c r="H377" s="16"/>
      <c r="I377" s="83"/>
      <c r="J377" s="83"/>
      <c r="K377" s="16"/>
      <c r="L377" s="15"/>
      <c r="M377" s="20"/>
      <c r="N377" s="15"/>
      <c r="O377" s="20"/>
      <c r="P377" s="15"/>
      <c r="Q377" s="15"/>
      <c r="R377" s="17" t="str">
        <f>IF(Q377="","",VLOOKUP(Q377,'References (2)'!C:D,2,0))</f>
        <v/>
      </c>
      <c r="S377" s="17" t="str">
        <f>IF(Q377="","",VLOOKUP(Q377,'References (2)'!C:F,4,0))</f>
        <v/>
      </c>
      <c r="T377" s="16"/>
      <c r="U377" s="20"/>
      <c r="V377" s="15"/>
      <c r="W377" s="22"/>
      <c r="X377" s="16"/>
      <c r="Y377" s="22"/>
      <c r="Z377" s="25" t="str">
        <f t="shared" si="95"/>
        <v/>
      </c>
      <c r="AA377" s="17" t="str">
        <f t="shared" ca="1" si="96"/>
        <v/>
      </c>
      <c r="AB377" s="17" t="str">
        <f t="shared" ca="1" si="97"/>
        <v/>
      </c>
      <c r="AC377" s="17" t="str">
        <f t="shared" ca="1" si="98"/>
        <v/>
      </c>
      <c r="AD377" s="17" t="str">
        <f t="shared" ca="1" si="99"/>
        <v/>
      </c>
      <c r="AE377" s="17" t="str">
        <f t="shared" si="100"/>
        <v/>
      </c>
      <c r="AF377" s="17" t="str">
        <f t="shared" si="101"/>
        <v/>
      </c>
      <c r="AG377" s="17" t="str">
        <f t="shared" si="102"/>
        <v/>
      </c>
      <c r="AH377" s="17">
        <f t="shared" si="103"/>
        <v>0</v>
      </c>
      <c r="AI377" s="17" t="str">
        <f t="shared" ca="1" si="104"/>
        <v/>
      </c>
      <c r="AJ377" s="17" t="str">
        <f t="shared" ca="1" si="105"/>
        <v/>
      </c>
      <c r="AK377" s="17" t="str">
        <f t="shared" si="106"/>
        <v/>
      </c>
      <c r="AL377" s="17" t="str">
        <f t="shared" ca="1" si="107"/>
        <v/>
      </c>
      <c r="AN377" s="24">
        <f t="shared" si="108"/>
        <v>0</v>
      </c>
      <c r="AO377" s="24">
        <f t="shared" si="109"/>
        <v>0</v>
      </c>
      <c r="AP377" s="24">
        <f t="shared" si="110"/>
        <v>0</v>
      </c>
      <c r="AQ377" s="24">
        <f t="shared" si="111"/>
        <v>0</v>
      </c>
      <c r="AR377" s="24">
        <f t="shared" si="112"/>
        <v>0</v>
      </c>
      <c r="AS377" s="24">
        <f t="shared" si="113"/>
        <v>0</v>
      </c>
    </row>
    <row r="378" spans="1:45" x14ac:dyDescent="0.25">
      <c r="A378" s="83"/>
      <c r="B378" s="83"/>
      <c r="C378" s="83"/>
      <c r="D378" s="15"/>
      <c r="E378" s="15"/>
      <c r="F378" s="83"/>
      <c r="G378" s="83"/>
      <c r="H378" s="16"/>
      <c r="I378" s="83"/>
      <c r="J378" s="83"/>
      <c r="K378" s="16"/>
      <c r="L378" s="15"/>
      <c r="M378" s="20"/>
      <c r="N378" s="15"/>
      <c r="O378" s="20"/>
      <c r="P378" s="15"/>
      <c r="Q378" s="15"/>
      <c r="R378" s="17" t="str">
        <f>IF(Q378="","",VLOOKUP(Q378,'References (2)'!C:D,2,0))</f>
        <v/>
      </c>
      <c r="S378" s="17" t="str">
        <f>IF(Q378="","",VLOOKUP(Q378,'References (2)'!C:F,4,0))</f>
        <v/>
      </c>
      <c r="T378" s="16"/>
      <c r="U378" s="20"/>
      <c r="V378" s="15"/>
      <c r="W378" s="22"/>
      <c r="X378" s="16"/>
      <c r="Y378" s="22"/>
      <c r="Z378" s="25" t="str">
        <f t="shared" si="95"/>
        <v/>
      </c>
      <c r="AA378" s="17" t="str">
        <f t="shared" ca="1" si="96"/>
        <v/>
      </c>
      <c r="AB378" s="17" t="str">
        <f t="shared" ca="1" si="97"/>
        <v/>
      </c>
      <c r="AC378" s="17" t="str">
        <f t="shared" ca="1" si="98"/>
        <v/>
      </c>
      <c r="AD378" s="17" t="str">
        <f t="shared" ca="1" si="99"/>
        <v/>
      </c>
      <c r="AE378" s="17" t="str">
        <f t="shared" si="100"/>
        <v/>
      </c>
      <c r="AF378" s="17" t="str">
        <f t="shared" si="101"/>
        <v/>
      </c>
      <c r="AG378" s="17" t="str">
        <f t="shared" si="102"/>
        <v/>
      </c>
      <c r="AH378" s="17">
        <f t="shared" si="103"/>
        <v>0</v>
      </c>
      <c r="AI378" s="17" t="str">
        <f t="shared" ca="1" si="104"/>
        <v/>
      </c>
      <c r="AJ378" s="17" t="str">
        <f t="shared" ca="1" si="105"/>
        <v/>
      </c>
      <c r="AK378" s="17" t="str">
        <f t="shared" si="106"/>
        <v/>
      </c>
      <c r="AL378" s="17" t="str">
        <f t="shared" ca="1" si="107"/>
        <v/>
      </c>
      <c r="AN378" s="24">
        <f t="shared" si="108"/>
        <v>0</v>
      </c>
      <c r="AO378" s="24">
        <f t="shared" si="109"/>
        <v>0</v>
      </c>
      <c r="AP378" s="24">
        <f t="shared" si="110"/>
        <v>0</v>
      </c>
      <c r="AQ378" s="24">
        <f t="shared" si="111"/>
        <v>0</v>
      </c>
      <c r="AR378" s="24">
        <f t="shared" si="112"/>
        <v>0</v>
      </c>
      <c r="AS378" s="24">
        <f t="shared" si="113"/>
        <v>0</v>
      </c>
    </row>
    <row r="379" spans="1:45" x14ac:dyDescent="0.25">
      <c r="A379" s="83"/>
      <c r="B379" s="83"/>
      <c r="C379" s="83"/>
      <c r="D379" s="15"/>
      <c r="E379" s="15"/>
      <c r="F379" s="83"/>
      <c r="G379" s="83"/>
      <c r="H379" s="16"/>
      <c r="I379" s="83"/>
      <c r="J379" s="83"/>
      <c r="K379" s="16"/>
      <c r="L379" s="15"/>
      <c r="M379" s="20"/>
      <c r="N379" s="15"/>
      <c r="O379" s="20"/>
      <c r="P379" s="15"/>
      <c r="Q379" s="15"/>
      <c r="R379" s="17" t="str">
        <f>IF(Q379="","",VLOOKUP(Q379,'References (2)'!C:D,2,0))</f>
        <v/>
      </c>
      <c r="S379" s="17" t="str">
        <f>IF(Q379="","",VLOOKUP(Q379,'References (2)'!C:F,4,0))</f>
        <v/>
      </c>
      <c r="T379" s="16"/>
      <c r="U379" s="20"/>
      <c r="V379" s="15"/>
      <c r="W379" s="22"/>
      <c r="X379" s="16"/>
      <c r="Y379" s="22"/>
      <c r="Z379" s="25" t="str">
        <f t="shared" si="95"/>
        <v/>
      </c>
      <c r="AA379" s="17" t="str">
        <f t="shared" ca="1" si="96"/>
        <v/>
      </c>
      <c r="AB379" s="17" t="str">
        <f t="shared" ca="1" si="97"/>
        <v/>
      </c>
      <c r="AC379" s="17" t="str">
        <f t="shared" ca="1" si="98"/>
        <v/>
      </c>
      <c r="AD379" s="17" t="str">
        <f t="shared" ca="1" si="99"/>
        <v/>
      </c>
      <c r="AE379" s="17" t="str">
        <f t="shared" si="100"/>
        <v/>
      </c>
      <c r="AF379" s="17" t="str">
        <f t="shared" si="101"/>
        <v/>
      </c>
      <c r="AG379" s="17" t="str">
        <f t="shared" si="102"/>
        <v/>
      </c>
      <c r="AH379" s="17">
        <f t="shared" si="103"/>
        <v>0</v>
      </c>
      <c r="AI379" s="17" t="str">
        <f t="shared" ca="1" si="104"/>
        <v/>
      </c>
      <c r="AJ379" s="17" t="str">
        <f t="shared" ca="1" si="105"/>
        <v/>
      </c>
      <c r="AK379" s="17" t="str">
        <f t="shared" si="106"/>
        <v/>
      </c>
      <c r="AL379" s="17" t="str">
        <f t="shared" ca="1" si="107"/>
        <v/>
      </c>
      <c r="AN379" s="24">
        <f t="shared" si="108"/>
        <v>0</v>
      </c>
      <c r="AO379" s="24">
        <f t="shared" si="109"/>
        <v>0</v>
      </c>
      <c r="AP379" s="24">
        <f t="shared" si="110"/>
        <v>0</v>
      </c>
      <c r="AQ379" s="24">
        <f t="shared" si="111"/>
        <v>0</v>
      </c>
      <c r="AR379" s="24">
        <f t="shared" si="112"/>
        <v>0</v>
      </c>
      <c r="AS379" s="24">
        <f t="shared" si="113"/>
        <v>0</v>
      </c>
    </row>
    <row r="380" spans="1:45" x14ac:dyDescent="0.25">
      <c r="A380" s="83"/>
      <c r="B380" s="83"/>
      <c r="C380" s="83"/>
      <c r="D380" s="15"/>
      <c r="E380" s="15"/>
      <c r="F380" s="83"/>
      <c r="G380" s="83"/>
      <c r="H380" s="16"/>
      <c r="I380" s="83"/>
      <c r="J380" s="83"/>
      <c r="K380" s="16"/>
      <c r="L380" s="15"/>
      <c r="M380" s="20"/>
      <c r="N380" s="15"/>
      <c r="O380" s="20"/>
      <c r="P380" s="15"/>
      <c r="Q380" s="15"/>
      <c r="R380" s="17" t="str">
        <f>IF(Q380="","",VLOOKUP(Q380,'References (2)'!C:D,2,0))</f>
        <v/>
      </c>
      <c r="S380" s="17" t="str">
        <f>IF(Q380="","",VLOOKUP(Q380,'References (2)'!C:F,4,0))</f>
        <v/>
      </c>
      <c r="T380" s="16"/>
      <c r="U380" s="20"/>
      <c r="V380" s="15"/>
      <c r="W380" s="22"/>
      <c r="X380" s="16"/>
      <c r="Y380" s="22"/>
      <c r="Z380" s="25" t="str">
        <f t="shared" si="95"/>
        <v/>
      </c>
      <c r="AA380" s="17" t="str">
        <f t="shared" ca="1" si="96"/>
        <v/>
      </c>
      <c r="AB380" s="17" t="str">
        <f t="shared" ca="1" si="97"/>
        <v/>
      </c>
      <c r="AC380" s="17" t="str">
        <f t="shared" ca="1" si="98"/>
        <v/>
      </c>
      <c r="AD380" s="17" t="str">
        <f t="shared" ca="1" si="99"/>
        <v/>
      </c>
      <c r="AE380" s="17" t="str">
        <f t="shared" si="100"/>
        <v/>
      </c>
      <c r="AF380" s="17" t="str">
        <f t="shared" si="101"/>
        <v/>
      </c>
      <c r="AG380" s="17" t="str">
        <f t="shared" si="102"/>
        <v/>
      </c>
      <c r="AH380" s="17">
        <f t="shared" si="103"/>
        <v>0</v>
      </c>
      <c r="AI380" s="17" t="str">
        <f t="shared" ca="1" si="104"/>
        <v/>
      </c>
      <c r="AJ380" s="17" t="str">
        <f t="shared" ca="1" si="105"/>
        <v/>
      </c>
      <c r="AK380" s="17" t="str">
        <f t="shared" si="106"/>
        <v/>
      </c>
      <c r="AL380" s="17" t="str">
        <f t="shared" ca="1" si="107"/>
        <v/>
      </c>
      <c r="AN380" s="24">
        <f t="shared" si="108"/>
        <v>0</v>
      </c>
      <c r="AO380" s="24">
        <f t="shared" si="109"/>
        <v>0</v>
      </c>
      <c r="AP380" s="24">
        <f t="shared" si="110"/>
        <v>0</v>
      </c>
      <c r="AQ380" s="24">
        <f t="shared" si="111"/>
        <v>0</v>
      </c>
      <c r="AR380" s="24">
        <f t="shared" si="112"/>
        <v>0</v>
      </c>
      <c r="AS380" s="24">
        <f t="shared" si="113"/>
        <v>0</v>
      </c>
    </row>
    <row r="381" spans="1:45" x14ac:dyDescent="0.25">
      <c r="A381" s="83"/>
      <c r="B381" s="83"/>
      <c r="C381" s="83"/>
      <c r="D381" s="15"/>
      <c r="E381" s="15"/>
      <c r="F381" s="83"/>
      <c r="G381" s="83"/>
      <c r="H381" s="16"/>
      <c r="I381" s="83"/>
      <c r="J381" s="83"/>
      <c r="K381" s="16"/>
      <c r="L381" s="15"/>
      <c r="M381" s="20"/>
      <c r="N381" s="15"/>
      <c r="O381" s="20"/>
      <c r="P381" s="15"/>
      <c r="Q381" s="15"/>
      <c r="R381" s="17" t="str">
        <f>IF(Q381="","",VLOOKUP(Q381,'References (2)'!C:D,2,0))</f>
        <v/>
      </c>
      <c r="S381" s="17" t="str">
        <f>IF(Q381="","",VLOOKUP(Q381,'References (2)'!C:F,4,0))</f>
        <v/>
      </c>
      <c r="T381" s="16"/>
      <c r="U381" s="20"/>
      <c r="V381" s="15"/>
      <c r="W381" s="22"/>
      <c r="X381" s="16"/>
      <c r="Y381" s="22"/>
      <c r="Z381" s="25" t="str">
        <f t="shared" si="95"/>
        <v/>
      </c>
      <c r="AA381" s="17" t="str">
        <f t="shared" ca="1" si="96"/>
        <v/>
      </c>
      <c r="AB381" s="17" t="str">
        <f t="shared" ca="1" si="97"/>
        <v/>
      </c>
      <c r="AC381" s="17" t="str">
        <f t="shared" ca="1" si="98"/>
        <v/>
      </c>
      <c r="AD381" s="17" t="str">
        <f t="shared" ca="1" si="99"/>
        <v/>
      </c>
      <c r="AE381" s="17" t="str">
        <f t="shared" si="100"/>
        <v/>
      </c>
      <c r="AF381" s="17" t="str">
        <f t="shared" si="101"/>
        <v/>
      </c>
      <c r="AG381" s="17" t="str">
        <f t="shared" si="102"/>
        <v/>
      </c>
      <c r="AH381" s="17">
        <f t="shared" si="103"/>
        <v>0</v>
      </c>
      <c r="AI381" s="17" t="str">
        <f t="shared" ca="1" si="104"/>
        <v/>
      </c>
      <c r="AJ381" s="17" t="str">
        <f t="shared" ca="1" si="105"/>
        <v/>
      </c>
      <c r="AK381" s="17" t="str">
        <f t="shared" si="106"/>
        <v/>
      </c>
      <c r="AL381" s="17" t="str">
        <f t="shared" ca="1" si="107"/>
        <v/>
      </c>
      <c r="AN381" s="24">
        <f t="shared" si="108"/>
        <v>0</v>
      </c>
      <c r="AO381" s="24">
        <f t="shared" si="109"/>
        <v>0</v>
      </c>
      <c r="AP381" s="24">
        <f t="shared" si="110"/>
        <v>0</v>
      </c>
      <c r="AQ381" s="24">
        <f t="shared" si="111"/>
        <v>0</v>
      </c>
      <c r="AR381" s="24">
        <f t="shared" si="112"/>
        <v>0</v>
      </c>
      <c r="AS381" s="24">
        <f t="shared" si="113"/>
        <v>0</v>
      </c>
    </row>
    <row r="382" spans="1:45" x14ac:dyDescent="0.25">
      <c r="A382" s="83"/>
      <c r="B382" s="83"/>
      <c r="C382" s="83"/>
      <c r="D382" s="15"/>
      <c r="E382" s="15"/>
      <c r="F382" s="83"/>
      <c r="G382" s="83"/>
      <c r="H382" s="16"/>
      <c r="I382" s="83"/>
      <c r="J382" s="83"/>
      <c r="K382" s="16"/>
      <c r="L382" s="15"/>
      <c r="M382" s="20"/>
      <c r="N382" s="15"/>
      <c r="O382" s="20"/>
      <c r="P382" s="15"/>
      <c r="Q382" s="15"/>
      <c r="R382" s="17" t="str">
        <f>IF(Q382="","",VLOOKUP(Q382,'References (2)'!C:D,2,0))</f>
        <v/>
      </c>
      <c r="S382" s="17" t="str">
        <f>IF(Q382="","",VLOOKUP(Q382,'References (2)'!C:F,4,0))</f>
        <v/>
      </c>
      <c r="T382" s="16"/>
      <c r="U382" s="20"/>
      <c r="V382" s="15"/>
      <c r="W382" s="22"/>
      <c r="X382" s="16"/>
      <c r="Y382" s="22"/>
      <c r="Z382" s="25" t="str">
        <f t="shared" si="95"/>
        <v/>
      </c>
      <c r="AA382" s="17" t="str">
        <f t="shared" ca="1" si="96"/>
        <v/>
      </c>
      <c r="AB382" s="17" t="str">
        <f t="shared" ca="1" si="97"/>
        <v/>
      </c>
      <c r="AC382" s="17" t="str">
        <f t="shared" ca="1" si="98"/>
        <v/>
      </c>
      <c r="AD382" s="17" t="str">
        <f t="shared" ca="1" si="99"/>
        <v/>
      </c>
      <c r="AE382" s="17" t="str">
        <f t="shared" si="100"/>
        <v/>
      </c>
      <c r="AF382" s="17" t="str">
        <f t="shared" si="101"/>
        <v/>
      </c>
      <c r="AG382" s="17" t="str">
        <f t="shared" si="102"/>
        <v/>
      </c>
      <c r="AH382" s="17">
        <f t="shared" si="103"/>
        <v>0</v>
      </c>
      <c r="AI382" s="17" t="str">
        <f t="shared" ca="1" si="104"/>
        <v/>
      </c>
      <c r="AJ382" s="17" t="str">
        <f t="shared" ca="1" si="105"/>
        <v/>
      </c>
      <c r="AK382" s="17" t="str">
        <f t="shared" si="106"/>
        <v/>
      </c>
      <c r="AL382" s="17" t="str">
        <f t="shared" ca="1" si="107"/>
        <v/>
      </c>
      <c r="AN382" s="24">
        <f t="shared" si="108"/>
        <v>0</v>
      </c>
      <c r="AO382" s="24">
        <f t="shared" si="109"/>
        <v>0</v>
      </c>
      <c r="AP382" s="24">
        <f t="shared" si="110"/>
        <v>0</v>
      </c>
      <c r="AQ382" s="24">
        <f t="shared" si="111"/>
        <v>0</v>
      </c>
      <c r="AR382" s="24">
        <f t="shared" si="112"/>
        <v>0</v>
      </c>
      <c r="AS382" s="24">
        <f t="shared" si="113"/>
        <v>0</v>
      </c>
    </row>
    <row r="383" spans="1:45" x14ac:dyDescent="0.25">
      <c r="A383" s="83"/>
      <c r="B383" s="83"/>
      <c r="C383" s="83"/>
      <c r="D383" s="15"/>
      <c r="E383" s="15"/>
      <c r="F383" s="83"/>
      <c r="G383" s="83"/>
      <c r="H383" s="16"/>
      <c r="I383" s="83"/>
      <c r="J383" s="83"/>
      <c r="K383" s="16"/>
      <c r="L383" s="15"/>
      <c r="M383" s="20"/>
      <c r="N383" s="15"/>
      <c r="O383" s="20"/>
      <c r="P383" s="15"/>
      <c r="Q383" s="15"/>
      <c r="R383" s="17" t="str">
        <f>IF(Q383="","",VLOOKUP(Q383,'References (2)'!C:D,2,0))</f>
        <v/>
      </c>
      <c r="S383" s="17" t="str">
        <f>IF(Q383="","",VLOOKUP(Q383,'References (2)'!C:F,4,0))</f>
        <v/>
      </c>
      <c r="T383" s="16"/>
      <c r="U383" s="20"/>
      <c r="V383" s="15"/>
      <c r="W383" s="22"/>
      <c r="X383" s="16"/>
      <c r="Y383" s="22"/>
      <c r="Z383" s="25" t="str">
        <f t="shared" si="95"/>
        <v/>
      </c>
      <c r="AA383" s="17" t="str">
        <f t="shared" ca="1" si="96"/>
        <v/>
      </c>
      <c r="AB383" s="17" t="str">
        <f t="shared" ca="1" si="97"/>
        <v/>
      </c>
      <c r="AC383" s="17" t="str">
        <f t="shared" ca="1" si="98"/>
        <v/>
      </c>
      <c r="AD383" s="17" t="str">
        <f t="shared" ca="1" si="99"/>
        <v/>
      </c>
      <c r="AE383" s="17" t="str">
        <f t="shared" si="100"/>
        <v/>
      </c>
      <c r="AF383" s="17" t="str">
        <f t="shared" si="101"/>
        <v/>
      </c>
      <c r="AG383" s="17" t="str">
        <f t="shared" si="102"/>
        <v/>
      </c>
      <c r="AH383" s="17">
        <f t="shared" si="103"/>
        <v>0</v>
      </c>
      <c r="AI383" s="17" t="str">
        <f t="shared" ca="1" si="104"/>
        <v/>
      </c>
      <c r="AJ383" s="17" t="str">
        <f t="shared" ca="1" si="105"/>
        <v/>
      </c>
      <c r="AK383" s="17" t="str">
        <f t="shared" si="106"/>
        <v/>
      </c>
      <c r="AL383" s="17" t="str">
        <f t="shared" ca="1" si="107"/>
        <v/>
      </c>
      <c r="AN383" s="24">
        <f t="shared" si="108"/>
        <v>0</v>
      </c>
      <c r="AO383" s="24">
        <f t="shared" si="109"/>
        <v>0</v>
      </c>
      <c r="AP383" s="24">
        <f t="shared" si="110"/>
        <v>0</v>
      </c>
      <c r="AQ383" s="24">
        <f t="shared" si="111"/>
        <v>0</v>
      </c>
      <c r="AR383" s="24">
        <f t="shared" si="112"/>
        <v>0</v>
      </c>
      <c r="AS383" s="24">
        <f t="shared" si="113"/>
        <v>0</v>
      </c>
    </row>
    <row r="384" spans="1:45" x14ac:dyDescent="0.25">
      <c r="A384" s="83"/>
      <c r="B384" s="83"/>
      <c r="C384" s="83"/>
      <c r="D384" s="15"/>
      <c r="E384" s="15"/>
      <c r="F384" s="83"/>
      <c r="G384" s="83"/>
      <c r="H384" s="16"/>
      <c r="I384" s="83"/>
      <c r="J384" s="83"/>
      <c r="K384" s="16"/>
      <c r="L384" s="15"/>
      <c r="M384" s="20"/>
      <c r="N384" s="15"/>
      <c r="O384" s="20"/>
      <c r="P384" s="15"/>
      <c r="Q384" s="15"/>
      <c r="R384" s="17" t="str">
        <f>IF(Q384="","",VLOOKUP(Q384,'References (2)'!C:D,2,0))</f>
        <v/>
      </c>
      <c r="S384" s="17" t="str">
        <f>IF(Q384="","",VLOOKUP(Q384,'References (2)'!C:F,4,0))</f>
        <v/>
      </c>
      <c r="T384" s="16"/>
      <c r="U384" s="20"/>
      <c r="V384" s="15"/>
      <c r="W384" s="22"/>
      <c r="X384" s="16"/>
      <c r="Y384" s="22"/>
      <c r="Z384" s="25" t="str">
        <f t="shared" si="95"/>
        <v/>
      </c>
      <c r="AA384" s="17" t="str">
        <f t="shared" ca="1" si="96"/>
        <v/>
      </c>
      <c r="AB384" s="17" t="str">
        <f t="shared" ca="1" si="97"/>
        <v/>
      </c>
      <c r="AC384" s="17" t="str">
        <f t="shared" ca="1" si="98"/>
        <v/>
      </c>
      <c r="AD384" s="17" t="str">
        <f t="shared" ca="1" si="99"/>
        <v/>
      </c>
      <c r="AE384" s="17" t="str">
        <f t="shared" si="100"/>
        <v/>
      </c>
      <c r="AF384" s="17" t="str">
        <f t="shared" si="101"/>
        <v/>
      </c>
      <c r="AG384" s="17" t="str">
        <f t="shared" si="102"/>
        <v/>
      </c>
      <c r="AH384" s="17">
        <f t="shared" si="103"/>
        <v>0</v>
      </c>
      <c r="AI384" s="17" t="str">
        <f t="shared" ca="1" si="104"/>
        <v/>
      </c>
      <c r="AJ384" s="17" t="str">
        <f t="shared" ca="1" si="105"/>
        <v/>
      </c>
      <c r="AK384" s="17" t="str">
        <f t="shared" si="106"/>
        <v/>
      </c>
      <c r="AL384" s="17" t="str">
        <f t="shared" ca="1" si="107"/>
        <v/>
      </c>
      <c r="AN384" s="24">
        <f t="shared" si="108"/>
        <v>0</v>
      </c>
      <c r="AO384" s="24">
        <f t="shared" si="109"/>
        <v>0</v>
      </c>
      <c r="AP384" s="24">
        <f t="shared" si="110"/>
        <v>0</v>
      </c>
      <c r="AQ384" s="24">
        <f t="shared" si="111"/>
        <v>0</v>
      </c>
      <c r="AR384" s="24">
        <f t="shared" si="112"/>
        <v>0</v>
      </c>
      <c r="AS384" s="24">
        <f t="shared" si="113"/>
        <v>0</v>
      </c>
    </row>
    <row r="385" spans="1:45" x14ac:dyDescent="0.25">
      <c r="A385" s="83"/>
      <c r="B385" s="83"/>
      <c r="C385" s="83"/>
      <c r="D385" s="15"/>
      <c r="E385" s="15"/>
      <c r="F385" s="83"/>
      <c r="G385" s="83"/>
      <c r="H385" s="16"/>
      <c r="I385" s="83"/>
      <c r="J385" s="83"/>
      <c r="K385" s="16"/>
      <c r="L385" s="15"/>
      <c r="M385" s="20"/>
      <c r="N385" s="15"/>
      <c r="O385" s="20"/>
      <c r="P385" s="15"/>
      <c r="Q385" s="15"/>
      <c r="R385" s="17" t="str">
        <f>IF(Q385="","",VLOOKUP(Q385,'References (2)'!C:D,2,0))</f>
        <v/>
      </c>
      <c r="S385" s="17" t="str">
        <f>IF(Q385="","",VLOOKUP(Q385,'References (2)'!C:F,4,0))</f>
        <v/>
      </c>
      <c r="T385" s="16"/>
      <c r="U385" s="20"/>
      <c r="V385" s="15"/>
      <c r="W385" s="22"/>
      <c r="X385" s="16"/>
      <c r="Y385" s="22"/>
      <c r="Z385" s="25" t="str">
        <f t="shared" si="95"/>
        <v/>
      </c>
      <c r="AA385" s="17" t="str">
        <f t="shared" ca="1" si="96"/>
        <v/>
      </c>
      <c r="AB385" s="17" t="str">
        <f t="shared" ca="1" si="97"/>
        <v/>
      </c>
      <c r="AC385" s="17" t="str">
        <f t="shared" ca="1" si="98"/>
        <v/>
      </c>
      <c r="AD385" s="17" t="str">
        <f t="shared" ca="1" si="99"/>
        <v/>
      </c>
      <c r="AE385" s="17" t="str">
        <f t="shared" si="100"/>
        <v/>
      </c>
      <c r="AF385" s="17" t="str">
        <f t="shared" si="101"/>
        <v/>
      </c>
      <c r="AG385" s="17" t="str">
        <f t="shared" si="102"/>
        <v/>
      </c>
      <c r="AH385" s="17">
        <f t="shared" si="103"/>
        <v>0</v>
      </c>
      <c r="AI385" s="17" t="str">
        <f t="shared" ca="1" si="104"/>
        <v/>
      </c>
      <c r="AJ385" s="17" t="str">
        <f t="shared" ca="1" si="105"/>
        <v/>
      </c>
      <c r="AK385" s="17" t="str">
        <f t="shared" si="106"/>
        <v/>
      </c>
      <c r="AL385" s="17" t="str">
        <f t="shared" ca="1" si="107"/>
        <v/>
      </c>
      <c r="AN385" s="24">
        <f t="shared" si="108"/>
        <v>0</v>
      </c>
      <c r="AO385" s="24">
        <f t="shared" si="109"/>
        <v>0</v>
      </c>
      <c r="AP385" s="24">
        <f t="shared" si="110"/>
        <v>0</v>
      </c>
      <c r="AQ385" s="24">
        <f t="shared" si="111"/>
        <v>0</v>
      </c>
      <c r="AR385" s="24">
        <f t="shared" si="112"/>
        <v>0</v>
      </c>
      <c r="AS385" s="24">
        <f t="shared" si="113"/>
        <v>0</v>
      </c>
    </row>
    <row r="386" spans="1:45" x14ac:dyDescent="0.25">
      <c r="A386" s="83"/>
      <c r="B386" s="83"/>
      <c r="C386" s="83"/>
      <c r="D386" s="15"/>
      <c r="E386" s="15"/>
      <c r="F386" s="83"/>
      <c r="G386" s="83"/>
      <c r="H386" s="16"/>
      <c r="I386" s="83"/>
      <c r="J386" s="83"/>
      <c r="K386" s="16"/>
      <c r="L386" s="15"/>
      <c r="M386" s="20"/>
      <c r="N386" s="15"/>
      <c r="O386" s="20"/>
      <c r="P386" s="15"/>
      <c r="Q386" s="15"/>
      <c r="R386" s="17" t="str">
        <f>IF(Q386="","",VLOOKUP(Q386,'References (2)'!C:D,2,0))</f>
        <v/>
      </c>
      <c r="S386" s="17" t="str">
        <f>IF(Q386="","",VLOOKUP(Q386,'References (2)'!C:F,4,0))</f>
        <v/>
      </c>
      <c r="T386" s="16"/>
      <c r="U386" s="20"/>
      <c r="V386" s="15"/>
      <c r="W386" s="22"/>
      <c r="X386" s="16"/>
      <c r="Y386" s="22"/>
      <c r="Z386" s="25" t="str">
        <f t="shared" si="95"/>
        <v/>
      </c>
      <c r="AA386" s="17" t="str">
        <f t="shared" ca="1" si="96"/>
        <v/>
      </c>
      <c r="AB386" s="17" t="str">
        <f t="shared" ca="1" si="97"/>
        <v/>
      </c>
      <c r="AC386" s="17" t="str">
        <f t="shared" ca="1" si="98"/>
        <v/>
      </c>
      <c r="AD386" s="17" t="str">
        <f t="shared" ca="1" si="99"/>
        <v/>
      </c>
      <c r="AE386" s="17" t="str">
        <f t="shared" si="100"/>
        <v/>
      </c>
      <c r="AF386" s="17" t="str">
        <f t="shared" si="101"/>
        <v/>
      </c>
      <c r="AG386" s="17" t="str">
        <f t="shared" si="102"/>
        <v/>
      </c>
      <c r="AH386" s="17">
        <f t="shared" si="103"/>
        <v>0</v>
      </c>
      <c r="AI386" s="17" t="str">
        <f t="shared" ca="1" si="104"/>
        <v/>
      </c>
      <c r="AJ386" s="17" t="str">
        <f t="shared" ca="1" si="105"/>
        <v/>
      </c>
      <c r="AK386" s="17" t="str">
        <f t="shared" si="106"/>
        <v/>
      </c>
      <c r="AL386" s="17" t="str">
        <f t="shared" ca="1" si="107"/>
        <v/>
      </c>
      <c r="AN386" s="24">
        <f t="shared" si="108"/>
        <v>0</v>
      </c>
      <c r="AO386" s="24">
        <f t="shared" si="109"/>
        <v>0</v>
      </c>
      <c r="AP386" s="24">
        <f t="shared" si="110"/>
        <v>0</v>
      </c>
      <c r="AQ386" s="24">
        <f t="shared" si="111"/>
        <v>0</v>
      </c>
      <c r="AR386" s="24">
        <f t="shared" si="112"/>
        <v>0</v>
      </c>
      <c r="AS386" s="24">
        <f t="shared" si="113"/>
        <v>0</v>
      </c>
    </row>
    <row r="387" spans="1:45" x14ac:dyDescent="0.25">
      <c r="A387" s="83"/>
      <c r="B387" s="83"/>
      <c r="C387" s="83"/>
      <c r="D387" s="15"/>
      <c r="E387" s="15"/>
      <c r="F387" s="83"/>
      <c r="G387" s="83"/>
      <c r="H387" s="16"/>
      <c r="I387" s="83"/>
      <c r="J387" s="83"/>
      <c r="K387" s="16"/>
      <c r="L387" s="15"/>
      <c r="M387" s="20"/>
      <c r="N387" s="15"/>
      <c r="O387" s="20"/>
      <c r="P387" s="15"/>
      <c r="Q387" s="15"/>
      <c r="R387" s="17" t="str">
        <f>IF(Q387="","",VLOOKUP(Q387,'References (2)'!C:D,2,0))</f>
        <v/>
      </c>
      <c r="S387" s="17" t="str">
        <f>IF(Q387="","",VLOOKUP(Q387,'References (2)'!C:F,4,0))</f>
        <v/>
      </c>
      <c r="T387" s="16"/>
      <c r="U387" s="20"/>
      <c r="V387" s="15"/>
      <c r="W387" s="22"/>
      <c r="X387" s="16"/>
      <c r="Y387" s="22"/>
      <c r="Z387" s="25" t="str">
        <f t="shared" ref="Z387:Z450" si="114">IF(B387="","",IF(AN387=1,$AN$2,IF(AO387=1,$AO$2,IF(AP387=1,$AP$2,IF(AQ387=1,$AQ$2,IF(AR387=1,$AR$2,IF(AS387=1,$AS$2,"INCORRECT DATA INPUT")))))))</f>
        <v/>
      </c>
      <c r="AA387" s="17" t="str">
        <f t="shared" ref="AA387:AA450" ca="1" si="115">IF(I387="","",IF(M387="",TODAY()-I387,M387-I387))</f>
        <v/>
      </c>
      <c r="AB387" s="17" t="str">
        <f t="shared" ref="AB387:AB450" ca="1" si="116">IF(AA387="","",IF(AA387&lt;=0,0,AA387-1))</f>
        <v/>
      </c>
      <c r="AC387" s="17" t="str">
        <f t="shared" ref="AC387:AC450" ca="1" si="117">IF(AA387="","",IF(AA387&gt;1,"EXCEEDED SLA","WITHIN SLA"))</f>
        <v/>
      </c>
      <c r="AD387" s="17" t="str">
        <f t="shared" ref="AD387:AD450" ca="1" si="118">IF(M387="","",IF(W387="",TODAY()-M387,W387-M387))</f>
        <v/>
      </c>
      <c r="AE387" s="17" t="str">
        <f t="shared" ref="AE387:AE450" si="119">IF(M387="","",IF(S387="WFM",AD387,AD387-1))</f>
        <v/>
      </c>
      <c r="AF387" s="17" t="str">
        <f t="shared" ref="AF387:AF450" si="120">IF(AE387&lt;0,0,AE387)</f>
        <v/>
      </c>
      <c r="AG387" s="17" t="str">
        <f t="shared" ref="AG387:AG450" si="121">IF(M387="","",IF(S387="WFM","WFM SLA",IF(AE387&gt;0,"EXCEEDED SLA","WITHIN SLA")))</f>
        <v/>
      </c>
      <c r="AH387" s="17">
        <f t="shared" ref="AH387:AH450" si="122">Y387-W387</f>
        <v>0</v>
      </c>
      <c r="AI387" s="17" t="str">
        <f t="shared" ref="AI387:AI450" ca="1" si="123">IF(W387="","",IF(Y387="",TODAY()-W387-R387,Y387-W387-R387))</f>
        <v/>
      </c>
      <c r="AJ387" s="17" t="str">
        <f t="shared" ref="AJ387:AJ450" ca="1" si="124">IF(AI387&lt;=0,0,AI387)</f>
        <v/>
      </c>
      <c r="AK387" s="17" t="str">
        <f t="shared" ref="AK387:AK450" si="125">IF(W387="","",IF(AJ387&lt;1,"WITHIN SLA","EXCEEDED SLA"))</f>
        <v/>
      </c>
      <c r="AL387" s="17" t="str">
        <f t="shared" ref="AL387:AL450" ca="1" si="126">IF(B387="","",IF(K387="DONE",Y387-I387,TODAY()-I387))</f>
        <v/>
      </c>
      <c r="AN387" s="24">
        <f t="shared" ref="AN387:AN450" si="127">IF(AND(K387="DONE",Y387&gt;0,AK387="WITHIN SLA"),1,0)</f>
        <v>0</v>
      </c>
      <c r="AO387" s="24">
        <f t="shared" ref="AO387:AO450" si="128">IF(AND(K387="DONE",Y387&gt;0,AK387="EXCEEDED SLA"),1,0)</f>
        <v>0</v>
      </c>
      <c r="AP387" s="24">
        <f t="shared" ref="AP387:AP450" si="129">IF(AND(K387="PENDING",L387="AWAITING FROM CSMP"),1,0)</f>
        <v>0</v>
      </c>
      <c r="AQ387" s="24">
        <f t="shared" ref="AQ387:AQ450" si="130">IF(AND(K387="PENDING",L387="WATO ON-HAND",M387&gt;0,S387="WATO",W387=0),1,0)</f>
        <v>0</v>
      </c>
      <c r="AR387" s="24">
        <f t="shared" ref="AR387:AR450" si="131">IF(AND(K387="PENDING",L387="SUBMITTED TO WFM",M387&gt;0,S387="WFM",W387=0),1,0)</f>
        <v>0</v>
      </c>
      <c r="AS387" s="24">
        <f t="shared" ref="AS387:AS450" si="132">IF(AND(K387="PENDING",W387&gt;0),1,0)</f>
        <v>0</v>
      </c>
    </row>
    <row r="388" spans="1:45" x14ac:dyDescent="0.25">
      <c r="A388" s="83"/>
      <c r="B388" s="83"/>
      <c r="C388" s="83"/>
      <c r="D388" s="15"/>
      <c r="E388" s="15"/>
      <c r="F388" s="83"/>
      <c r="G388" s="83"/>
      <c r="H388" s="16"/>
      <c r="I388" s="83"/>
      <c r="J388" s="83"/>
      <c r="K388" s="16"/>
      <c r="L388" s="15"/>
      <c r="M388" s="20"/>
      <c r="N388" s="15"/>
      <c r="O388" s="20"/>
      <c r="P388" s="15"/>
      <c r="Q388" s="15"/>
      <c r="R388" s="17" t="str">
        <f>IF(Q388="","",VLOOKUP(Q388,'References (2)'!C:D,2,0))</f>
        <v/>
      </c>
      <c r="S388" s="17" t="str">
        <f>IF(Q388="","",VLOOKUP(Q388,'References (2)'!C:F,4,0))</f>
        <v/>
      </c>
      <c r="T388" s="16"/>
      <c r="U388" s="20"/>
      <c r="V388" s="15"/>
      <c r="W388" s="22"/>
      <c r="X388" s="16"/>
      <c r="Y388" s="22"/>
      <c r="Z388" s="25" t="str">
        <f t="shared" si="114"/>
        <v/>
      </c>
      <c r="AA388" s="17" t="str">
        <f t="shared" ca="1" si="115"/>
        <v/>
      </c>
      <c r="AB388" s="17" t="str">
        <f t="shared" ca="1" si="116"/>
        <v/>
      </c>
      <c r="AC388" s="17" t="str">
        <f t="shared" ca="1" si="117"/>
        <v/>
      </c>
      <c r="AD388" s="17" t="str">
        <f t="shared" ca="1" si="118"/>
        <v/>
      </c>
      <c r="AE388" s="17" t="str">
        <f t="shared" si="119"/>
        <v/>
      </c>
      <c r="AF388" s="17" t="str">
        <f t="shared" si="120"/>
        <v/>
      </c>
      <c r="AG388" s="17" t="str">
        <f t="shared" si="121"/>
        <v/>
      </c>
      <c r="AH388" s="17">
        <f t="shared" si="122"/>
        <v>0</v>
      </c>
      <c r="AI388" s="17" t="str">
        <f t="shared" ca="1" si="123"/>
        <v/>
      </c>
      <c r="AJ388" s="17" t="str">
        <f t="shared" ca="1" si="124"/>
        <v/>
      </c>
      <c r="AK388" s="17" t="str">
        <f t="shared" si="125"/>
        <v/>
      </c>
      <c r="AL388" s="17" t="str">
        <f t="shared" ca="1" si="126"/>
        <v/>
      </c>
      <c r="AN388" s="24">
        <f t="shared" si="127"/>
        <v>0</v>
      </c>
      <c r="AO388" s="24">
        <f t="shared" si="128"/>
        <v>0</v>
      </c>
      <c r="AP388" s="24">
        <f t="shared" si="129"/>
        <v>0</v>
      </c>
      <c r="AQ388" s="24">
        <f t="shared" si="130"/>
        <v>0</v>
      </c>
      <c r="AR388" s="24">
        <f t="shared" si="131"/>
        <v>0</v>
      </c>
      <c r="AS388" s="24">
        <f t="shared" si="132"/>
        <v>0</v>
      </c>
    </row>
    <row r="389" spans="1:45" x14ac:dyDescent="0.25">
      <c r="A389" s="83"/>
      <c r="B389" s="83"/>
      <c r="C389" s="83"/>
      <c r="D389" s="15"/>
      <c r="E389" s="15"/>
      <c r="F389" s="83"/>
      <c r="G389" s="83"/>
      <c r="H389" s="16"/>
      <c r="I389" s="83"/>
      <c r="J389" s="83"/>
      <c r="K389" s="16"/>
      <c r="L389" s="15"/>
      <c r="M389" s="20"/>
      <c r="N389" s="15"/>
      <c r="O389" s="20"/>
      <c r="P389" s="15"/>
      <c r="Q389" s="15"/>
      <c r="R389" s="17" t="str">
        <f>IF(Q389="","",VLOOKUP(Q389,'References (2)'!C:D,2,0))</f>
        <v/>
      </c>
      <c r="S389" s="17" t="str">
        <f>IF(Q389="","",VLOOKUP(Q389,'References (2)'!C:F,4,0))</f>
        <v/>
      </c>
      <c r="T389" s="16"/>
      <c r="U389" s="20"/>
      <c r="V389" s="15"/>
      <c r="W389" s="22"/>
      <c r="X389" s="16"/>
      <c r="Y389" s="22"/>
      <c r="Z389" s="25" t="str">
        <f t="shared" si="114"/>
        <v/>
      </c>
      <c r="AA389" s="17" t="str">
        <f t="shared" ca="1" si="115"/>
        <v/>
      </c>
      <c r="AB389" s="17" t="str">
        <f t="shared" ca="1" si="116"/>
        <v/>
      </c>
      <c r="AC389" s="17" t="str">
        <f t="shared" ca="1" si="117"/>
        <v/>
      </c>
      <c r="AD389" s="17" t="str">
        <f t="shared" ca="1" si="118"/>
        <v/>
      </c>
      <c r="AE389" s="17" t="str">
        <f t="shared" si="119"/>
        <v/>
      </c>
      <c r="AF389" s="17" t="str">
        <f t="shared" si="120"/>
        <v/>
      </c>
      <c r="AG389" s="17" t="str">
        <f t="shared" si="121"/>
        <v/>
      </c>
      <c r="AH389" s="17">
        <f t="shared" si="122"/>
        <v>0</v>
      </c>
      <c r="AI389" s="17" t="str">
        <f t="shared" ca="1" si="123"/>
        <v/>
      </c>
      <c r="AJ389" s="17" t="str">
        <f t="shared" ca="1" si="124"/>
        <v/>
      </c>
      <c r="AK389" s="17" t="str">
        <f t="shared" si="125"/>
        <v/>
      </c>
      <c r="AL389" s="17" t="str">
        <f t="shared" ca="1" si="126"/>
        <v/>
      </c>
      <c r="AN389" s="24">
        <f t="shared" si="127"/>
        <v>0</v>
      </c>
      <c r="AO389" s="24">
        <f t="shared" si="128"/>
        <v>0</v>
      </c>
      <c r="AP389" s="24">
        <f t="shared" si="129"/>
        <v>0</v>
      </c>
      <c r="AQ389" s="24">
        <f t="shared" si="130"/>
        <v>0</v>
      </c>
      <c r="AR389" s="24">
        <f t="shared" si="131"/>
        <v>0</v>
      </c>
      <c r="AS389" s="24">
        <f t="shared" si="132"/>
        <v>0</v>
      </c>
    </row>
    <row r="390" spans="1:45" x14ac:dyDescent="0.25">
      <c r="A390" s="83"/>
      <c r="B390" s="83"/>
      <c r="C390" s="83"/>
      <c r="D390" s="15"/>
      <c r="E390" s="15"/>
      <c r="F390" s="83"/>
      <c r="G390" s="83"/>
      <c r="H390" s="16"/>
      <c r="I390" s="83"/>
      <c r="J390" s="83"/>
      <c r="K390" s="16"/>
      <c r="L390" s="15"/>
      <c r="M390" s="20"/>
      <c r="N390" s="15"/>
      <c r="O390" s="20"/>
      <c r="P390" s="15"/>
      <c r="Q390" s="15"/>
      <c r="R390" s="17" t="str">
        <f>IF(Q390="","",VLOOKUP(Q390,'References (2)'!C:D,2,0))</f>
        <v/>
      </c>
      <c r="S390" s="17" t="str">
        <f>IF(Q390="","",VLOOKUP(Q390,'References (2)'!C:F,4,0))</f>
        <v/>
      </c>
      <c r="T390" s="16"/>
      <c r="U390" s="20"/>
      <c r="V390" s="15"/>
      <c r="W390" s="22"/>
      <c r="X390" s="16"/>
      <c r="Y390" s="22"/>
      <c r="Z390" s="25" t="str">
        <f t="shared" si="114"/>
        <v/>
      </c>
      <c r="AA390" s="17" t="str">
        <f t="shared" ca="1" si="115"/>
        <v/>
      </c>
      <c r="AB390" s="17" t="str">
        <f t="shared" ca="1" si="116"/>
        <v/>
      </c>
      <c r="AC390" s="17" t="str">
        <f t="shared" ca="1" si="117"/>
        <v/>
      </c>
      <c r="AD390" s="17" t="str">
        <f t="shared" ca="1" si="118"/>
        <v/>
      </c>
      <c r="AE390" s="17" t="str">
        <f t="shared" si="119"/>
        <v/>
      </c>
      <c r="AF390" s="17" t="str">
        <f t="shared" si="120"/>
        <v/>
      </c>
      <c r="AG390" s="17" t="str">
        <f t="shared" si="121"/>
        <v/>
      </c>
      <c r="AH390" s="17">
        <f t="shared" si="122"/>
        <v>0</v>
      </c>
      <c r="AI390" s="17" t="str">
        <f t="shared" ca="1" si="123"/>
        <v/>
      </c>
      <c r="AJ390" s="17" t="str">
        <f t="shared" ca="1" si="124"/>
        <v/>
      </c>
      <c r="AK390" s="17" t="str">
        <f t="shared" si="125"/>
        <v/>
      </c>
      <c r="AL390" s="17" t="str">
        <f t="shared" ca="1" si="126"/>
        <v/>
      </c>
      <c r="AN390" s="24">
        <f t="shared" si="127"/>
        <v>0</v>
      </c>
      <c r="AO390" s="24">
        <f t="shared" si="128"/>
        <v>0</v>
      </c>
      <c r="AP390" s="24">
        <f t="shared" si="129"/>
        <v>0</v>
      </c>
      <c r="AQ390" s="24">
        <f t="shared" si="130"/>
        <v>0</v>
      </c>
      <c r="AR390" s="24">
        <f t="shared" si="131"/>
        <v>0</v>
      </c>
      <c r="AS390" s="24">
        <f t="shared" si="132"/>
        <v>0</v>
      </c>
    </row>
    <row r="391" spans="1:45" x14ac:dyDescent="0.25">
      <c r="A391" s="83"/>
      <c r="B391" s="83"/>
      <c r="C391" s="83"/>
      <c r="D391" s="15"/>
      <c r="E391" s="15"/>
      <c r="F391" s="83"/>
      <c r="G391" s="83"/>
      <c r="H391" s="16"/>
      <c r="I391" s="83"/>
      <c r="J391" s="83"/>
      <c r="K391" s="16"/>
      <c r="L391" s="15"/>
      <c r="M391" s="20"/>
      <c r="N391" s="15"/>
      <c r="O391" s="20"/>
      <c r="P391" s="15"/>
      <c r="Q391" s="15"/>
      <c r="R391" s="17" t="str">
        <f>IF(Q391="","",VLOOKUP(Q391,'References (2)'!C:D,2,0))</f>
        <v/>
      </c>
      <c r="S391" s="17" t="str">
        <f>IF(Q391="","",VLOOKUP(Q391,'References (2)'!C:F,4,0))</f>
        <v/>
      </c>
      <c r="T391" s="16"/>
      <c r="U391" s="20"/>
      <c r="V391" s="15"/>
      <c r="W391" s="22"/>
      <c r="X391" s="16"/>
      <c r="Y391" s="22"/>
      <c r="Z391" s="25" t="str">
        <f t="shared" si="114"/>
        <v/>
      </c>
      <c r="AA391" s="17" t="str">
        <f t="shared" ca="1" si="115"/>
        <v/>
      </c>
      <c r="AB391" s="17" t="str">
        <f t="shared" ca="1" si="116"/>
        <v/>
      </c>
      <c r="AC391" s="17" t="str">
        <f t="shared" ca="1" si="117"/>
        <v/>
      </c>
      <c r="AD391" s="17" t="str">
        <f t="shared" ca="1" si="118"/>
        <v/>
      </c>
      <c r="AE391" s="17" t="str">
        <f t="shared" si="119"/>
        <v/>
      </c>
      <c r="AF391" s="17" t="str">
        <f t="shared" si="120"/>
        <v/>
      </c>
      <c r="AG391" s="17" t="str">
        <f t="shared" si="121"/>
        <v/>
      </c>
      <c r="AH391" s="17">
        <f t="shared" si="122"/>
        <v>0</v>
      </c>
      <c r="AI391" s="17" t="str">
        <f t="shared" ca="1" si="123"/>
        <v/>
      </c>
      <c r="AJ391" s="17" t="str">
        <f t="shared" ca="1" si="124"/>
        <v/>
      </c>
      <c r="AK391" s="17" t="str">
        <f t="shared" si="125"/>
        <v/>
      </c>
      <c r="AL391" s="17" t="str">
        <f t="shared" ca="1" si="126"/>
        <v/>
      </c>
      <c r="AN391" s="24">
        <f t="shared" si="127"/>
        <v>0</v>
      </c>
      <c r="AO391" s="24">
        <f t="shared" si="128"/>
        <v>0</v>
      </c>
      <c r="AP391" s="24">
        <f t="shared" si="129"/>
        <v>0</v>
      </c>
      <c r="AQ391" s="24">
        <f t="shared" si="130"/>
        <v>0</v>
      </c>
      <c r="AR391" s="24">
        <f t="shared" si="131"/>
        <v>0</v>
      </c>
      <c r="AS391" s="24">
        <f t="shared" si="132"/>
        <v>0</v>
      </c>
    </row>
    <row r="392" spans="1:45" x14ac:dyDescent="0.25">
      <c r="A392" s="83"/>
      <c r="B392" s="83"/>
      <c r="C392" s="83"/>
      <c r="D392" s="15"/>
      <c r="E392" s="15"/>
      <c r="F392" s="83"/>
      <c r="G392" s="83"/>
      <c r="H392" s="16"/>
      <c r="I392" s="83"/>
      <c r="J392" s="83"/>
      <c r="K392" s="16"/>
      <c r="L392" s="15"/>
      <c r="M392" s="20"/>
      <c r="N392" s="15"/>
      <c r="O392" s="20"/>
      <c r="P392" s="15"/>
      <c r="Q392" s="15"/>
      <c r="R392" s="17" t="str">
        <f>IF(Q392="","",VLOOKUP(Q392,'References (2)'!C:D,2,0))</f>
        <v/>
      </c>
      <c r="S392" s="17" t="str">
        <f>IF(Q392="","",VLOOKUP(Q392,'References (2)'!C:F,4,0))</f>
        <v/>
      </c>
      <c r="T392" s="16"/>
      <c r="U392" s="20"/>
      <c r="V392" s="15"/>
      <c r="W392" s="22"/>
      <c r="X392" s="16"/>
      <c r="Y392" s="22"/>
      <c r="Z392" s="25" t="str">
        <f t="shared" si="114"/>
        <v/>
      </c>
      <c r="AA392" s="17" t="str">
        <f t="shared" ca="1" si="115"/>
        <v/>
      </c>
      <c r="AB392" s="17" t="str">
        <f t="shared" ca="1" si="116"/>
        <v/>
      </c>
      <c r="AC392" s="17" t="str">
        <f t="shared" ca="1" si="117"/>
        <v/>
      </c>
      <c r="AD392" s="17" t="str">
        <f t="shared" ca="1" si="118"/>
        <v/>
      </c>
      <c r="AE392" s="17" t="str">
        <f t="shared" si="119"/>
        <v/>
      </c>
      <c r="AF392" s="17" t="str">
        <f t="shared" si="120"/>
        <v/>
      </c>
      <c r="AG392" s="17" t="str">
        <f t="shared" si="121"/>
        <v/>
      </c>
      <c r="AH392" s="17">
        <f t="shared" si="122"/>
        <v>0</v>
      </c>
      <c r="AI392" s="17" t="str">
        <f t="shared" ca="1" si="123"/>
        <v/>
      </c>
      <c r="AJ392" s="17" t="str">
        <f t="shared" ca="1" si="124"/>
        <v/>
      </c>
      <c r="AK392" s="17" t="str">
        <f t="shared" si="125"/>
        <v/>
      </c>
      <c r="AL392" s="17" t="str">
        <f t="shared" ca="1" si="126"/>
        <v/>
      </c>
      <c r="AN392" s="24">
        <f t="shared" si="127"/>
        <v>0</v>
      </c>
      <c r="AO392" s="24">
        <f t="shared" si="128"/>
        <v>0</v>
      </c>
      <c r="AP392" s="24">
        <f t="shared" si="129"/>
        <v>0</v>
      </c>
      <c r="AQ392" s="24">
        <f t="shared" si="130"/>
        <v>0</v>
      </c>
      <c r="AR392" s="24">
        <f t="shared" si="131"/>
        <v>0</v>
      </c>
      <c r="AS392" s="24">
        <f t="shared" si="132"/>
        <v>0</v>
      </c>
    </row>
    <row r="393" spans="1:45" x14ac:dyDescent="0.25">
      <c r="A393" s="83"/>
      <c r="B393" s="83"/>
      <c r="C393" s="83"/>
      <c r="D393" s="15"/>
      <c r="E393" s="15"/>
      <c r="F393" s="83"/>
      <c r="G393" s="83"/>
      <c r="H393" s="16"/>
      <c r="I393" s="83"/>
      <c r="J393" s="83"/>
      <c r="K393" s="16"/>
      <c r="L393" s="15"/>
      <c r="M393" s="20"/>
      <c r="N393" s="15"/>
      <c r="O393" s="20"/>
      <c r="P393" s="15"/>
      <c r="Q393" s="15"/>
      <c r="R393" s="17" t="str">
        <f>IF(Q393="","",VLOOKUP(Q393,'References (2)'!C:D,2,0))</f>
        <v/>
      </c>
      <c r="S393" s="17" t="str">
        <f>IF(Q393="","",VLOOKUP(Q393,'References (2)'!C:F,4,0))</f>
        <v/>
      </c>
      <c r="T393" s="16"/>
      <c r="U393" s="20"/>
      <c r="V393" s="15"/>
      <c r="W393" s="22"/>
      <c r="X393" s="16"/>
      <c r="Y393" s="22"/>
      <c r="Z393" s="25" t="str">
        <f t="shared" si="114"/>
        <v/>
      </c>
      <c r="AA393" s="17" t="str">
        <f t="shared" ca="1" si="115"/>
        <v/>
      </c>
      <c r="AB393" s="17" t="str">
        <f t="shared" ca="1" si="116"/>
        <v/>
      </c>
      <c r="AC393" s="17" t="str">
        <f t="shared" ca="1" si="117"/>
        <v/>
      </c>
      <c r="AD393" s="17" t="str">
        <f t="shared" ca="1" si="118"/>
        <v/>
      </c>
      <c r="AE393" s="17" t="str">
        <f t="shared" si="119"/>
        <v/>
      </c>
      <c r="AF393" s="17" t="str">
        <f t="shared" si="120"/>
        <v/>
      </c>
      <c r="AG393" s="17" t="str">
        <f t="shared" si="121"/>
        <v/>
      </c>
      <c r="AH393" s="17">
        <f t="shared" si="122"/>
        <v>0</v>
      </c>
      <c r="AI393" s="17" t="str">
        <f t="shared" ca="1" si="123"/>
        <v/>
      </c>
      <c r="AJ393" s="17" t="str">
        <f t="shared" ca="1" si="124"/>
        <v/>
      </c>
      <c r="AK393" s="17" t="str">
        <f t="shared" si="125"/>
        <v/>
      </c>
      <c r="AL393" s="17" t="str">
        <f t="shared" ca="1" si="126"/>
        <v/>
      </c>
      <c r="AN393" s="24">
        <f t="shared" si="127"/>
        <v>0</v>
      </c>
      <c r="AO393" s="24">
        <f t="shared" si="128"/>
        <v>0</v>
      </c>
      <c r="AP393" s="24">
        <f t="shared" si="129"/>
        <v>0</v>
      </c>
      <c r="AQ393" s="24">
        <f t="shared" si="130"/>
        <v>0</v>
      </c>
      <c r="AR393" s="24">
        <f t="shared" si="131"/>
        <v>0</v>
      </c>
      <c r="AS393" s="24">
        <f t="shared" si="132"/>
        <v>0</v>
      </c>
    </row>
    <row r="394" spans="1:45" x14ac:dyDescent="0.25">
      <c r="A394" s="83"/>
      <c r="B394" s="83"/>
      <c r="C394" s="83"/>
      <c r="D394" s="15"/>
      <c r="E394" s="15"/>
      <c r="F394" s="83"/>
      <c r="G394" s="83"/>
      <c r="H394" s="16"/>
      <c r="I394" s="83"/>
      <c r="J394" s="83"/>
      <c r="K394" s="16"/>
      <c r="L394" s="15"/>
      <c r="M394" s="20"/>
      <c r="N394" s="15"/>
      <c r="O394" s="20"/>
      <c r="P394" s="15"/>
      <c r="Q394" s="15"/>
      <c r="R394" s="17" t="str">
        <f>IF(Q394="","",VLOOKUP(Q394,'References (2)'!C:D,2,0))</f>
        <v/>
      </c>
      <c r="S394" s="17" t="str">
        <f>IF(Q394="","",VLOOKUP(Q394,'References (2)'!C:F,4,0))</f>
        <v/>
      </c>
      <c r="T394" s="16"/>
      <c r="U394" s="20"/>
      <c r="V394" s="15"/>
      <c r="W394" s="22"/>
      <c r="X394" s="16"/>
      <c r="Y394" s="22"/>
      <c r="Z394" s="25" t="str">
        <f t="shared" si="114"/>
        <v/>
      </c>
      <c r="AA394" s="17" t="str">
        <f t="shared" ca="1" si="115"/>
        <v/>
      </c>
      <c r="AB394" s="17" t="str">
        <f t="shared" ca="1" si="116"/>
        <v/>
      </c>
      <c r="AC394" s="17" t="str">
        <f t="shared" ca="1" si="117"/>
        <v/>
      </c>
      <c r="AD394" s="17" t="str">
        <f t="shared" ca="1" si="118"/>
        <v/>
      </c>
      <c r="AE394" s="17" t="str">
        <f t="shared" si="119"/>
        <v/>
      </c>
      <c r="AF394" s="17" t="str">
        <f t="shared" si="120"/>
        <v/>
      </c>
      <c r="AG394" s="17" t="str">
        <f t="shared" si="121"/>
        <v/>
      </c>
      <c r="AH394" s="17">
        <f t="shared" si="122"/>
        <v>0</v>
      </c>
      <c r="AI394" s="17" t="str">
        <f t="shared" ca="1" si="123"/>
        <v/>
      </c>
      <c r="AJ394" s="17" t="str">
        <f t="shared" ca="1" si="124"/>
        <v/>
      </c>
      <c r="AK394" s="17" t="str">
        <f t="shared" si="125"/>
        <v/>
      </c>
      <c r="AL394" s="17" t="str">
        <f t="shared" ca="1" si="126"/>
        <v/>
      </c>
      <c r="AN394" s="24">
        <f t="shared" si="127"/>
        <v>0</v>
      </c>
      <c r="AO394" s="24">
        <f t="shared" si="128"/>
        <v>0</v>
      </c>
      <c r="AP394" s="24">
        <f t="shared" si="129"/>
        <v>0</v>
      </c>
      <c r="AQ394" s="24">
        <f t="shared" si="130"/>
        <v>0</v>
      </c>
      <c r="AR394" s="24">
        <f t="shared" si="131"/>
        <v>0</v>
      </c>
      <c r="AS394" s="24">
        <f t="shared" si="132"/>
        <v>0</v>
      </c>
    </row>
    <row r="395" spans="1:45" x14ac:dyDescent="0.25">
      <c r="A395" s="83"/>
      <c r="B395" s="83"/>
      <c r="C395" s="83"/>
      <c r="D395" s="15"/>
      <c r="E395" s="15"/>
      <c r="F395" s="83"/>
      <c r="G395" s="83"/>
      <c r="H395" s="16"/>
      <c r="I395" s="83"/>
      <c r="J395" s="83"/>
      <c r="K395" s="16"/>
      <c r="L395" s="15"/>
      <c r="M395" s="20"/>
      <c r="N395" s="15"/>
      <c r="O395" s="20"/>
      <c r="P395" s="15"/>
      <c r="Q395" s="15"/>
      <c r="R395" s="17" t="str">
        <f>IF(Q395="","",VLOOKUP(Q395,'References (2)'!C:D,2,0))</f>
        <v/>
      </c>
      <c r="S395" s="17" t="str">
        <f>IF(Q395="","",VLOOKUP(Q395,'References (2)'!C:F,4,0))</f>
        <v/>
      </c>
      <c r="T395" s="16"/>
      <c r="U395" s="20"/>
      <c r="V395" s="15"/>
      <c r="W395" s="22"/>
      <c r="X395" s="16"/>
      <c r="Y395" s="22"/>
      <c r="Z395" s="25" t="str">
        <f t="shared" si="114"/>
        <v/>
      </c>
      <c r="AA395" s="17" t="str">
        <f t="shared" ca="1" si="115"/>
        <v/>
      </c>
      <c r="AB395" s="17" t="str">
        <f t="shared" ca="1" si="116"/>
        <v/>
      </c>
      <c r="AC395" s="17" t="str">
        <f t="shared" ca="1" si="117"/>
        <v/>
      </c>
      <c r="AD395" s="17" t="str">
        <f t="shared" ca="1" si="118"/>
        <v/>
      </c>
      <c r="AE395" s="17" t="str">
        <f t="shared" si="119"/>
        <v/>
      </c>
      <c r="AF395" s="17" t="str">
        <f t="shared" si="120"/>
        <v/>
      </c>
      <c r="AG395" s="17" t="str">
        <f t="shared" si="121"/>
        <v/>
      </c>
      <c r="AH395" s="17">
        <f t="shared" si="122"/>
        <v>0</v>
      </c>
      <c r="AI395" s="17" t="str">
        <f t="shared" ca="1" si="123"/>
        <v/>
      </c>
      <c r="AJ395" s="17" t="str">
        <f t="shared" ca="1" si="124"/>
        <v/>
      </c>
      <c r="AK395" s="17" t="str">
        <f t="shared" si="125"/>
        <v/>
      </c>
      <c r="AL395" s="17" t="str">
        <f t="shared" ca="1" si="126"/>
        <v/>
      </c>
      <c r="AN395" s="24">
        <f t="shared" si="127"/>
        <v>0</v>
      </c>
      <c r="AO395" s="24">
        <f t="shared" si="128"/>
        <v>0</v>
      </c>
      <c r="AP395" s="24">
        <f t="shared" si="129"/>
        <v>0</v>
      </c>
      <c r="AQ395" s="24">
        <f t="shared" si="130"/>
        <v>0</v>
      </c>
      <c r="AR395" s="24">
        <f t="shared" si="131"/>
        <v>0</v>
      </c>
      <c r="AS395" s="24">
        <f t="shared" si="132"/>
        <v>0</v>
      </c>
    </row>
    <row r="396" spans="1:45" x14ac:dyDescent="0.25">
      <c r="A396" s="83"/>
      <c r="B396" s="83"/>
      <c r="C396" s="83"/>
      <c r="D396" s="15"/>
      <c r="E396" s="15"/>
      <c r="F396" s="83"/>
      <c r="G396" s="83"/>
      <c r="H396" s="16"/>
      <c r="I396" s="83"/>
      <c r="J396" s="83"/>
      <c r="K396" s="16"/>
      <c r="L396" s="15"/>
      <c r="M396" s="20"/>
      <c r="N396" s="15"/>
      <c r="O396" s="20"/>
      <c r="P396" s="15"/>
      <c r="Q396" s="15"/>
      <c r="R396" s="17" t="str">
        <f>IF(Q396="","",VLOOKUP(Q396,'References (2)'!C:D,2,0))</f>
        <v/>
      </c>
      <c r="S396" s="17" t="str">
        <f>IF(Q396="","",VLOOKUP(Q396,'References (2)'!C:F,4,0))</f>
        <v/>
      </c>
      <c r="T396" s="16"/>
      <c r="U396" s="20"/>
      <c r="V396" s="15"/>
      <c r="W396" s="22"/>
      <c r="X396" s="16"/>
      <c r="Y396" s="22"/>
      <c r="Z396" s="25" t="str">
        <f t="shared" si="114"/>
        <v/>
      </c>
      <c r="AA396" s="17" t="str">
        <f t="shared" ca="1" si="115"/>
        <v/>
      </c>
      <c r="AB396" s="17" t="str">
        <f t="shared" ca="1" si="116"/>
        <v/>
      </c>
      <c r="AC396" s="17" t="str">
        <f t="shared" ca="1" si="117"/>
        <v/>
      </c>
      <c r="AD396" s="17" t="str">
        <f t="shared" ca="1" si="118"/>
        <v/>
      </c>
      <c r="AE396" s="17" t="str">
        <f t="shared" si="119"/>
        <v/>
      </c>
      <c r="AF396" s="17" t="str">
        <f t="shared" si="120"/>
        <v/>
      </c>
      <c r="AG396" s="17" t="str">
        <f t="shared" si="121"/>
        <v/>
      </c>
      <c r="AH396" s="17">
        <f t="shared" si="122"/>
        <v>0</v>
      </c>
      <c r="AI396" s="17" t="str">
        <f t="shared" ca="1" si="123"/>
        <v/>
      </c>
      <c r="AJ396" s="17" t="str">
        <f t="shared" ca="1" si="124"/>
        <v/>
      </c>
      <c r="AK396" s="17" t="str">
        <f t="shared" si="125"/>
        <v/>
      </c>
      <c r="AL396" s="17" t="str">
        <f t="shared" ca="1" si="126"/>
        <v/>
      </c>
      <c r="AN396" s="24">
        <f t="shared" si="127"/>
        <v>0</v>
      </c>
      <c r="AO396" s="24">
        <f t="shared" si="128"/>
        <v>0</v>
      </c>
      <c r="AP396" s="24">
        <f t="shared" si="129"/>
        <v>0</v>
      </c>
      <c r="AQ396" s="24">
        <f t="shared" si="130"/>
        <v>0</v>
      </c>
      <c r="AR396" s="24">
        <f t="shared" si="131"/>
        <v>0</v>
      </c>
      <c r="AS396" s="24">
        <f t="shared" si="132"/>
        <v>0</v>
      </c>
    </row>
    <row r="397" spans="1:45" x14ac:dyDescent="0.25">
      <c r="A397" s="83"/>
      <c r="B397" s="83"/>
      <c r="C397" s="83"/>
      <c r="D397" s="15"/>
      <c r="E397" s="15"/>
      <c r="F397" s="83"/>
      <c r="G397" s="83"/>
      <c r="H397" s="16"/>
      <c r="I397" s="83"/>
      <c r="J397" s="83"/>
      <c r="K397" s="16"/>
      <c r="L397" s="15"/>
      <c r="M397" s="20"/>
      <c r="N397" s="15"/>
      <c r="O397" s="20"/>
      <c r="P397" s="15"/>
      <c r="Q397" s="15"/>
      <c r="R397" s="17" t="str">
        <f>IF(Q397="","",VLOOKUP(Q397,'References (2)'!C:D,2,0))</f>
        <v/>
      </c>
      <c r="S397" s="17" t="str">
        <f>IF(Q397="","",VLOOKUP(Q397,'References (2)'!C:F,4,0))</f>
        <v/>
      </c>
      <c r="T397" s="16"/>
      <c r="U397" s="20"/>
      <c r="V397" s="15"/>
      <c r="W397" s="22"/>
      <c r="X397" s="16"/>
      <c r="Y397" s="22"/>
      <c r="Z397" s="25" t="str">
        <f t="shared" si="114"/>
        <v/>
      </c>
      <c r="AA397" s="17" t="str">
        <f t="shared" ca="1" si="115"/>
        <v/>
      </c>
      <c r="AB397" s="17" t="str">
        <f t="shared" ca="1" si="116"/>
        <v/>
      </c>
      <c r="AC397" s="17" t="str">
        <f t="shared" ca="1" si="117"/>
        <v/>
      </c>
      <c r="AD397" s="17" t="str">
        <f t="shared" ca="1" si="118"/>
        <v/>
      </c>
      <c r="AE397" s="17" t="str">
        <f t="shared" si="119"/>
        <v/>
      </c>
      <c r="AF397" s="17" t="str">
        <f t="shared" si="120"/>
        <v/>
      </c>
      <c r="AG397" s="17" t="str">
        <f t="shared" si="121"/>
        <v/>
      </c>
      <c r="AH397" s="17">
        <f t="shared" si="122"/>
        <v>0</v>
      </c>
      <c r="AI397" s="17" t="str">
        <f t="shared" ca="1" si="123"/>
        <v/>
      </c>
      <c r="AJ397" s="17" t="str">
        <f t="shared" ca="1" si="124"/>
        <v/>
      </c>
      <c r="AK397" s="17" t="str">
        <f t="shared" si="125"/>
        <v/>
      </c>
      <c r="AL397" s="17" t="str">
        <f t="shared" ca="1" si="126"/>
        <v/>
      </c>
      <c r="AN397" s="24">
        <f t="shared" si="127"/>
        <v>0</v>
      </c>
      <c r="AO397" s="24">
        <f t="shared" si="128"/>
        <v>0</v>
      </c>
      <c r="AP397" s="24">
        <f t="shared" si="129"/>
        <v>0</v>
      </c>
      <c r="AQ397" s="24">
        <f t="shared" si="130"/>
        <v>0</v>
      </c>
      <c r="AR397" s="24">
        <f t="shared" si="131"/>
        <v>0</v>
      </c>
      <c r="AS397" s="24">
        <f t="shared" si="132"/>
        <v>0</v>
      </c>
    </row>
    <row r="398" spans="1:45" x14ac:dyDescent="0.25">
      <c r="A398" s="83"/>
      <c r="B398" s="83"/>
      <c r="C398" s="83"/>
      <c r="D398" s="15"/>
      <c r="E398" s="15"/>
      <c r="F398" s="83"/>
      <c r="G398" s="83"/>
      <c r="H398" s="16"/>
      <c r="I398" s="83"/>
      <c r="J398" s="83"/>
      <c r="K398" s="16"/>
      <c r="L398" s="15"/>
      <c r="M398" s="20"/>
      <c r="N398" s="15"/>
      <c r="O398" s="20"/>
      <c r="P398" s="15"/>
      <c r="Q398" s="15"/>
      <c r="R398" s="17" t="str">
        <f>IF(Q398="","",VLOOKUP(Q398,'References (2)'!C:D,2,0))</f>
        <v/>
      </c>
      <c r="S398" s="17" t="str">
        <f>IF(Q398="","",VLOOKUP(Q398,'References (2)'!C:F,4,0))</f>
        <v/>
      </c>
      <c r="T398" s="16"/>
      <c r="U398" s="20"/>
      <c r="V398" s="15"/>
      <c r="W398" s="22"/>
      <c r="X398" s="16"/>
      <c r="Y398" s="22"/>
      <c r="Z398" s="25" t="str">
        <f t="shared" si="114"/>
        <v/>
      </c>
      <c r="AA398" s="17" t="str">
        <f t="shared" ca="1" si="115"/>
        <v/>
      </c>
      <c r="AB398" s="17" t="str">
        <f t="shared" ca="1" si="116"/>
        <v/>
      </c>
      <c r="AC398" s="17" t="str">
        <f t="shared" ca="1" si="117"/>
        <v/>
      </c>
      <c r="AD398" s="17" t="str">
        <f t="shared" ca="1" si="118"/>
        <v/>
      </c>
      <c r="AE398" s="17" t="str">
        <f t="shared" si="119"/>
        <v/>
      </c>
      <c r="AF398" s="17" t="str">
        <f t="shared" si="120"/>
        <v/>
      </c>
      <c r="AG398" s="17" t="str">
        <f t="shared" si="121"/>
        <v/>
      </c>
      <c r="AH398" s="17">
        <f t="shared" si="122"/>
        <v>0</v>
      </c>
      <c r="AI398" s="17" t="str">
        <f t="shared" ca="1" si="123"/>
        <v/>
      </c>
      <c r="AJ398" s="17" t="str">
        <f t="shared" ca="1" si="124"/>
        <v/>
      </c>
      <c r="AK398" s="17" t="str">
        <f t="shared" si="125"/>
        <v/>
      </c>
      <c r="AL398" s="17" t="str">
        <f t="shared" ca="1" si="126"/>
        <v/>
      </c>
      <c r="AN398" s="24">
        <f t="shared" si="127"/>
        <v>0</v>
      </c>
      <c r="AO398" s="24">
        <f t="shared" si="128"/>
        <v>0</v>
      </c>
      <c r="AP398" s="24">
        <f t="shared" si="129"/>
        <v>0</v>
      </c>
      <c r="AQ398" s="24">
        <f t="shared" si="130"/>
        <v>0</v>
      </c>
      <c r="AR398" s="24">
        <f t="shared" si="131"/>
        <v>0</v>
      </c>
      <c r="AS398" s="24">
        <f t="shared" si="132"/>
        <v>0</v>
      </c>
    </row>
    <row r="399" spans="1:45" x14ac:dyDescent="0.25">
      <c r="A399" s="83"/>
      <c r="B399" s="83"/>
      <c r="C399" s="83"/>
      <c r="D399" s="15"/>
      <c r="E399" s="15"/>
      <c r="F399" s="83"/>
      <c r="G399" s="83"/>
      <c r="H399" s="16"/>
      <c r="I399" s="83"/>
      <c r="J399" s="83"/>
      <c r="K399" s="16"/>
      <c r="L399" s="15"/>
      <c r="M399" s="20"/>
      <c r="N399" s="15"/>
      <c r="O399" s="20"/>
      <c r="P399" s="15"/>
      <c r="Q399" s="15"/>
      <c r="R399" s="17" t="str">
        <f>IF(Q399="","",VLOOKUP(Q399,'References (2)'!C:D,2,0))</f>
        <v/>
      </c>
      <c r="S399" s="17" t="str">
        <f>IF(Q399="","",VLOOKUP(Q399,'References (2)'!C:F,4,0))</f>
        <v/>
      </c>
      <c r="T399" s="16"/>
      <c r="U399" s="20"/>
      <c r="V399" s="15"/>
      <c r="W399" s="22"/>
      <c r="X399" s="16"/>
      <c r="Y399" s="22"/>
      <c r="Z399" s="25" t="str">
        <f t="shared" si="114"/>
        <v/>
      </c>
      <c r="AA399" s="17" t="str">
        <f t="shared" ca="1" si="115"/>
        <v/>
      </c>
      <c r="AB399" s="17" t="str">
        <f t="shared" ca="1" si="116"/>
        <v/>
      </c>
      <c r="AC399" s="17" t="str">
        <f t="shared" ca="1" si="117"/>
        <v/>
      </c>
      <c r="AD399" s="17" t="str">
        <f t="shared" ca="1" si="118"/>
        <v/>
      </c>
      <c r="AE399" s="17" t="str">
        <f t="shared" si="119"/>
        <v/>
      </c>
      <c r="AF399" s="17" t="str">
        <f t="shared" si="120"/>
        <v/>
      </c>
      <c r="AG399" s="17" t="str">
        <f t="shared" si="121"/>
        <v/>
      </c>
      <c r="AH399" s="17">
        <f t="shared" si="122"/>
        <v>0</v>
      </c>
      <c r="AI399" s="17" t="str">
        <f t="shared" ca="1" si="123"/>
        <v/>
      </c>
      <c r="AJ399" s="17" t="str">
        <f t="shared" ca="1" si="124"/>
        <v/>
      </c>
      <c r="AK399" s="17" t="str">
        <f t="shared" si="125"/>
        <v/>
      </c>
      <c r="AL399" s="17" t="str">
        <f t="shared" ca="1" si="126"/>
        <v/>
      </c>
      <c r="AN399" s="24">
        <f t="shared" si="127"/>
        <v>0</v>
      </c>
      <c r="AO399" s="24">
        <f t="shared" si="128"/>
        <v>0</v>
      </c>
      <c r="AP399" s="24">
        <f t="shared" si="129"/>
        <v>0</v>
      </c>
      <c r="AQ399" s="24">
        <f t="shared" si="130"/>
        <v>0</v>
      </c>
      <c r="AR399" s="24">
        <f t="shared" si="131"/>
        <v>0</v>
      </c>
      <c r="AS399" s="24">
        <f t="shared" si="132"/>
        <v>0</v>
      </c>
    </row>
    <row r="400" spans="1:45" x14ac:dyDescent="0.25">
      <c r="A400" s="83"/>
      <c r="B400" s="83"/>
      <c r="C400" s="83"/>
      <c r="D400" s="15"/>
      <c r="E400" s="15"/>
      <c r="F400" s="83"/>
      <c r="G400" s="83"/>
      <c r="H400" s="16"/>
      <c r="I400" s="83"/>
      <c r="J400" s="83"/>
      <c r="K400" s="16"/>
      <c r="L400" s="15"/>
      <c r="M400" s="20"/>
      <c r="N400" s="15"/>
      <c r="O400" s="20"/>
      <c r="P400" s="15"/>
      <c r="Q400" s="15"/>
      <c r="R400" s="17" t="str">
        <f>IF(Q400="","",VLOOKUP(Q400,'References (2)'!C:D,2,0))</f>
        <v/>
      </c>
      <c r="S400" s="17" t="str">
        <f>IF(Q400="","",VLOOKUP(Q400,'References (2)'!C:F,4,0))</f>
        <v/>
      </c>
      <c r="T400" s="16"/>
      <c r="U400" s="20"/>
      <c r="V400" s="15"/>
      <c r="W400" s="22"/>
      <c r="X400" s="16"/>
      <c r="Y400" s="22"/>
      <c r="Z400" s="25" t="str">
        <f t="shared" si="114"/>
        <v/>
      </c>
      <c r="AA400" s="17" t="str">
        <f t="shared" ca="1" si="115"/>
        <v/>
      </c>
      <c r="AB400" s="17" t="str">
        <f t="shared" ca="1" si="116"/>
        <v/>
      </c>
      <c r="AC400" s="17" t="str">
        <f t="shared" ca="1" si="117"/>
        <v/>
      </c>
      <c r="AD400" s="17" t="str">
        <f t="shared" ca="1" si="118"/>
        <v/>
      </c>
      <c r="AE400" s="17" t="str">
        <f t="shared" si="119"/>
        <v/>
      </c>
      <c r="AF400" s="17" t="str">
        <f t="shared" si="120"/>
        <v/>
      </c>
      <c r="AG400" s="17" t="str">
        <f t="shared" si="121"/>
        <v/>
      </c>
      <c r="AH400" s="17">
        <f t="shared" si="122"/>
        <v>0</v>
      </c>
      <c r="AI400" s="17" t="str">
        <f t="shared" ca="1" si="123"/>
        <v/>
      </c>
      <c r="AJ400" s="17" t="str">
        <f t="shared" ca="1" si="124"/>
        <v/>
      </c>
      <c r="AK400" s="17" t="str">
        <f t="shared" si="125"/>
        <v/>
      </c>
      <c r="AL400" s="17" t="str">
        <f t="shared" ca="1" si="126"/>
        <v/>
      </c>
      <c r="AN400" s="24">
        <f t="shared" si="127"/>
        <v>0</v>
      </c>
      <c r="AO400" s="24">
        <f t="shared" si="128"/>
        <v>0</v>
      </c>
      <c r="AP400" s="24">
        <f t="shared" si="129"/>
        <v>0</v>
      </c>
      <c r="AQ400" s="24">
        <f t="shared" si="130"/>
        <v>0</v>
      </c>
      <c r="AR400" s="24">
        <f t="shared" si="131"/>
        <v>0</v>
      </c>
      <c r="AS400" s="24">
        <f t="shared" si="132"/>
        <v>0</v>
      </c>
    </row>
    <row r="401" spans="1:45" x14ac:dyDescent="0.25">
      <c r="A401" s="83"/>
      <c r="B401" s="83"/>
      <c r="C401" s="83"/>
      <c r="D401" s="15"/>
      <c r="E401" s="15"/>
      <c r="F401" s="83"/>
      <c r="G401" s="83"/>
      <c r="H401" s="16"/>
      <c r="I401" s="83"/>
      <c r="J401" s="83"/>
      <c r="K401" s="16"/>
      <c r="L401" s="15"/>
      <c r="M401" s="20"/>
      <c r="N401" s="15"/>
      <c r="O401" s="20"/>
      <c r="P401" s="15"/>
      <c r="Q401" s="15"/>
      <c r="R401" s="17" t="str">
        <f>IF(Q401="","",VLOOKUP(Q401,'References (2)'!C:D,2,0))</f>
        <v/>
      </c>
      <c r="S401" s="17" t="str">
        <f>IF(Q401="","",VLOOKUP(Q401,'References (2)'!C:F,4,0))</f>
        <v/>
      </c>
      <c r="T401" s="16"/>
      <c r="U401" s="20"/>
      <c r="V401" s="15"/>
      <c r="W401" s="22"/>
      <c r="X401" s="16"/>
      <c r="Y401" s="22"/>
      <c r="Z401" s="25" t="str">
        <f t="shared" si="114"/>
        <v/>
      </c>
      <c r="AA401" s="17" t="str">
        <f t="shared" ca="1" si="115"/>
        <v/>
      </c>
      <c r="AB401" s="17" t="str">
        <f t="shared" ca="1" si="116"/>
        <v/>
      </c>
      <c r="AC401" s="17" t="str">
        <f t="shared" ca="1" si="117"/>
        <v/>
      </c>
      <c r="AD401" s="17" t="str">
        <f t="shared" ca="1" si="118"/>
        <v/>
      </c>
      <c r="AE401" s="17" t="str">
        <f t="shared" si="119"/>
        <v/>
      </c>
      <c r="AF401" s="17" t="str">
        <f t="shared" si="120"/>
        <v/>
      </c>
      <c r="AG401" s="17" t="str">
        <f t="shared" si="121"/>
        <v/>
      </c>
      <c r="AH401" s="17">
        <f t="shared" si="122"/>
        <v>0</v>
      </c>
      <c r="AI401" s="17" t="str">
        <f t="shared" ca="1" si="123"/>
        <v/>
      </c>
      <c r="AJ401" s="17" t="str">
        <f t="shared" ca="1" si="124"/>
        <v/>
      </c>
      <c r="AK401" s="17" t="str">
        <f t="shared" si="125"/>
        <v/>
      </c>
      <c r="AL401" s="17" t="str">
        <f t="shared" ca="1" si="126"/>
        <v/>
      </c>
      <c r="AN401" s="24">
        <f t="shared" si="127"/>
        <v>0</v>
      </c>
      <c r="AO401" s="24">
        <f t="shared" si="128"/>
        <v>0</v>
      </c>
      <c r="AP401" s="24">
        <f t="shared" si="129"/>
        <v>0</v>
      </c>
      <c r="AQ401" s="24">
        <f t="shared" si="130"/>
        <v>0</v>
      </c>
      <c r="AR401" s="24">
        <f t="shared" si="131"/>
        <v>0</v>
      </c>
      <c r="AS401" s="24">
        <f t="shared" si="132"/>
        <v>0</v>
      </c>
    </row>
    <row r="402" spans="1:45" x14ac:dyDescent="0.25">
      <c r="A402" s="83"/>
      <c r="B402" s="83"/>
      <c r="C402" s="83"/>
      <c r="D402" s="15"/>
      <c r="E402" s="15"/>
      <c r="F402" s="83"/>
      <c r="G402" s="83"/>
      <c r="H402" s="16"/>
      <c r="I402" s="83"/>
      <c r="J402" s="83"/>
      <c r="K402" s="16"/>
      <c r="L402" s="15"/>
      <c r="M402" s="20"/>
      <c r="N402" s="15"/>
      <c r="O402" s="20"/>
      <c r="P402" s="15"/>
      <c r="Q402" s="15"/>
      <c r="R402" s="17" t="str">
        <f>IF(Q402="","",VLOOKUP(Q402,'References (2)'!C:D,2,0))</f>
        <v/>
      </c>
      <c r="S402" s="17" t="str">
        <f>IF(Q402="","",VLOOKUP(Q402,'References (2)'!C:F,4,0))</f>
        <v/>
      </c>
      <c r="T402" s="16"/>
      <c r="U402" s="20"/>
      <c r="V402" s="15"/>
      <c r="W402" s="22"/>
      <c r="X402" s="16"/>
      <c r="Y402" s="22"/>
      <c r="Z402" s="25" t="str">
        <f t="shared" si="114"/>
        <v/>
      </c>
      <c r="AA402" s="17" t="str">
        <f t="shared" ca="1" si="115"/>
        <v/>
      </c>
      <c r="AB402" s="17" t="str">
        <f t="shared" ca="1" si="116"/>
        <v/>
      </c>
      <c r="AC402" s="17" t="str">
        <f t="shared" ca="1" si="117"/>
        <v/>
      </c>
      <c r="AD402" s="17" t="str">
        <f t="shared" ca="1" si="118"/>
        <v/>
      </c>
      <c r="AE402" s="17" t="str">
        <f t="shared" si="119"/>
        <v/>
      </c>
      <c r="AF402" s="17" t="str">
        <f t="shared" si="120"/>
        <v/>
      </c>
      <c r="AG402" s="17" t="str">
        <f t="shared" si="121"/>
        <v/>
      </c>
      <c r="AH402" s="17">
        <f t="shared" si="122"/>
        <v>0</v>
      </c>
      <c r="AI402" s="17" t="str">
        <f t="shared" ca="1" si="123"/>
        <v/>
      </c>
      <c r="AJ402" s="17" t="str">
        <f t="shared" ca="1" si="124"/>
        <v/>
      </c>
      <c r="AK402" s="17" t="str">
        <f t="shared" si="125"/>
        <v/>
      </c>
      <c r="AL402" s="17" t="str">
        <f t="shared" ca="1" si="126"/>
        <v/>
      </c>
      <c r="AN402" s="24">
        <f t="shared" si="127"/>
        <v>0</v>
      </c>
      <c r="AO402" s="24">
        <f t="shared" si="128"/>
        <v>0</v>
      </c>
      <c r="AP402" s="24">
        <f t="shared" si="129"/>
        <v>0</v>
      </c>
      <c r="AQ402" s="24">
        <f t="shared" si="130"/>
        <v>0</v>
      </c>
      <c r="AR402" s="24">
        <f t="shared" si="131"/>
        <v>0</v>
      </c>
      <c r="AS402" s="24">
        <f t="shared" si="132"/>
        <v>0</v>
      </c>
    </row>
    <row r="403" spans="1:45" x14ac:dyDescent="0.25">
      <c r="A403" s="83"/>
      <c r="B403" s="83"/>
      <c r="C403" s="83"/>
      <c r="D403" s="15"/>
      <c r="E403" s="15"/>
      <c r="F403" s="83"/>
      <c r="G403" s="83"/>
      <c r="H403" s="16"/>
      <c r="I403" s="83"/>
      <c r="J403" s="83"/>
      <c r="K403" s="16"/>
      <c r="L403" s="15"/>
      <c r="M403" s="20"/>
      <c r="N403" s="15"/>
      <c r="O403" s="20"/>
      <c r="P403" s="15"/>
      <c r="Q403" s="15"/>
      <c r="R403" s="17" t="str">
        <f>IF(Q403="","",VLOOKUP(Q403,'References (2)'!C:D,2,0))</f>
        <v/>
      </c>
      <c r="S403" s="17" t="str">
        <f>IF(Q403="","",VLOOKUP(Q403,'References (2)'!C:F,4,0))</f>
        <v/>
      </c>
      <c r="T403" s="16"/>
      <c r="U403" s="20"/>
      <c r="V403" s="15"/>
      <c r="W403" s="22"/>
      <c r="X403" s="16"/>
      <c r="Y403" s="22"/>
      <c r="Z403" s="25" t="str">
        <f t="shared" si="114"/>
        <v/>
      </c>
      <c r="AA403" s="17" t="str">
        <f t="shared" ca="1" si="115"/>
        <v/>
      </c>
      <c r="AB403" s="17" t="str">
        <f t="shared" ca="1" si="116"/>
        <v/>
      </c>
      <c r="AC403" s="17" t="str">
        <f t="shared" ca="1" si="117"/>
        <v/>
      </c>
      <c r="AD403" s="17" t="str">
        <f t="shared" ca="1" si="118"/>
        <v/>
      </c>
      <c r="AE403" s="17" t="str">
        <f t="shared" si="119"/>
        <v/>
      </c>
      <c r="AF403" s="17" t="str">
        <f t="shared" si="120"/>
        <v/>
      </c>
      <c r="AG403" s="17" t="str">
        <f t="shared" si="121"/>
        <v/>
      </c>
      <c r="AH403" s="17">
        <f t="shared" si="122"/>
        <v>0</v>
      </c>
      <c r="AI403" s="17" t="str">
        <f t="shared" ca="1" si="123"/>
        <v/>
      </c>
      <c r="AJ403" s="17" t="str">
        <f t="shared" ca="1" si="124"/>
        <v/>
      </c>
      <c r="AK403" s="17" t="str">
        <f t="shared" si="125"/>
        <v/>
      </c>
      <c r="AL403" s="17" t="str">
        <f t="shared" ca="1" si="126"/>
        <v/>
      </c>
      <c r="AN403" s="24">
        <f t="shared" si="127"/>
        <v>0</v>
      </c>
      <c r="AO403" s="24">
        <f t="shared" si="128"/>
        <v>0</v>
      </c>
      <c r="AP403" s="24">
        <f t="shared" si="129"/>
        <v>0</v>
      </c>
      <c r="AQ403" s="24">
        <f t="shared" si="130"/>
        <v>0</v>
      </c>
      <c r="AR403" s="24">
        <f t="shared" si="131"/>
        <v>0</v>
      </c>
      <c r="AS403" s="24">
        <f t="shared" si="132"/>
        <v>0</v>
      </c>
    </row>
    <row r="404" spans="1:45" x14ac:dyDescent="0.25">
      <c r="A404" s="83"/>
      <c r="B404" s="83"/>
      <c r="C404" s="83"/>
      <c r="D404" s="15"/>
      <c r="E404" s="15"/>
      <c r="F404" s="83"/>
      <c r="G404" s="83"/>
      <c r="H404" s="16"/>
      <c r="I404" s="83"/>
      <c r="J404" s="83"/>
      <c r="K404" s="16"/>
      <c r="L404" s="15"/>
      <c r="M404" s="20"/>
      <c r="N404" s="15"/>
      <c r="O404" s="20"/>
      <c r="P404" s="15"/>
      <c r="Q404" s="15"/>
      <c r="R404" s="17" t="str">
        <f>IF(Q404="","",VLOOKUP(Q404,'References (2)'!C:D,2,0))</f>
        <v/>
      </c>
      <c r="S404" s="17" t="str">
        <f>IF(Q404="","",VLOOKUP(Q404,'References (2)'!C:F,4,0))</f>
        <v/>
      </c>
      <c r="T404" s="16"/>
      <c r="U404" s="20"/>
      <c r="V404" s="15"/>
      <c r="W404" s="22"/>
      <c r="X404" s="16"/>
      <c r="Y404" s="22"/>
      <c r="Z404" s="25" t="str">
        <f t="shared" si="114"/>
        <v/>
      </c>
      <c r="AA404" s="17" t="str">
        <f t="shared" ca="1" si="115"/>
        <v/>
      </c>
      <c r="AB404" s="17" t="str">
        <f t="shared" ca="1" si="116"/>
        <v/>
      </c>
      <c r="AC404" s="17" t="str">
        <f t="shared" ca="1" si="117"/>
        <v/>
      </c>
      <c r="AD404" s="17" t="str">
        <f t="shared" ca="1" si="118"/>
        <v/>
      </c>
      <c r="AE404" s="17" t="str">
        <f t="shared" si="119"/>
        <v/>
      </c>
      <c r="AF404" s="17" t="str">
        <f t="shared" si="120"/>
        <v/>
      </c>
      <c r="AG404" s="17" t="str">
        <f t="shared" si="121"/>
        <v/>
      </c>
      <c r="AH404" s="17">
        <f t="shared" si="122"/>
        <v>0</v>
      </c>
      <c r="AI404" s="17" t="str">
        <f t="shared" ca="1" si="123"/>
        <v/>
      </c>
      <c r="AJ404" s="17" t="str">
        <f t="shared" ca="1" si="124"/>
        <v/>
      </c>
      <c r="AK404" s="17" t="str">
        <f t="shared" si="125"/>
        <v/>
      </c>
      <c r="AL404" s="17" t="str">
        <f t="shared" ca="1" si="126"/>
        <v/>
      </c>
      <c r="AN404" s="24">
        <f t="shared" si="127"/>
        <v>0</v>
      </c>
      <c r="AO404" s="24">
        <f t="shared" si="128"/>
        <v>0</v>
      </c>
      <c r="AP404" s="24">
        <f t="shared" si="129"/>
        <v>0</v>
      </c>
      <c r="AQ404" s="24">
        <f t="shared" si="130"/>
        <v>0</v>
      </c>
      <c r="AR404" s="24">
        <f t="shared" si="131"/>
        <v>0</v>
      </c>
      <c r="AS404" s="24">
        <f t="shared" si="132"/>
        <v>0</v>
      </c>
    </row>
    <row r="405" spans="1:45" x14ac:dyDescent="0.25">
      <c r="A405" s="83"/>
      <c r="B405" s="83"/>
      <c r="C405" s="83"/>
      <c r="D405" s="15"/>
      <c r="E405" s="15"/>
      <c r="F405" s="83"/>
      <c r="G405" s="83"/>
      <c r="H405" s="16"/>
      <c r="I405" s="83"/>
      <c r="J405" s="83"/>
      <c r="K405" s="16"/>
      <c r="L405" s="15"/>
      <c r="M405" s="20"/>
      <c r="N405" s="15"/>
      <c r="O405" s="20"/>
      <c r="P405" s="15"/>
      <c r="Q405" s="15"/>
      <c r="R405" s="17" t="str">
        <f>IF(Q405="","",VLOOKUP(Q405,'References (2)'!C:D,2,0))</f>
        <v/>
      </c>
      <c r="S405" s="17" t="str">
        <f>IF(Q405="","",VLOOKUP(Q405,'References (2)'!C:F,4,0))</f>
        <v/>
      </c>
      <c r="T405" s="16"/>
      <c r="U405" s="20"/>
      <c r="V405" s="15"/>
      <c r="W405" s="22"/>
      <c r="X405" s="16"/>
      <c r="Y405" s="22"/>
      <c r="Z405" s="25" t="str">
        <f t="shared" si="114"/>
        <v/>
      </c>
      <c r="AA405" s="17" t="str">
        <f t="shared" ca="1" si="115"/>
        <v/>
      </c>
      <c r="AB405" s="17" t="str">
        <f t="shared" ca="1" si="116"/>
        <v/>
      </c>
      <c r="AC405" s="17" t="str">
        <f t="shared" ca="1" si="117"/>
        <v/>
      </c>
      <c r="AD405" s="17" t="str">
        <f t="shared" ca="1" si="118"/>
        <v/>
      </c>
      <c r="AE405" s="17" t="str">
        <f t="shared" si="119"/>
        <v/>
      </c>
      <c r="AF405" s="17" t="str">
        <f t="shared" si="120"/>
        <v/>
      </c>
      <c r="AG405" s="17" t="str">
        <f t="shared" si="121"/>
        <v/>
      </c>
      <c r="AH405" s="17">
        <f t="shared" si="122"/>
        <v>0</v>
      </c>
      <c r="AI405" s="17" t="str">
        <f t="shared" ca="1" si="123"/>
        <v/>
      </c>
      <c r="AJ405" s="17" t="str">
        <f t="shared" ca="1" si="124"/>
        <v/>
      </c>
      <c r="AK405" s="17" t="str">
        <f t="shared" si="125"/>
        <v/>
      </c>
      <c r="AL405" s="17" t="str">
        <f t="shared" ca="1" si="126"/>
        <v/>
      </c>
      <c r="AN405" s="24">
        <f t="shared" si="127"/>
        <v>0</v>
      </c>
      <c r="AO405" s="24">
        <f t="shared" si="128"/>
        <v>0</v>
      </c>
      <c r="AP405" s="24">
        <f t="shared" si="129"/>
        <v>0</v>
      </c>
      <c r="AQ405" s="24">
        <f t="shared" si="130"/>
        <v>0</v>
      </c>
      <c r="AR405" s="24">
        <f t="shared" si="131"/>
        <v>0</v>
      </c>
      <c r="AS405" s="24">
        <f t="shared" si="132"/>
        <v>0</v>
      </c>
    </row>
    <row r="406" spans="1:45" x14ac:dyDescent="0.25">
      <c r="A406" s="83"/>
      <c r="B406" s="83"/>
      <c r="C406" s="83"/>
      <c r="D406" s="15"/>
      <c r="E406" s="15"/>
      <c r="F406" s="83"/>
      <c r="G406" s="83"/>
      <c r="H406" s="16"/>
      <c r="I406" s="83"/>
      <c r="J406" s="83"/>
      <c r="K406" s="16"/>
      <c r="L406" s="15"/>
      <c r="M406" s="20"/>
      <c r="N406" s="15"/>
      <c r="O406" s="20"/>
      <c r="P406" s="15"/>
      <c r="Q406" s="15"/>
      <c r="R406" s="17" t="str">
        <f>IF(Q406="","",VLOOKUP(Q406,'References (2)'!C:D,2,0))</f>
        <v/>
      </c>
      <c r="S406" s="17" t="str">
        <f>IF(Q406="","",VLOOKUP(Q406,'References (2)'!C:F,4,0))</f>
        <v/>
      </c>
      <c r="T406" s="16"/>
      <c r="U406" s="20"/>
      <c r="V406" s="15"/>
      <c r="W406" s="22"/>
      <c r="X406" s="16"/>
      <c r="Y406" s="22"/>
      <c r="Z406" s="25" t="str">
        <f t="shared" si="114"/>
        <v/>
      </c>
      <c r="AA406" s="17" t="str">
        <f t="shared" ca="1" si="115"/>
        <v/>
      </c>
      <c r="AB406" s="17" t="str">
        <f t="shared" ca="1" si="116"/>
        <v/>
      </c>
      <c r="AC406" s="17" t="str">
        <f t="shared" ca="1" si="117"/>
        <v/>
      </c>
      <c r="AD406" s="17" t="str">
        <f t="shared" ca="1" si="118"/>
        <v/>
      </c>
      <c r="AE406" s="17" t="str">
        <f t="shared" si="119"/>
        <v/>
      </c>
      <c r="AF406" s="17" t="str">
        <f t="shared" si="120"/>
        <v/>
      </c>
      <c r="AG406" s="17" t="str">
        <f t="shared" si="121"/>
        <v/>
      </c>
      <c r="AH406" s="17">
        <f t="shared" si="122"/>
        <v>0</v>
      </c>
      <c r="AI406" s="17" t="str">
        <f t="shared" ca="1" si="123"/>
        <v/>
      </c>
      <c r="AJ406" s="17" t="str">
        <f t="shared" ca="1" si="124"/>
        <v/>
      </c>
      <c r="AK406" s="17" t="str">
        <f t="shared" si="125"/>
        <v/>
      </c>
      <c r="AL406" s="17" t="str">
        <f t="shared" ca="1" si="126"/>
        <v/>
      </c>
      <c r="AN406" s="24">
        <f t="shared" si="127"/>
        <v>0</v>
      </c>
      <c r="AO406" s="24">
        <f t="shared" si="128"/>
        <v>0</v>
      </c>
      <c r="AP406" s="24">
        <f t="shared" si="129"/>
        <v>0</v>
      </c>
      <c r="AQ406" s="24">
        <f t="shared" si="130"/>
        <v>0</v>
      </c>
      <c r="AR406" s="24">
        <f t="shared" si="131"/>
        <v>0</v>
      </c>
      <c r="AS406" s="24">
        <f t="shared" si="132"/>
        <v>0</v>
      </c>
    </row>
    <row r="407" spans="1:45" x14ac:dyDescent="0.25">
      <c r="A407" s="83"/>
      <c r="B407" s="83"/>
      <c r="C407" s="83"/>
      <c r="D407" s="15"/>
      <c r="E407" s="15"/>
      <c r="F407" s="83"/>
      <c r="G407" s="83"/>
      <c r="H407" s="16"/>
      <c r="I407" s="83"/>
      <c r="J407" s="83"/>
      <c r="K407" s="16"/>
      <c r="L407" s="15"/>
      <c r="M407" s="20"/>
      <c r="N407" s="15"/>
      <c r="O407" s="20"/>
      <c r="P407" s="15"/>
      <c r="Q407" s="15"/>
      <c r="R407" s="17" t="str">
        <f>IF(Q407="","",VLOOKUP(Q407,'References (2)'!C:D,2,0))</f>
        <v/>
      </c>
      <c r="S407" s="17" t="str">
        <f>IF(Q407="","",VLOOKUP(Q407,'References (2)'!C:F,4,0))</f>
        <v/>
      </c>
      <c r="T407" s="16"/>
      <c r="U407" s="20"/>
      <c r="V407" s="15"/>
      <c r="W407" s="22"/>
      <c r="X407" s="16"/>
      <c r="Y407" s="22"/>
      <c r="Z407" s="25" t="str">
        <f t="shared" si="114"/>
        <v/>
      </c>
      <c r="AA407" s="17" t="str">
        <f t="shared" ca="1" si="115"/>
        <v/>
      </c>
      <c r="AB407" s="17" t="str">
        <f t="shared" ca="1" si="116"/>
        <v/>
      </c>
      <c r="AC407" s="17" t="str">
        <f t="shared" ca="1" si="117"/>
        <v/>
      </c>
      <c r="AD407" s="17" t="str">
        <f t="shared" ca="1" si="118"/>
        <v/>
      </c>
      <c r="AE407" s="17" t="str">
        <f t="shared" si="119"/>
        <v/>
      </c>
      <c r="AF407" s="17" t="str">
        <f t="shared" si="120"/>
        <v/>
      </c>
      <c r="AG407" s="17" t="str">
        <f t="shared" si="121"/>
        <v/>
      </c>
      <c r="AH407" s="17">
        <f t="shared" si="122"/>
        <v>0</v>
      </c>
      <c r="AI407" s="17" t="str">
        <f t="shared" ca="1" si="123"/>
        <v/>
      </c>
      <c r="AJ407" s="17" t="str">
        <f t="shared" ca="1" si="124"/>
        <v/>
      </c>
      <c r="AK407" s="17" t="str">
        <f t="shared" si="125"/>
        <v/>
      </c>
      <c r="AL407" s="17" t="str">
        <f t="shared" ca="1" si="126"/>
        <v/>
      </c>
      <c r="AN407" s="24">
        <f t="shared" si="127"/>
        <v>0</v>
      </c>
      <c r="AO407" s="24">
        <f t="shared" si="128"/>
        <v>0</v>
      </c>
      <c r="AP407" s="24">
        <f t="shared" si="129"/>
        <v>0</v>
      </c>
      <c r="AQ407" s="24">
        <f t="shared" si="130"/>
        <v>0</v>
      </c>
      <c r="AR407" s="24">
        <f t="shared" si="131"/>
        <v>0</v>
      </c>
      <c r="AS407" s="24">
        <f t="shared" si="132"/>
        <v>0</v>
      </c>
    </row>
    <row r="408" spans="1:45" x14ac:dyDescent="0.25">
      <c r="A408" s="83"/>
      <c r="B408" s="83"/>
      <c r="C408" s="83"/>
      <c r="D408" s="15"/>
      <c r="E408" s="15"/>
      <c r="F408" s="83"/>
      <c r="G408" s="83"/>
      <c r="H408" s="16"/>
      <c r="I408" s="83"/>
      <c r="J408" s="83"/>
      <c r="K408" s="16"/>
      <c r="L408" s="15"/>
      <c r="M408" s="20"/>
      <c r="N408" s="15"/>
      <c r="O408" s="20"/>
      <c r="P408" s="15"/>
      <c r="Q408" s="15"/>
      <c r="R408" s="17" t="str">
        <f>IF(Q408="","",VLOOKUP(Q408,'References (2)'!C:D,2,0))</f>
        <v/>
      </c>
      <c r="S408" s="17" t="str">
        <f>IF(Q408="","",VLOOKUP(Q408,'References (2)'!C:F,4,0))</f>
        <v/>
      </c>
      <c r="T408" s="16"/>
      <c r="U408" s="20"/>
      <c r="V408" s="15"/>
      <c r="W408" s="22"/>
      <c r="X408" s="16"/>
      <c r="Y408" s="22"/>
      <c r="Z408" s="25" t="str">
        <f t="shared" si="114"/>
        <v/>
      </c>
      <c r="AA408" s="17" t="str">
        <f t="shared" ca="1" si="115"/>
        <v/>
      </c>
      <c r="AB408" s="17" t="str">
        <f t="shared" ca="1" si="116"/>
        <v/>
      </c>
      <c r="AC408" s="17" t="str">
        <f t="shared" ca="1" si="117"/>
        <v/>
      </c>
      <c r="AD408" s="17" t="str">
        <f t="shared" ca="1" si="118"/>
        <v/>
      </c>
      <c r="AE408" s="17" t="str">
        <f t="shared" si="119"/>
        <v/>
      </c>
      <c r="AF408" s="17" t="str">
        <f t="shared" si="120"/>
        <v/>
      </c>
      <c r="AG408" s="17" t="str">
        <f t="shared" si="121"/>
        <v/>
      </c>
      <c r="AH408" s="17">
        <f t="shared" si="122"/>
        <v>0</v>
      </c>
      <c r="AI408" s="17" t="str">
        <f t="shared" ca="1" si="123"/>
        <v/>
      </c>
      <c r="AJ408" s="17" t="str">
        <f t="shared" ca="1" si="124"/>
        <v/>
      </c>
      <c r="AK408" s="17" t="str">
        <f t="shared" si="125"/>
        <v/>
      </c>
      <c r="AL408" s="17" t="str">
        <f t="shared" ca="1" si="126"/>
        <v/>
      </c>
      <c r="AN408" s="24">
        <f t="shared" si="127"/>
        <v>0</v>
      </c>
      <c r="AO408" s="24">
        <f t="shared" si="128"/>
        <v>0</v>
      </c>
      <c r="AP408" s="24">
        <f t="shared" si="129"/>
        <v>0</v>
      </c>
      <c r="AQ408" s="24">
        <f t="shared" si="130"/>
        <v>0</v>
      </c>
      <c r="AR408" s="24">
        <f t="shared" si="131"/>
        <v>0</v>
      </c>
      <c r="AS408" s="24">
        <f t="shared" si="132"/>
        <v>0</v>
      </c>
    </row>
    <row r="409" spans="1:45" x14ac:dyDescent="0.25">
      <c r="A409" s="83"/>
      <c r="B409" s="83"/>
      <c r="C409" s="83"/>
      <c r="D409" s="15"/>
      <c r="E409" s="15"/>
      <c r="F409" s="83"/>
      <c r="G409" s="83"/>
      <c r="H409" s="16"/>
      <c r="I409" s="83"/>
      <c r="J409" s="83"/>
      <c r="K409" s="16"/>
      <c r="L409" s="15"/>
      <c r="M409" s="20"/>
      <c r="N409" s="15"/>
      <c r="O409" s="20"/>
      <c r="P409" s="15"/>
      <c r="Q409" s="15"/>
      <c r="R409" s="17" t="str">
        <f>IF(Q409="","",VLOOKUP(Q409,'References (2)'!C:D,2,0))</f>
        <v/>
      </c>
      <c r="S409" s="17" t="str">
        <f>IF(Q409="","",VLOOKUP(Q409,'References (2)'!C:F,4,0))</f>
        <v/>
      </c>
      <c r="T409" s="16"/>
      <c r="U409" s="20"/>
      <c r="V409" s="15"/>
      <c r="W409" s="22"/>
      <c r="X409" s="16"/>
      <c r="Y409" s="22"/>
      <c r="Z409" s="25" t="str">
        <f t="shared" si="114"/>
        <v/>
      </c>
      <c r="AA409" s="17" t="str">
        <f t="shared" ca="1" si="115"/>
        <v/>
      </c>
      <c r="AB409" s="17" t="str">
        <f t="shared" ca="1" si="116"/>
        <v/>
      </c>
      <c r="AC409" s="17" t="str">
        <f t="shared" ca="1" si="117"/>
        <v/>
      </c>
      <c r="AD409" s="17" t="str">
        <f t="shared" ca="1" si="118"/>
        <v/>
      </c>
      <c r="AE409" s="17" t="str">
        <f t="shared" si="119"/>
        <v/>
      </c>
      <c r="AF409" s="17" t="str">
        <f t="shared" si="120"/>
        <v/>
      </c>
      <c r="AG409" s="17" t="str">
        <f t="shared" si="121"/>
        <v/>
      </c>
      <c r="AH409" s="17">
        <f t="shared" si="122"/>
        <v>0</v>
      </c>
      <c r="AI409" s="17" t="str">
        <f t="shared" ca="1" si="123"/>
        <v/>
      </c>
      <c r="AJ409" s="17" t="str">
        <f t="shared" ca="1" si="124"/>
        <v/>
      </c>
      <c r="AK409" s="17" t="str">
        <f t="shared" si="125"/>
        <v/>
      </c>
      <c r="AL409" s="17" t="str">
        <f t="shared" ca="1" si="126"/>
        <v/>
      </c>
      <c r="AN409" s="24">
        <f t="shared" si="127"/>
        <v>0</v>
      </c>
      <c r="AO409" s="24">
        <f t="shared" si="128"/>
        <v>0</v>
      </c>
      <c r="AP409" s="24">
        <f t="shared" si="129"/>
        <v>0</v>
      </c>
      <c r="AQ409" s="24">
        <f t="shared" si="130"/>
        <v>0</v>
      </c>
      <c r="AR409" s="24">
        <f t="shared" si="131"/>
        <v>0</v>
      </c>
      <c r="AS409" s="24">
        <f t="shared" si="132"/>
        <v>0</v>
      </c>
    </row>
    <row r="410" spans="1:45" x14ac:dyDescent="0.25">
      <c r="A410" s="83"/>
      <c r="B410" s="83"/>
      <c r="C410" s="83"/>
      <c r="D410" s="15"/>
      <c r="E410" s="15"/>
      <c r="F410" s="83"/>
      <c r="G410" s="83"/>
      <c r="H410" s="16"/>
      <c r="I410" s="83"/>
      <c r="J410" s="83"/>
      <c r="K410" s="16"/>
      <c r="L410" s="15"/>
      <c r="M410" s="20"/>
      <c r="N410" s="15"/>
      <c r="O410" s="20"/>
      <c r="P410" s="15"/>
      <c r="Q410" s="15"/>
      <c r="R410" s="17" t="str">
        <f>IF(Q410="","",VLOOKUP(Q410,'References (2)'!C:D,2,0))</f>
        <v/>
      </c>
      <c r="S410" s="17" t="str">
        <f>IF(Q410="","",VLOOKUP(Q410,'References (2)'!C:F,4,0))</f>
        <v/>
      </c>
      <c r="T410" s="16"/>
      <c r="U410" s="20"/>
      <c r="V410" s="15"/>
      <c r="W410" s="22"/>
      <c r="X410" s="16"/>
      <c r="Y410" s="22"/>
      <c r="Z410" s="25" t="str">
        <f t="shared" si="114"/>
        <v/>
      </c>
      <c r="AA410" s="17" t="str">
        <f t="shared" ca="1" si="115"/>
        <v/>
      </c>
      <c r="AB410" s="17" t="str">
        <f t="shared" ca="1" si="116"/>
        <v/>
      </c>
      <c r="AC410" s="17" t="str">
        <f t="shared" ca="1" si="117"/>
        <v/>
      </c>
      <c r="AD410" s="17" t="str">
        <f t="shared" ca="1" si="118"/>
        <v/>
      </c>
      <c r="AE410" s="17" t="str">
        <f t="shared" si="119"/>
        <v/>
      </c>
      <c r="AF410" s="17" t="str">
        <f t="shared" si="120"/>
        <v/>
      </c>
      <c r="AG410" s="17" t="str">
        <f t="shared" si="121"/>
        <v/>
      </c>
      <c r="AH410" s="17">
        <f t="shared" si="122"/>
        <v>0</v>
      </c>
      <c r="AI410" s="17" t="str">
        <f t="shared" ca="1" si="123"/>
        <v/>
      </c>
      <c r="AJ410" s="17" t="str">
        <f t="shared" ca="1" si="124"/>
        <v/>
      </c>
      <c r="AK410" s="17" t="str">
        <f t="shared" si="125"/>
        <v/>
      </c>
      <c r="AL410" s="17" t="str">
        <f t="shared" ca="1" si="126"/>
        <v/>
      </c>
      <c r="AN410" s="24">
        <f t="shared" si="127"/>
        <v>0</v>
      </c>
      <c r="AO410" s="24">
        <f t="shared" si="128"/>
        <v>0</v>
      </c>
      <c r="AP410" s="24">
        <f t="shared" si="129"/>
        <v>0</v>
      </c>
      <c r="AQ410" s="24">
        <f t="shared" si="130"/>
        <v>0</v>
      </c>
      <c r="AR410" s="24">
        <f t="shared" si="131"/>
        <v>0</v>
      </c>
      <c r="AS410" s="24">
        <f t="shared" si="132"/>
        <v>0</v>
      </c>
    </row>
    <row r="411" spans="1:45" x14ac:dyDescent="0.25">
      <c r="A411" s="83"/>
      <c r="B411" s="83"/>
      <c r="C411" s="83"/>
      <c r="D411" s="15"/>
      <c r="E411" s="15"/>
      <c r="F411" s="83"/>
      <c r="G411" s="83"/>
      <c r="H411" s="16"/>
      <c r="I411" s="83"/>
      <c r="J411" s="83"/>
      <c r="K411" s="16"/>
      <c r="L411" s="15"/>
      <c r="M411" s="20"/>
      <c r="N411" s="15"/>
      <c r="O411" s="20"/>
      <c r="P411" s="15"/>
      <c r="Q411" s="15"/>
      <c r="R411" s="17" t="str">
        <f>IF(Q411="","",VLOOKUP(Q411,'References (2)'!C:D,2,0))</f>
        <v/>
      </c>
      <c r="S411" s="17" t="str">
        <f>IF(Q411="","",VLOOKUP(Q411,'References (2)'!C:F,4,0))</f>
        <v/>
      </c>
      <c r="T411" s="16"/>
      <c r="U411" s="20"/>
      <c r="V411" s="15"/>
      <c r="W411" s="22"/>
      <c r="X411" s="16"/>
      <c r="Y411" s="22"/>
      <c r="Z411" s="25" t="str">
        <f t="shared" si="114"/>
        <v/>
      </c>
      <c r="AA411" s="17" t="str">
        <f t="shared" ca="1" si="115"/>
        <v/>
      </c>
      <c r="AB411" s="17" t="str">
        <f t="shared" ca="1" si="116"/>
        <v/>
      </c>
      <c r="AC411" s="17" t="str">
        <f t="shared" ca="1" si="117"/>
        <v/>
      </c>
      <c r="AD411" s="17" t="str">
        <f t="shared" ca="1" si="118"/>
        <v/>
      </c>
      <c r="AE411" s="17" t="str">
        <f t="shared" si="119"/>
        <v/>
      </c>
      <c r="AF411" s="17" t="str">
        <f t="shared" si="120"/>
        <v/>
      </c>
      <c r="AG411" s="17" t="str">
        <f t="shared" si="121"/>
        <v/>
      </c>
      <c r="AH411" s="17">
        <f t="shared" si="122"/>
        <v>0</v>
      </c>
      <c r="AI411" s="17" t="str">
        <f t="shared" ca="1" si="123"/>
        <v/>
      </c>
      <c r="AJ411" s="17" t="str">
        <f t="shared" ca="1" si="124"/>
        <v/>
      </c>
      <c r="AK411" s="17" t="str">
        <f t="shared" si="125"/>
        <v/>
      </c>
      <c r="AL411" s="17" t="str">
        <f t="shared" ca="1" si="126"/>
        <v/>
      </c>
      <c r="AN411" s="24">
        <f t="shared" si="127"/>
        <v>0</v>
      </c>
      <c r="AO411" s="24">
        <f t="shared" si="128"/>
        <v>0</v>
      </c>
      <c r="AP411" s="24">
        <f t="shared" si="129"/>
        <v>0</v>
      </c>
      <c r="AQ411" s="24">
        <f t="shared" si="130"/>
        <v>0</v>
      </c>
      <c r="AR411" s="24">
        <f t="shared" si="131"/>
        <v>0</v>
      </c>
      <c r="AS411" s="24">
        <f t="shared" si="132"/>
        <v>0</v>
      </c>
    </row>
    <row r="412" spans="1:45" x14ac:dyDescent="0.25">
      <c r="A412" s="83"/>
      <c r="B412" s="83"/>
      <c r="C412" s="83"/>
      <c r="D412" s="15"/>
      <c r="E412" s="15"/>
      <c r="F412" s="83"/>
      <c r="G412" s="83"/>
      <c r="H412" s="16"/>
      <c r="I412" s="83"/>
      <c r="J412" s="83"/>
      <c r="K412" s="16"/>
      <c r="L412" s="15"/>
      <c r="M412" s="20"/>
      <c r="N412" s="15"/>
      <c r="O412" s="20"/>
      <c r="P412" s="15"/>
      <c r="Q412" s="15"/>
      <c r="R412" s="17" t="str">
        <f>IF(Q412="","",VLOOKUP(Q412,'References (2)'!C:D,2,0))</f>
        <v/>
      </c>
      <c r="S412" s="17" t="str">
        <f>IF(Q412="","",VLOOKUP(Q412,'References (2)'!C:F,4,0))</f>
        <v/>
      </c>
      <c r="T412" s="16"/>
      <c r="U412" s="20"/>
      <c r="V412" s="15"/>
      <c r="W412" s="22"/>
      <c r="X412" s="16"/>
      <c r="Y412" s="22"/>
      <c r="Z412" s="25" t="str">
        <f t="shared" si="114"/>
        <v/>
      </c>
      <c r="AA412" s="17" t="str">
        <f t="shared" ca="1" si="115"/>
        <v/>
      </c>
      <c r="AB412" s="17" t="str">
        <f t="shared" ca="1" si="116"/>
        <v/>
      </c>
      <c r="AC412" s="17" t="str">
        <f t="shared" ca="1" si="117"/>
        <v/>
      </c>
      <c r="AD412" s="17" t="str">
        <f t="shared" ca="1" si="118"/>
        <v/>
      </c>
      <c r="AE412" s="17" t="str">
        <f t="shared" si="119"/>
        <v/>
      </c>
      <c r="AF412" s="17" t="str">
        <f t="shared" si="120"/>
        <v/>
      </c>
      <c r="AG412" s="17" t="str">
        <f t="shared" si="121"/>
        <v/>
      </c>
      <c r="AH412" s="17">
        <f t="shared" si="122"/>
        <v>0</v>
      </c>
      <c r="AI412" s="17" t="str">
        <f t="shared" ca="1" si="123"/>
        <v/>
      </c>
      <c r="AJ412" s="17" t="str">
        <f t="shared" ca="1" si="124"/>
        <v/>
      </c>
      <c r="AK412" s="17" t="str">
        <f t="shared" si="125"/>
        <v/>
      </c>
      <c r="AL412" s="17" t="str">
        <f t="shared" ca="1" si="126"/>
        <v/>
      </c>
      <c r="AN412" s="24">
        <f t="shared" si="127"/>
        <v>0</v>
      </c>
      <c r="AO412" s="24">
        <f t="shared" si="128"/>
        <v>0</v>
      </c>
      <c r="AP412" s="24">
        <f t="shared" si="129"/>
        <v>0</v>
      </c>
      <c r="AQ412" s="24">
        <f t="shared" si="130"/>
        <v>0</v>
      </c>
      <c r="AR412" s="24">
        <f t="shared" si="131"/>
        <v>0</v>
      </c>
      <c r="AS412" s="24">
        <f t="shared" si="132"/>
        <v>0</v>
      </c>
    </row>
    <row r="413" spans="1:45" x14ac:dyDescent="0.25">
      <c r="A413" s="83"/>
      <c r="B413" s="83"/>
      <c r="C413" s="83"/>
      <c r="D413" s="15"/>
      <c r="E413" s="15"/>
      <c r="F413" s="83"/>
      <c r="G413" s="83"/>
      <c r="H413" s="16"/>
      <c r="I413" s="83"/>
      <c r="J413" s="83"/>
      <c r="K413" s="16"/>
      <c r="L413" s="15"/>
      <c r="M413" s="20"/>
      <c r="N413" s="15"/>
      <c r="O413" s="20"/>
      <c r="P413" s="15"/>
      <c r="Q413" s="15"/>
      <c r="R413" s="17" t="str">
        <f>IF(Q413="","",VLOOKUP(Q413,'References (2)'!C:D,2,0))</f>
        <v/>
      </c>
      <c r="S413" s="17" t="str">
        <f>IF(Q413="","",VLOOKUP(Q413,'References (2)'!C:F,4,0))</f>
        <v/>
      </c>
      <c r="T413" s="16"/>
      <c r="U413" s="20"/>
      <c r="V413" s="15"/>
      <c r="W413" s="22"/>
      <c r="X413" s="16"/>
      <c r="Y413" s="22"/>
      <c r="Z413" s="25" t="str">
        <f t="shared" si="114"/>
        <v/>
      </c>
      <c r="AA413" s="17" t="str">
        <f t="shared" ca="1" si="115"/>
        <v/>
      </c>
      <c r="AB413" s="17" t="str">
        <f t="shared" ca="1" si="116"/>
        <v/>
      </c>
      <c r="AC413" s="17" t="str">
        <f t="shared" ca="1" si="117"/>
        <v/>
      </c>
      <c r="AD413" s="17" t="str">
        <f t="shared" ca="1" si="118"/>
        <v/>
      </c>
      <c r="AE413" s="17" t="str">
        <f t="shared" si="119"/>
        <v/>
      </c>
      <c r="AF413" s="17" t="str">
        <f t="shared" si="120"/>
        <v/>
      </c>
      <c r="AG413" s="17" t="str">
        <f t="shared" si="121"/>
        <v/>
      </c>
      <c r="AH413" s="17">
        <f t="shared" si="122"/>
        <v>0</v>
      </c>
      <c r="AI413" s="17" t="str">
        <f t="shared" ca="1" si="123"/>
        <v/>
      </c>
      <c r="AJ413" s="17" t="str">
        <f t="shared" ca="1" si="124"/>
        <v/>
      </c>
      <c r="AK413" s="17" t="str">
        <f t="shared" si="125"/>
        <v/>
      </c>
      <c r="AL413" s="17" t="str">
        <f t="shared" ca="1" si="126"/>
        <v/>
      </c>
      <c r="AN413" s="24">
        <f t="shared" si="127"/>
        <v>0</v>
      </c>
      <c r="AO413" s="24">
        <f t="shared" si="128"/>
        <v>0</v>
      </c>
      <c r="AP413" s="24">
        <f t="shared" si="129"/>
        <v>0</v>
      </c>
      <c r="AQ413" s="24">
        <f t="shared" si="130"/>
        <v>0</v>
      </c>
      <c r="AR413" s="24">
        <f t="shared" si="131"/>
        <v>0</v>
      </c>
      <c r="AS413" s="24">
        <f t="shared" si="132"/>
        <v>0</v>
      </c>
    </row>
    <row r="414" spans="1:45" x14ac:dyDescent="0.25">
      <c r="A414" s="83"/>
      <c r="B414" s="83"/>
      <c r="C414" s="83"/>
      <c r="D414" s="15"/>
      <c r="E414" s="15"/>
      <c r="F414" s="83"/>
      <c r="G414" s="83"/>
      <c r="H414" s="16"/>
      <c r="I414" s="83"/>
      <c r="J414" s="83"/>
      <c r="K414" s="16"/>
      <c r="L414" s="15"/>
      <c r="M414" s="20"/>
      <c r="N414" s="15"/>
      <c r="O414" s="20"/>
      <c r="P414" s="15"/>
      <c r="Q414" s="15"/>
      <c r="R414" s="17" t="str">
        <f>IF(Q414="","",VLOOKUP(Q414,'References (2)'!C:D,2,0))</f>
        <v/>
      </c>
      <c r="S414" s="17" t="str">
        <f>IF(Q414="","",VLOOKUP(Q414,'References (2)'!C:F,4,0))</f>
        <v/>
      </c>
      <c r="T414" s="16"/>
      <c r="U414" s="20"/>
      <c r="V414" s="15"/>
      <c r="W414" s="22"/>
      <c r="X414" s="16"/>
      <c r="Y414" s="22"/>
      <c r="Z414" s="25" t="str">
        <f t="shared" si="114"/>
        <v/>
      </c>
      <c r="AA414" s="17" t="str">
        <f t="shared" ca="1" si="115"/>
        <v/>
      </c>
      <c r="AB414" s="17" t="str">
        <f t="shared" ca="1" si="116"/>
        <v/>
      </c>
      <c r="AC414" s="17" t="str">
        <f t="shared" ca="1" si="117"/>
        <v/>
      </c>
      <c r="AD414" s="17" t="str">
        <f t="shared" ca="1" si="118"/>
        <v/>
      </c>
      <c r="AE414" s="17" t="str">
        <f t="shared" si="119"/>
        <v/>
      </c>
      <c r="AF414" s="17" t="str">
        <f t="shared" si="120"/>
        <v/>
      </c>
      <c r="AG414" s="17" t="str">
        <f t="shared" si="121"/>
        <v/>
      </c>
      <c r="AH414" s="17">
        <f t="shared" si="122"/>
        <v>0</v>
      </c>
      <c r="AI414" s="17" t="str">
        <f t="shared" ca="1" si="123"/>
        <v/>
      </c>
      <c r="AJ414" s="17" t="str">
        <f t="shared" ca="1" si="124"/>
        <v/>
      </c>
      <c r="AK414" s="17" t="str">
        <f t="shared" si="125"/>
        <v/>
      </c>
      <c r="AL414" s="17" t="str">
        <f t="shared" ca="1" si="126"/>
        <v/>
      </c>
      <c r="AN414" s="24">
        <f t="shared" si="127"/>
        <v>0</v>
      </c>
      <c r="AO414" s="24">
        <f t="shared" si="128"/>
        <v>0</v>
      </c>
      <c r="AP414" s="24">
        <f t="shared" si="129"/>
        <v>0</v>
      </c>
      <c r="AQ414" s="24">
        <f t="shared" si="130"/>
        <v>0</v>
      </c>
      <c r="AR414" s="24">
        <f t="shared" si="131"/>
        <v>0</v>
      </c>
      <c r="AS414" s="24">
        <f t="shared" si="132"/>
        <v>0</v>
      </c>
    </row>
    <row r="415" spans="1:45" x14ac:dyDescent="0.25">
      <c r="A415" s="83"/>
      <c r="B415" s="83"/>
      <c r="C415" s="83"/>
      <c r="D415" s="15"/>
      <c r="E415" s="15"/>
      <c r="F415" s="83"/>
      <c r="G415" s="83"/>
      <c r="H415" s="16"/>
      <c r="I415" s="83"/>
      <c r="J415" s="83"/>
      <c r="K415" s="16"/>
      <c r="L415" s="15"/>
      <c r="M415" s="20"/>
      <c r="N415" s="15"/>
      <c r="O415" s="20"/>
      <c r="P415" s="15"/>
      <c r="Q415" s="15"/>
      <c r="R415" s="17" t="str">
        <f>IF(Q415="","",VLOOKUP(Q415,'References (2)'!C:D,2,0))</f>
        <v/>
      </c>
      <c r="S415" s="17" t="str">
        <f>IF(Q415="","",VLOOKUP(Q415,'References (2)'!C:F,4,0))</f>
        <v/>
      </c>
      <c r="T415" s="16"/>
      <c r="U415" s="20"/>
      <c r="V415" s="15"/>
      <c r="W415" s="22"/>
      <c r="X415" s="16"/>
      <c r="Y415" s="22"/>
      <c r="Z415" s="25" t="str">
        <f t="shared" si="114"/>
        <v/>
      </c>
      <c r="AA415" s="17" t="str">
        <f t="shared" ca="1" si="115"/>
        <v/>
      </c>
      <c r="AB415" s="17" t="str">
        <f t="shared" ca="1" si="116"/>
        <v/>
      </c>
      <c r="AC415" s="17" t="str">
        <f t="shared" ca="1" si="117"/>
        <v/>
      </c>
      <c r="AD415" s="17" t="str">
        <f t="shared" ca="1" si="118"/>
        <v/>
      </c>
      <c r="AE415" s="17" t="str">
        <f t="shared" si="119"/>
        <v/>
      </c>
      <c r="AF415" s="17" t="str">
        <f t="shared" si="120"/>
        <v/>
      </c>
      <c r="AG415" s="17" t="str">
        <f t="shared" si="121"/>
        <v/>
      </c>
      <c r="AH415" s="17">
        <f t="shared" si="122"/>
        <v>0</v>
      </c>
      <c r="AI415" s="17" t="str">
        <f t="shared" ca="1" si="123"/>
        <v/>
      </c>
      <c r="AJ415" s="17" t="str">
        <f t="shared" ca="1" si="124"/>
        <v/>
      </c>
      <c r="AK415" s="17" t="str">
        <f t="shared" si="125"/>
        <v/>
      </c>
      <c r="AL415" s="17" t="str">
        <f t="shared" ca="1" si="126"/>
        <v/>
      </c>
      <c r="AN415" s="24">
        <f t="shared" si="127"/>
        <v>0</v>
      </c>
      <c r="AO415" s="24">
        <f t="shared" si="128"/>
        <v>0</v>
      </c>
      <c r="AP415" s="24">
        <f t="shared" si="129"/>
        <v>0</v>
      </c>
      <c r="AQ415" s="24">
        <f t="shared" si="130"/>
        <v>0</v>
      </c>
      <c r="AR415" s="24">
        <f t="shared" si="131"/>
        <v>0</v>
      </c>
      <c r="AS415" s="24">
        <f t="shared" si="132"/>
        <v>0</v>
      </c>
    </row>
    <row r="416" spans="1:45" x14ac:dyDescent="0.25">
      <c r="A416" s="83"/>
      <c r="B416" s="83"/>
      <c r="C416" s="83"/>
      <c r="D416" s="15"/>
      <c r="E416" s="15"/>
      <c r="F416" s="83"/>
      <c r="G416" s="83"/>
      <c r="H416" s="16"/>
      <c r="I416" s="83"/>
      <c r="J416" s="83"/>
      <c r="K416" s="16"/>
      <c r="L416" s="15"/>
      <c r="M416" s="20"/>
      <c r="N416" s="15"/>
      <c r="O416" s="20"/>
      <c r="P416" s="15"/>
      <c r="Q416" s="15"/>
      <c r="R416" s="17" t="str">
        <f>IF(Q416="","",VLOOKUP(Q416,'References (2)'!C:D,2,0))</f>
        <v/>
      </c>
      <c r="S416" s="17" t="str">
        <f>IF(Q416="","",VLOOKUP(Q416,'References (2)'!C:F,4,0))</f>
        <v/>
      </c>
      <c r="T416" s="16"/>
      <c r="U416" s="20"/>
      <c r="V416" s="15"/>
      <c r="W416" s="22"/>
      <c r="X416" s="16"/>
      <c r="Y416" s="22"/>
      <c r="Z416" s="25" t="str">
        <f t="shared" si="114"/>
        <v/>
      </c>
      <c r="AA416" s="17" t="str">
        <f t="shared" ca="1" si="115"/>
        <v/>
      </c>
      <c r="AB416" s="17" t="str">
        <f t="shared" ca="1" si="116"/>
        <v/>
      </c>
      <c r="AC416" s="17" t="str">
        <f t="shared" ca="1" si="117"/>
        <v/>
      </c>
      <c r="AD416" s="17" t="str">
        <f t="shared" ca="1" si="118"/>
        <v/>
      </c>
      <c r="AE416" s="17" t="str">
        <f t="shared" si="119"/>
        <v/>
      </c>
      <c r="AF416" s="17" t="str">
        <f t="shared" si="120"/>
        <v/>
      </c>
      <c r="AG416" s="17" t="str">
        <f t="shared" si="121"/>
        <v/>
      </c>
      <c r="AH416" s="17">
        <f t="shared" si="122"/>
        <v>0</v>
      </c>
      <c r="AI416" s="17" t="str">
        <f t="shared" ca="1" si="123"/>
        <v/>
      </c>
      <c r="AJ416" s="17" t="str">
        <f t="shared" ca="1" si="124"/>
        <v/>
      </c>
      <c r="AK416" s="17" t="str">
        <f t="shared" si="125"/>
        <v/>
      </c>
      <c r="AL416" s="17" t="str">
        <f t="shared" ca="1" si="126"/>
        <v/>
      </c>
      <c r="AN416" s="24">
        <f t="shared" si="127"/>
        <v>0</v>
      </c>
      <c r="AO416" s="24">
        <f t="shared" si="128"/>
        <v>0</v>
      </c>
      <c r="AP416" s="24">
        <f t="shared" si="129"/>
        <v>0</v>
      </c>
      <c r="AQ416" s="24">
        <f t="shared" si="130"/>
        <v>0</v>
      </c>
      <c r="AR416" s="24">
        <f t="shared" si="131"/>
        <v>0</v>
      </c>
      <c r="AS416" s="24">
        <f t="shared" si="132"/>
        <v>0</v>
      </c>
    </row>
    <row r="417" spans="1:45" x14ac:dyDescent="0.25">
      <c r="A417" s="83"/>
      <c r="B417" s="83"/>
      <c r="C417" s="83"/>
      <c r="D417" s="15"/>
      <c r="E417" s="15"/>
      <c r="F417" s="83"/>
      <c r="G417" s="83"/>
      <c r="H417" s="16"/>
      <c r="I417" s="83"/>
      <c r="J417" s="83"/>
      <c r="K417" s="16"/>
      <c r="L417" s="15"/>
      <c r="M417" s="20"/>
      <c r="N417" s="15"/>
      <c r="O417" s="20"/>
      <c r="P417" s="15"/>
      <c r="Q417" s="15"/>
      <c r="R417" s="17" t="str">
        <f>IF(Q417="","",VLOOKUP(Q417,'References (2)'!C:D,2,0))</f>
        <v/>
      </c>
      <c r="S417" s="17" t="str">
        <f>IF(Q417="","",VLOOKUP(Q417,'References (2)'!C:F,4,0))</f>
        <v/>
      </c>
      <c r="T417" s="16"/>
      <c r="U417" s="20"/>
      <c r="V417" s="15"/>
      <c r="W417" s="22"/>
      <c r="X417" s="16"/>
      <c r="Y417" s="22"/>
      <c r="Z417" s="25" t="str">
        <f t="shared" si="114"/>
        <v/>
      </c>
      <c r="AA417" s="17" t="str">
        <f t="shared" ca="1" si="115"/>
        <v/>
      </c>
      <c r="AB417" s="17" t="str">
        <f t="shared" ca="1" si="116"/>
        <v/>
      </c>
      <c r="AC417" s="17" t="str">
        <f t="shared" ca="1" si="117"/>
        <v/>
      </c>
      <c r="AD417" s="17" t="str">
        <f t="shared" ca="1" si="118"/>
        <v/>
      </c>
      <c r="AE417" s="17" t="str">
        <f t="shared" si="119"/>
        <v/>
      </c>
      <c r="AF417" s="17" t="str">
        <f t="shared" si="120"/>
        <v/>
      </c>
      <c r="AG417" s="17" t="str">
        <f t="shared" si="121"/>
        <v/>
      </c>
      <c r="AH417" s="17">
        <f t="shared" si="122"/>
        <v>0</v>
      </c>
      <c r="AI417" s="17" t="str">
        <f t="shared" ca="1" si="123"/>
        <v/>
      </c>
      <c r="AJ417" s="17" t="str">
        <f t="shared" ca="1" si="124"/>
        <v/>
      </c>
      <c r="AK417" s="17" t="str">
        <f t="shared" si="125"/>
        <v/>
      </c>
      <c r="AL417" s="17" t="str">
        <f t="shared" ca="1" si="126"/>
        <v/>
      </c>
      <c r="AN417" s="24">
        <f t="shared" si="127"/>
        <v>0</v>
      </c>
      <c r="AO417" s="24">
        <f t="shared" si="128"/>
        <v>0</v>
      </c>
      <c r="AP417" s="24">
        <f t="shared" si="129"/>
        <v>0</v>
      </c>
      <c r="AQ417" s="24">
        <f t="shared" si="130"/>
        <v>0</v>
      </c>
      <c r="AR417" s="24">
        <f t="shared" si="131"/>
        <v>0</v>
      </c>
      <c r="AS417" s="24">
        <f t="shared" si="132"/>
        <v>0</v>
      </c>
    </row>
    <row r="418" spans="1:45" x14ac:dyDescent="0.25">
      <c r="A418" s="83"/>
      <c r="B418" s="83"/>
      <c r="C418" s="83"/>
      <c r="D418" s="15"/>
      <c r="E418" s="15"/>
      <c r="F418" s="83"/>
      <c r="G418" s="83"/>
      <c r="H418" s="16"/>
      <c r="I418" s="83"/>
      <c r="J418" s="83"/>
      <c r="K418" s="16"/>
      <c r="L418" s="15"/>
      <c r="M418" s="20"/>
      <c r="N418" s="15"/>
      <c r="O418" s="20"/>
      <c r="P418" s="15"/>
      <c r="Q418" s="15"/>
      <c r="R418" s="17" t="str">
        <f>IF(Q418="","",VLOOKUP(Q418,'References (2)'!C:D,2,0))</f>
        <v/>
      </c>
      <c r="S418" s="17" t="str">
        <f>IF(Q418="","",VLOOKUP(Q418,'References (2)'!C:F,4,0))</f>
        <v/>
      </c>
      <c r="T418" s="16"/>
      <c r="U418" s="20"/>
      <c r="V418" s="15"/>
      <c r="W418" s="22"/>
      <c r="X418" s="16"/>
      <c r="Y418" s="22"/>
      <c r="Z418" s="25" t="str">
        <f t="shared" si="114"/>
        <v/>
      </c>
      <c r="AA418" s="17" t="str">
        <f t="shared" ca="1" si="115"/>
        <v/>
      </c>
      <c r="AB418" s="17" t="str">
        <f t="shared" ca="1" si="116"/>
        <v/>
      </c>
      <c r="AC418" s="17" t="str">
        <f t="shared" ca="1" si="117"/>
        <v/>
      </c>
      <c r="AD418" s="17" t="str">
        <f t="shared" ca="1" si="118"/>
        <v/>
      </c>
      <c r="AE418" s="17" t="str">
        <f t="shared" si="119"/>
        <v/>
      </c>
      <c r="AF418" s="17" t="str">
        <f t="shared" si="120"/>
        <v/>
      </c>
      <c r="AG418" s="17" t="str">
        <f t="shared" si="121"/>
        <v/>
      </c>
      <c r="AH418" s="17">
        <f t="shared" si="122"/>
        <v>0</v>
      </c>
      <c r="AI418" s="17" t="str">
        <f t="shared" ca="1" si="123"/>
        <v/>
      </c>
      <c r="AJ418" s="17" t="str">
        <f t="shared" ca="1" si="124"/>
        <v/>
      </c>
      <c r="AK418" s="17" t="str">
        <f t="shared" si="125"/>
        <v/>
      </c>
      <c r="AL418" s="17" t="str">
        <f t="shared" ca="1" si="126"/>
        <v/>
      </c>
      <c r="AN418" s="24">
        <f t="shared" si="127"/>
        <v>0</v>
      </c>
      <c r="AO418" s="24">
        <f t="shared" si="128"/>
        <v>0</v>
      </c>
      <c r="AP418" s="24">
        <f t="shared" si="129"/>
        <v>0</v>
      </c>
      <c r="AQ418" s="24">
        <f t="shared" si="130"/>
        <v>0</v>
      </c>
      <c r="AR418" s="24">
        <f t="shared" si="131"/>
        <v>0</v>
      </c>
      <c r="AS418" s="24">
        <f t="shared" si="132"/>
        <v>0</v>
      </c>
    </row>
    <row r="419" spans="1:45" x14ac:dyDescent="0.25">
      <c r="A419" s="83"/>
      <c r="B419" s="83"/>
      <c r="C419" s="83"/>
      <c r="D419" s="15"/>
      <c r="E419" s="15"/>
      <c r="F419" s="83"/>
      <c r="G419" s="83"/>
      <c r="H419" s="16"/>
      <c r="I419" s="83"/>
      <c r="J419" s="83"/>
      <c r="K419" s="16"/>
      <c r="L419" s="15"/>
      <c r="M419" s="20"/>
      <c r="N419" s="15"/>
      <c r="O419" s="20"/>
      <c r="P419" s="15"/>
      <c r="Q419" s="15"/>
      <c r="R419" s="17" t="str">
        <f>IF(Q419="","",VLOOKUP(Q419,'References (2)'!C:D,2,0))</f>
        <v/>
      </c>
      <c r="S419" s="17" t="str">
        <f>IF(Q419="","",VLOOKUP(Q419,'References (2)'!C:F,4,0))</f>
        <v/>
      </c>
      <c r="T419" s="16"/>
      <c r="U419" s="20"/>
      <c r="V419" s="15"/>
      <c r="W419" s="22"/>
      <c r="X419" s="16"/>
      <c r="Y419" s="22"/>
      <c r="Z419" s="25" t="str">
        <f t="shared" si="114"/>
        <v/>
      </c>
      <c r="AA419" s="17" t="str">
        <f t="shared" ca="1" si="115"/>
        <v/>
      </c>
      <c r="AB419" s="17" t="str">
        <f t="shared" ca="1" si="116"/>
        <v/>
      </c>
      <c r="AC419" s="17" t="str">
        <f t="shared" ca="1" si="117"/>
        <v/>
      </c>
      <c r="AD419" s="17" t="str">
        <f t="shared" ca="1" si="118"/>
        <v/>
      </c>
      <c r="AE419" s="17" t="str">
        <f t="shared" si="119"/>
        <v/>
      </c>
      <c r="AF419" s="17" t="str">
        <f t="shared" si="120"/>
        <v/>
      </c>
      <c r="AG419" s="17" t="str">
        <f t="shared" si="121"/>
        <v/>
      </c>
      <c r="AH419" s="17">
        <f t="shared" si="122"/>
        <v>0</v>
      </c>
      <c r="AI419" s="17" t="str">
        <f t="shared" ca="1" si="123"/>
        <v/>
      </c>
      <c r="AJ419" s="17" t="str">
        <f t="shared" ca="1" si="124"/>
        <v/>
      </c>
      <c r="AK419" s="17" t="str">
        <f t="shared" si="125"/>
        <v/>
      </c>
      <c r="AL419" s="17" t="str">
        <f t="shared" ca="1" si="126"/>
        <v/>
      </c>
      <c r="AN419" s="24">
        <f t="shared" si="127"/>
        <v>0</v>
      </c>
      <c r="AO419" s="24">
        <f t="shared" si="128"/>
        <v>0</v>
      </c>
      <c r="AP419" s="24">
        <f t="shared" si="129"/>
        <v>0</v>
      </c>
      <c r="AQ419" s="24">
        <f t="shared" si="130"/>
        <v>0</v>
      </c>
      <c r="AR419" s="24">
        <f t="shared" si="131"/>
        <v>0</v>
      </c>
      <c r="AS419" s="24">
        <f t="shared" si="132"/>
        <v>0</v>
      </c>
    </row>
    <row r="420" spans="1:45" x14ac:dyDescent="0.25">
      <c r="A420" s="83"/>
      <c r="B420" s="83"/>
      <c r="C420" s="83"/>
      <c r="D420" s="15"/>
      <c r="E420" s="15"/>
      <c r="F420" s="83"/>
      <c r="G420" s="83"/>
      <c r="H420" s="16"/>
      <c r="I420" s="83"/>
      <c r="J420" s="83"/>
      <c r="K420" s="16"/>
      <c r="L420" s="15"/>
      <c r="M420" s="20"/>
      <c r="N420" s="15"/>
      <c r="O420" s="20"/>
      <c r="P420" s="15"/>
      <c r="Q420" s="15"/>
      <c r="R420" s="17" t="str">
        <f>IF(Q420="","",VLOOKUP(Q420,'References (2)'!C:D,2,0))</f>
        <v/>
      </c>
      <c r="S420" s="17" t="str">
        <f>IF(Q420="","",VLOOKUP(Q420,'References (2)'!C:F,4,0))</f>
        <v/>
      </c>
      <c r="T420" s="16"/>
      <c r="U420" s="20"/>
      <c r="V420" s="15"/>
      <c r="W420" s="22"/>
      <c r="X420" s="16"/>
      <c r="Y420" s="22"/>
      <c r="Z420" s="25" t="str">
        <f t="shared" si="114"/>
        <v/>
      </c>
      <c r="AA420" s="17" t="str">
        <f t="shared" ca="1" si="115"/>
        <v/>
      </c>
      <c r="AB420" s="17" t="str">
        <f t="shared" ca="1" si="116"/>
        <v/>
      </c>
      <c r="AC420" s="17" t="str">
        <f t="shared" ca="1" si="117"/>
        <v/>
      </c>
      <c r="AD420" s="17" t="str">
        <f t="shared" ca="1" si="118"/>
        <v/>
      </c>
      <c r="AE420" s="17" t="str">
        <f t="shared" si="119"/>
        <v/>
      </c>
      <c r="AF420" s="17" t="str">
        <f t="shared" si="120"/>
        <v/>
      </c>
      <c r="AG420" s="17" t="str">
        <f t="shared" si="121"/>
        <v/>
      </c>
      <c r="AH420" s="17">
        <f t="shared" si="122"/>
        <v>0</v>
      </c>
      <c r="AI420" s="17" t="str">
        <f t="shared" ca="1" si="123"/>
        <v/>
      </c>
      <c r="AJ420" s="17" t="str">
        <f t="shared" ca="1" si="124"/>
        <v/>
      </c>
      <c r="AK420" s="17" t="str">
        <f t="shared" si="125"/>
        <v/>
      </c>
      <c r="AL420" s="17" t="str">
        <f t="shared" ca="1" si="126"/>
        <v/>
      </c>
      <c r="AN420" s="24">
        <f t="shared" si="127"/>
        <v>0</v>
      </c>
      <c r="AO420" s="24">
        <f t="shared" si="128"/>
        <v>0</v>
      </c>
      <c r="AP420" s="24">
        <f t="shared" si="129"/>
        <v>0</v>
      </c>
      <c r="AQ420" s="24">
        <f t="shared" si="130"/>
        <v>0</v>
      </c>
      <c r="AR420" s="24">
        <f t="shared" si="131"/>
        <v>0</v>
      </c>
      <c r="AS420" s="24">
        <f t="shared" si="132"/>
        <v>0</v>
      </c>
    </row>
    <row r="421" spans="1:45" x14ac:dyDescent="0.25">
      <c r="A421" s="83"/>
      <c r="B421" s="83"/>
      <c r="C421" s="83"/>
      <c r="D421" s="15"/>
      <c r="E421" s="15"/>
      <c r="F421" s="83"/>
      <c r="G421" s="83"/>
      <c r="H421" s="16"/>
      <c r="I421" s="83"/>
      <c r="J421" s="83"/>
      <c r="K421" s="16"/>
      <c r="L421" s="15"/>
      <c r="M421" s="20"/>
      <c r="N421" s="15"/>
      <c r="O421" s="20"/>
      <c r="P421" s="15"/>
      <c r="Q421" s="15"/>
      <c r="R421" s="17" t="str">
        <f>IF(Q421="","",VLOOKUP(Q421,'References (2)'!C:D,2,0))</f>
        <v/>
      </c>
      <c r="S421" s="17" t="str">
        <f>IF(Q421="","",VLOOKUP(Q421,'References (2)'!C:F,4,0))</f>
        <v/>
      </c>
      <c r="T421" s="16"/>
      <c r="U421" s="20"/>
      <c r="V421" s="15"/>
      <c r="W421" s="22"/>
      <c r="X421" s="16"/>
      <c r="Y421" s="22"/>
      <c r="Z421" s="25" t="str">
        <f t="shared" si="114"/>
        <v/>
      </c>
      <c r="AA421" s="17" t="str">
        <f t="shared" ca="1" si="115"/>
        <v/>
      </c>
      <c r="AB421" s="17" t="str">
        <f t="shared" ca="1" si="116"/>
        <v/>
      </c>
      <c r="AC421" s="17" t="str">
        <f t="shared" ca="1" si="117"/>
        <v/>
      </c>
      <c r="AD421" s="17" t="str">
        <f t="shared" ca="1" si="118"/>
        <v/>
      </c>
      <c r="AE421" s="17" t="str">
        <f t="shared" si="119"/>
        <v/>
      </c>
      <c r="AF421" s="17" t="str">
        <f t="shared" si="120"/>
        <v/>
      </c>
      <c r="AG421" s="17" t="str">
        <f t="shared" si="121"/>
        <v/>
      </c>
      <c r="AH421" s="17">
        <f t="shared" si="122"/>
        <v>0</v>
      </c>
      <c r="AI421" s="17" t="str">
        <f t="shared" ca="1" si="123"/>
        <v/>
      </c>
      <c r="AJ421" s="17" t="str">
        <f t="shared" ca="1" si="124"/>
        <v/>
      </c>
      <c r="AK421" s="17" t="str">
        <f t="shared" si="125"/>
        <v/>
      </c>
      <c r="AL421" s="17" t="str">
        <f t="shared" ca="1" si="126"/>
        <v/>
      </c>
      <c r="AN421" s="24">
        <f t="shared" si="127"/>
        <v>0</v>
      </c>
      <c r="AO421" s="24">
        <f t="shared" si="128"/>
        <v>0</v>
      </c>
      <c r="AP421" s="24">
        <f t="shared" si="129"/>
        <v>0</v>
      </c>
      <c r="AQ421" s="24">
        <f t="shared" si="130"/>
        <v>0</v>
      </c>
      <c r="AR421" s="24">
        <f t="shared" si="131"/>
        <v>0</v>
      </c>
      <c r="AS421" s="24">
        <f t="shared" si="132"/>
        <v>0</v>
      </c>
    </row>
    <row r="422" spans="1:45" x14ac:dyDescent="0.25">
      <c r="A422" s="83"/>
      <c r="B422" s="83"/>
      <c r="C422" s="83"/>
      <c r="D422" s="15"/>
      <c r="E422" s="15"/>
      <c r="F422" s="83"/>
      <c r="G422" s="83"/>
      <c r="H422" s="16"/>
      <c r="I422" s="83"/>
      <c r="J422" s="83"/>
      <c r="K422" s="16"/>
      <c r="L422" s="15"/>
      <c r="M422" s="20"/>
      <c r="N422" s="15"/>
      <c r="O422" s="20"/>
      <c r="P422" s="15"/>
      <c r="Q422" s="15"/>
      <c r="R422" s="17" t="str">
        <f>IF(Q422="","",VLOOKUP(Q422,'References (2)'!C:D,2,0))</f>
        <v/>
      </c>
      <c r="S422" s="17" t="str">
        <f>IF(Q422="","",VLOOKUP(Q422,'References (2)'!C:F,4,0))</f>
        <v/>
      </c>
      <c r="T422" s="16"/>
      <c r="U422" s="20"/>
      <c r="V422" s="15"/>
      <c r="W422" s="22"/>
      <c r="X422" s="16"/>
      <c r="Y422" s="22"/>
      <c r="Z422" s="25" t="str">
        <f t="shared" si="114"/>
        <v/>
      </c>
      <c r="AA422" s="17" t="str">
        <f t="shared" ca="1" si="115"/>
        <v/>
      </c>
      <c r="AB422" s="17" t="str">
        <f t="shared" ca="1" si="116"/>
        <v/>
      </c>
      <c r="AC422" s="17" t="str">
        <f t="shared" ca="1" si="117"/>
        <v/>
      </c>
      <c r="AD422" s="17" t="str">
        <f t="shared" ca="1" si="118"/>
        <v/>
      </c>
      <c r="AE422" s="17" t="str">
        <f t="shared" si="119"/>
        <v/>
      </c>
      <c r="AF422" s="17" t="str">
        <f t="shared" si="120"/>
        <v/>
      </c>
      <c r="AG422" s="17" t="str">
        <f t="shared" si="121"/>
        <v/>
      </c>
      <c r="AH422" s="17">
        <f t="shared" si="122"/>
        <v>0</v>
      </c>
      <c r="AI422" s="17" t="str">
        <f t="shared" ca="1" si="123"/>
        <v/>
      </c>
      <c r="AJ422" s="17" t="str">
        <f t="shared" ca="1" si="124"/>
        <v/>
      </c>
      <c r="AK422" s="17" t="str">
        <f t="shared" si="125"/>
        <v/>
      </c>
      <c r="AL422" s="17" t="str">
        <f t="shared" ca="1" si="126"/>
        <v/>
      </c>
      <c r="AN422" s="24">
        <f t="shared" si="127"/>
        <v>0</v>
      </c>
      <c r="AO422" s="24">
        <f t="shared" si="128"/>
        <v>0</v>
      </c>
      <c r="AP422" s="24">
        <f t="shared" si="129"/>
        <v>0</v>
      </c>
      <c r="AQ422" s="24">
        <f t="shared" si="130"/>
        <v>0</v>
      </c>
      <c r="AR422" s="24">
        <f t="shared" si="131"/>
        <v>0</v>
      </c>
      <c r="AS422" s="24">
        <f t="shared" si="132"/>
        <v>0</v>
      </c>
    </row>
    <row r="423" spans="1:45" x14ac:dyDescent="0.25">
      <c r="A423" s="83"/>
      <c r="B423" s="83"/>
      <c r="C423" s="83"/>
      <c r="D423" s="15"/>
      <c r="E423" s="15"/>
      <c r="F423" s="83"/>
      <c r="G423" s="83"/>
      <c r="H423" s="16"/>
      <c r="I423" s="83"/>
      <c r="J423" s="83"/>
      <c r="K423" s="16"/>
      <c r="L423" s="15"/>
      <c r="M423" s="20"/>
      <c r="N423" s="15"/>
      <c r="O423" s="20"/>
      <c r="P423" s="15"/>
      <c r="Q423" s="15"/>
      <c r="R423" s="17" t="str">
        <f>IF(Q423="","",VLOOKUP(Q423,'References (2)'!C:D,2,0))</f>
        <v/>
      </c>
      <c r="S423" s="17" t="str">
        <f>IF(Q423="","",VLOOKUP(Q423,'References (2)'!C:F,4,0))</f>
        <v/>
      </c>
      <c r="T423" s="16"/>
      <c r="U423" s="20"/>
      <c r="V423" s="15"/>
      <c r="W423" s="22"/>
      <c r="X423" s="16"/>
      <c r="Y423" s="22"/>
      <c r="Z423" s="25" t="str">
        <f t="shared" si="114"/>
        <v/>
      </c>
      <c r="AA423" s="17" t="str">
        <f t="shared" ca="1" si="115"/>
        <v/>
      </c>
      <c r="AB423" s="17" t="str">
        <f t="shared" ca="1" si="116"/>
        <v/>
      </c>
      <c r="AC423" s="17" t="str">
        <f t="shared" ca="1" si="117"/>
        <v/>
      </c>
      <c r="AD423" s="17" t="str">
        <f t="shared" ca="1" si="118"/>
        <v/>
      </c>
      <c r="AE423" s="17" t="str">
        <f t="shared" si="119"/>
        <v/>
      </c>
      <c r="AF423" s="17" t="str">
        <f t="shared" si="120"/>
        <v/>
      </c>
      <c r="AG423" s="17" t="str">
        <f t="shared" si="121"/>
        <v/>
      </c>
      <c r="AH423" s="17">
        <f t="shared" si="122"/>
        <v>0</v>
      </c>
      <c r="AI423" s="17" t="str">
        <f t="shared" ca="1" si="123"/>
        <v/>
      </c>
      <c r="AJ423" s="17" t="str">
        <f t="shared" ca="1" si="124"/>
        <v/>
      </c>
      <c r="AK423" s="17" t="str">
        <f t="shared" si="125"/>
        <v/>
      </c>
      <c r="AL423" s="17" t="str">
        <f t="shared" ca="1" si="126"/>
        <v/>
      </c>
      <c r="AN423" s="24">
        <f t="shared" si="127"/>
        <v>0</v>
      </c>
      <c r="AO423" s="24">
        <f t="shared" si="128"/>
        <v>0</v>
      </c>
      <c r="AP423" s="24">
        <f t="shared" si="129"/>
        <v>0</v>
      </c>
      <c r="AQ423" s="24">
        <f t="shared" si="130"/>
        <v>0</v>
      </c>
      <c r="AR423" s="24">
        <f t="shared" si="131"/>
        <v>0</v>
      </c>
      <c r="AS423" s="24">
        <f t="shared" si="132"/>
        <v>0</v>
      </c>
    </row>
    <row r="424" spans="1:45" x14ac:dyDescent="0.25">
      <c r="A424" s="83"/>
      <c r="B424" s="83"/>
      <c r="C424" s="83"/>
      <c r="D424" s="15"/>
      <c r="E424" s="15"/>
      <c r="F424" s="83"/>
      <c r="G424" s="83"/>
      <c r="H424" s="16"/>
      <c r="I424" s="83"/>
      <c r="J424" s="83"/>
      <c r="K424" s="16"/>
      <c r="L424" s="15"/>
      <c r="M424" s="20"/>
      <c r="N424" s="15"/>
      <c r="O424" s="20"/>
      <c r="P424" s="15"/>
      <c r="Q424" s="15"/>
      <c r="R424" s="17" t="str">
        <f>IF(Q424="","",VLOOKUP(Q424,'References (2)'!C:D,2,0))</f>
        <v/>
      </c>
      <c r="S424" s="17" t="str">
        <f>IF(Q424="","",VLOOKUP(Q424,'References (2)'!C:F,4,0))</f>
        <v/>
      </c>
      <c r="T424" s="16"/>
      <c r="U424" s="20"/>
      <c r="V424" s="15"/>
      <c r="W424" s="22"/>
      <c r="X424" s="16"/>
      <c r="Y424" s="22"/>
      <c r="Z424" s="25" t="str">
        <f t="shared" si="114"/>
        <v/>
      </c>
      <c r="AA424" s="17" t="str">
        <f t="shared" ca="1" si="115"/>
        <v/>
      </c>
      <c r="AB424" s="17" t="str">
        <f t="shared" ca="1" si="116"/>
        <v/>
      </c>
      <c r="AC424" s="17" t="str">
        <f t="shared" ca="1" si="117"/>
        <v/>
      </c>
      <c r="AD424" s="17" t="str">
        <f t="shared" ca="1" si="118"/>
        <v/>
      </c>
      <c r="AE424" s="17" t="str">
        <f t="shared" si="119"/>
        <v/>
      </c>
      <c r="AF424" s="17" t="str">
        <f t="shared" si="120"/>
        <v/>
      </c>
      <c r="AG424" s="17" t="str">
        <f t="shared" si="121"/>
        <v/>
      </c>
      <c r="AH424" s="17">
        <f t="shared" si="122"/>
        <v>0</v>
      </c>
      <c r="AI424" s="17" t="str">
        <f t="shared" ca="1" si="123"/>
        <v/>
      </c>
      <c r="AJ424" s="17" t="str">
        <f t="shared" ca="1" si="124"/>
        <v/>
      </c>
      <c r="AK424" s="17" t="str">
        <f t="shared" si="125"/>
        <v/>
      </c>
      <c r="AL424" s="17" t="str">
        <f t="shared" ca="1" si="126"/>
        <v/>
      </c>
      <c r="AN424" s="24">
        <f t="shared" si="127"/>
        <v>0</v>
      </c>
      <c r="AO424" s="24">
        <f t="shared" si="128"/>
        <v>0</v>
      </c>
      <c r="AP424" s="24">
        <f t="shared" si="129"/>
        <v>0</v>
      </c>
      <c r="AQ424" s="24">
        <f t="shared" si="130"/>
        <v>0</v>
      </c>
      <c r="AR424" s="24">
        <f t="shared" si="131"/>
        <v>0</v>
      </c>
      <c r="AS424" s="24">
        <f t="shared" si="132"/>
        <v>0</v>
      </c>
    </row>
    <row r="425" spans="1:45" x14ac:dyDescent="0.25">
      <c r="A425" s="83"/>
      <c r="B425" s="83"/>
      <c r="C425" s="83"/>
      <c r="D425" s="15"/>
      <c r="E425" s="15"/>
      <c r="F425" s="83"/>
      <c r="G425" s="83"/>
      <c r="H425" s="16"/>
      <c r="I425" s="83"/>
      <c r="J425" s="83"/>
      <c r="K425" s="16"/>
      <c r="L425" s="15"/>
      <c r="M425" s="20"/>
      <c r="N425" s="15"/>
      <c r="O425" s="20"/>
      <c r="P425" s="15"/>
      <c r="Q425" s="15"/>
      <c r="R425" s="17" t="str">
        <f>IF(Q425="","",VLOOKUP(Q425,'References (2)'!C:D,2,0))</f>
        <v/>
      </c>
      <c r="S425" s="17" t="str">
        <f>IF(Q425="","",VLOOKUP(Q425,'References (2)'!C:F,4,0))</f>
        <v/>
      </c>
      <c r="T425" s="16"/>
      <c r="U425" s="20"/>
      <c r="V425" s="15"/>
      <c r="W425" s="22"/>
      <c r="X425" s="16"/>
      <c r="Y425" s="22"/>
      <c r="Z425" s="25" t="str">
        <f t="shared" si="114"/>
        <v/>
      </c>
      <c r="AA425" s="17" t="str">
        <f t="shared" ca="1" si="115"/>
        <v/>
      </c>
      <c r="AB425" s="17" t="str">
        <f t="shared" ca="1" si="116"/>
        <v/>
      </c>
      <c r="AC425" s="17" t="str">
        <f t="shared" ca="1" si="117"/>
        <v/>
      </c>
      <c r="AD425" s="17" t="str">
        <f t="shared" ca="1" si="118"/>
        <v/>
      </c>
      <c r="AE425" s="17" t="str">
        <f t="shared" si="119"/>
        <v/>
      </c>
      <c r="AF425" s="17" t="str">
        <f t="shared" si="120"/>
        <v/>
      </c>
      <c r="AG425" s="17" t="str">
        <f t="shared" si="121"/>
        <v/>
      </c>
      <c r="AH425" s="17">
        <f t="shared" si="122"/>
        <v>0</v>
      </c>
      <c r="AI425" s="17" t="str">
        <f t="shared" ca="1" si="123"/>
        <v/>
      </c>
      <c r="AJ425" s="17" t="str">
        <f t="shared" ca="1" si="124"/>
        <v/>
      </c>
      <c r="AK425" s="17" t="str">
        <f t="shared" si="125"/>
        <v/>
      </c>
      <c r="AL425" s="17" t="str">
        <f t="shared" ca="1" si="126"/>
        <v/>
      </c>
      <c r="AN425" s="24">
        <f t="shared" si="127"/>
        <v>0</v>
      </c>
      <c r="AO425" s="24">
        <f t="shared" si="128"/>
        <v>0</v>
      </c>
      <c r="AP425" s="24">
        <f t="shared" si="129"/>
        <v>0</v>
      </c>
      <c r="AQ425" s="24">
        <f t="shared" si="130"/>
        <v>0</v>
      </c>
      <c r="AR425" s="24">
        <f t="shared" si="131"/>
        <v>0</v>
      </c>
      <c r="AS425" s="24">
        <f t="shared" si="132"/>
        <v>0</v>
      </c>
    </row>
    <row r="426" spans="1:45" x14ac:dyDescent="0.25">
      <c r="A426" s="83"/>
      <c r="B426" s="83"/>
      <c r="C426" s="83"/>
      <c r="D426" s="15"/>
      <c r="E426" s="15"/>
      <c r="F426" s="83"/>
      <c r="G426" s="83"/>
      <c r="H426" s="16"/>
      <c r="I426" s="83"/>
      <c r="J426" s="83"/>
      <c r="K426" s="16"/>
      <c r="L426" s="15"/>
      <c r="M426" s="20"/>
      <c r="N426" s="15"/>
      <c r="O426" s="20"/>
      <c r="P426" s="15"/>
      <c r="Q426" s="15"/>
      <c r="R426" s="17" t="str">
        <f>IF(Q426="","",VLOOKUP(Q426,'References (2)'!C:D,2,0))</f>
        <v/>
      </c>
      <c r="S426" s="17" t="str">
        <f>IF(Q426="","",VLOOKUP(Q426,'References (2)'!C:F,4,0))</f>
        <v/>
      </c>
      <c r="T426" s="16"/>
      <c r="U426" s="20"/>
      <c r="V426" s="15"/>
      <c r="W426" s="22"/>
      <c r="X426" s="16"/>
      <c r="Y426" s="22"/>
      <c r="Z426" s="25" t="str">
        <f t="shared" si="114"/>
        <v/>
      </c>
      <c r="AA426" s="17" t="str">
        <f t="shared" ca="1" si="115"/>
        <v/>
      </c>
      <c r="AB426" s="17" t="str">
        <f t="shared" ca="1" si="116"/>
        <v/>
      </c>
      <c r="AC426" s="17" t="str">
        <f t="shared" ca="1" si="117"/>
        <v/>
      </c>
      <c r="AD426" s="17" t="str">
        <f t="shared" ca="1" si="118"/>
        <v/>
      </c>
      <c r="AE426" s="17" t="str">
        <f t="shared" si="119"/>
        <v/>
      </c>
      <c r="AF426" s="17" t="str">
        <f t="shared" si="120"/>
        <v/>
      </c>
      <c r="AG426" s="17" t="str">
        <f t="shared" si="121"/>
        <v/>
      </c>
      <c r="AH426" s="17">
        <f t="shared" si="122"/>
        <v>0</v>
      </c>
      <c r="AI426" s="17" t="str">
        <f t="shared" ca="1" si="123"/>
        <v/>
      </c>
      <c r="AJ426" s="17" t="str">
        <f t="shared" ca="1" si="124"/>
        <v/>
      </c>
      <c r="AK426" s="17" t="str">
        <f t="shared" si="125"/>
        <v/>
      </c>
      <c r="AL426" s="17" t="str">
        <f t="shared" ca="1" si="126"/>
        <v/>
      </c>
      <c r="AN426" s="24">
        <f t="shared" si="127"/>
        <v>0</v>
      </c>
      <c r="AO426" s="24">
        <f t="shared" si="128"/>
        <v>0</v>
      </c>
      <c r="AP426" s="24">
        <f t="shared" si="129"/>
        <v>0</v>
      </c>
      <c r="AQ426" s="24">
        <f t="shared" si="130"/>
        <v>0</v>
      </c>
      <c r="AR426" s="24">
        <f t="shared" si="131"/>
        <v>0</v>
      </c>
      <c r="AS426" s="24">
        <f t="shared" si="132"/>
        <v>0</v>
      </c>
    </row>
    <row r="427" spans="1:45" x14ac:dyDescent="0.25">
      <c r="A427" s="83"/>
      <c r="B427" s="83"/>
      <c r="C427" s="83"/>
      <c r="D427" s="15"/>
      <c r="E427" s="15"/>
      <c r="F427" s="83"/>
      <c r="G427" s="83"/>
      <c r="H427" s="16"/>
      <c r="I427" s="83"/>
      <c r="J427" s="83"/>
      <c r="K427" s="16"/>
      <c r="L427" s="15"/>
      <c r="M427" s="20"/>
      <c r="N427" s="15"/>
      <c r="O427" s="20"/>
      <c r="P427" s="15"/>
      <c r="Q427" s="15"/>
      <c r="R427" s="17" t="str">
        <f>IF(Q427="","",VLOOKUP(Q427,'References (2)'!C:D,2,0))</f>
        <v/>
      </c>
      <c r="S427" s="17" t="str">
        <f>IF(Q427="","",VLOOKUP(Q427,'References (2)'!C:F,4,0))</f>
        <v/>
      </c>
      <c r="T427" s="16"/>
      <c r="U427" s="20"/>
      <c r="V427" s="15"/>
      <c r="W427" s="22"/>
      <c r="X427" s="16"/>
      <c r="Y427" s="22"/>
      <c r="Z427" s="25" t="str">
        <f t="shared" si="114"/>
        <v/>
      </c>
      <c r="AA427" s="17" t="str">
        <f t="shared" ca="1" si="115"/>
        <v/>
      </c>
      <c r="AB427" s="17" t="str">
        <f t="shared" ca="1" si="116"/>
        <v/>
      </c>
      <c r="AC427" s="17" t="str">
        <f t="shared" ca="1" si="117"/>
        <v/>
      </c>
      <c r="AD427" s="17" t="str">
        <f t="shared" ca="1" si="118"/>
        <v/>
      </c>
      <c r="AE427" s="17" t="str">
        <f t="shared" si="119"/>
        <v/>
      </c>
      <c r="AF427" s="17" t="str">
        <f t="shared" si="120"/>
        <v/>
      </c>
      <c r="AG427" s="17" t="str">
        <f t="shared" si="121"/>
        <v/>
      </c>
      <c r="AH427" s="17">
        <f t="shared" si="122"/>
        <v>0</v>
      </c>
      <c r="AI427" s="17" t="str">
        <f t="shared" ca="1" si="123"/>
        <v/>
      </c>
      <c r="AJ427" s="17" t="str">
        <f t="shared" ca="1" si="124"/>
        <v/>
      </c>
      <c r="AK427" s="17" t="str">
        <f t="shared" si="125"/>
        <v/>
      </c>
      <c r="AL427" s="17" t="str">
        <f t="shared" ca="1" si="126"/>
        <v/>
      </c>
      <c r="AN427" s="24">
        <f t="shared" si="127"/>
        <v>0</v>
      </c>
      <c r="AO427" s="24">
        <f t="shared" si="128"/>
        <v>0</v>
      </c>
      <c r="AP427" s="24">
        <f t="shared" si="129"/>
        <v>0</v>
      </c>
      <c r="AQ427" s="24">
        <f t="shared" si="130"/>
        <v>0</v>
      </c>
      <c r="AR427" s="24">
        <f t="shared" si="131"/>
        <v>0</v>
      </c>
      <c r="AS427" s="24">
        <f t="shared" si="132"/>
        <v>0</v>
      </c>
    </row>
    <row r="428" spans="1:45" x14ac:dyDescent="0.25">
      <c r="A428" s="83"/>
      <c r="B428" s="83"/>
      <c r="C428" s="83"/>
      <c r="D428" s="15"/>
      <c r="E428" s="15"/>
      <c r="F428" s="83"/>
      <c r="G428" s="83"/>
      <c r="H428" s="16"/>
      <c r="I428" s="83"/>
      <c r="J428" s="83"/>
      <c r="K428" s="16"/>
      <c r="L428" s="15"/>
      <c r="M428" s="20"/>
      <c r="N428" s="15"/>
      <c r="O428" s="20"/>
      <c r="P428" s="15"/>
      <c r="Q428" s="15"/>
      <c r="R428" s="17" t="str">
        <f>IF(Q428="","",VLOOKUP(Q428,'References (2)'!C:D,2,0))</f>
        <v/>
      </c>
      <c r="S428" s="17" t="str">
        <f>IF(Q428="","",VLOOKUP(Q428,'References (2)'!C:F,4,0))</f>
        <v/>
      </c>
      <c r="T428" s="16"/>
      <c r="U428" s="20"/>
      <c r="V428" s="15"/>
      <c r="W428" s="22"/>
      <c r="X428" s="16"/>
      <c r="Y428" s="22"/>
      <c r="Z428" s="25" t="str">
        <f t="shared" si="114"/>
        <v/>
      </c>
      <c r="AA428" s="17" t="str">
        <f t="shared" ca="1" si="115"/>
        <v/>
      </c>
      <c r="AB428" s="17" t="str">
        <f t="shared" ca="1" si="116"/>
        <v/>
      </c>
      <c r="AC428" s="17" t="str">
        <f t="shared" ca="1" si="117"/>
        <v/>
      </c>
      <c r="AD428" s="17" t="str">
        <f t="shared" ca="1" si="118"/>
        <v/>
      </c>
      <c r="AE428" s="17" t="str">
        <f t="shared" si="119"/>
        <v/>
      </c>
      <c r="AF428" s="17" t="str">
        <f t="shared" si="120"/>
        <v/>
      </c>
      <c r="AG428" s="17" t="str">
        <f t="shared" si="121"/>
        <v/>
      </c>
      <c r="AH428" s="17">
        <f t="shared" si="122"/>
        <v>0</v>
      </c>
      <c r="AI428" s="17" t="str">
        <f t="shared" ca="1" si="123"/>
        <v/>
      </c>
      <c r="AJ428" s="17" t="str">
        <f t="shared" ca="1" si="124"/>
        <v/>
      </c>
      <c r="AK428" s="17" t="str">
        <f t="shared" si="125"/>
        <v/>
      </c>
      <c r="AL428" s="17" t="str">
        <f t="shared" ca="1" si="126"/>
        <v/>
      </c>
      <c r="AN428" s="24">
        <f t="shared" si="127"/>
        <v>0</v>
      </c>
      <c r="AO428" s="24">
        <f t="shared" si="128"/>
        <v>0</v>
      </c>
      <c r="AP428" s="24">
        <f t="shared" si="129"/>
        <v>0</v>
      </c>
      <c r="AQ428" s="24">
        <f t="shared" si="130"/>
        <v>0</v>
      </c>
      <c r="AR428" s="24">
        <f t="shared" si="131"/>
        <v>0</v>
      </c>
      <c r="AS428" s="24">
        <f t="shared" si="132"/>
        <v>0</v>
      </c>
    </row>
    <row r="429" spans="1:45" x14ac:dyDescent="0.25">
      <c r="A429" s="83"/>
      <c r="B429" s="83"/>
      <c r="C429" s="83"/>
      <c r="D429" s="15"/>
      <c r="E429" s="15"/>
      <c r="F429" s="83"/>
      <c r="G429" s="83"/>
      <c r="H429" s="16"/>
      <c r="I429" s="83"/>
      <c r="J429" s="83"/>
      <c r="K429" s="16"/>
      <c r="L429" s="15"/>
      <c r="M429" s="20"/>
      <c r="N429" s="15"/>
      <c r="O429" s="20"/>
      <c r="P429" s="15"/>
      <c r="Q429" s="15"/>
      <c r="R429" s="17" t="str">
        <f>IF(Q429="","",VLOOKUP(Q429,'References (2)'!C:D,2,0))</f>
        <v/>
      </c>
      <c r="S429" s="17" t="str">
        <f>IF(Q429="","",VLOOKUP(Q429,'References (2)'!C:F,4,0))</f>
        <v/>
      </c>
      <c r="T429" s="16"/>
      <c r="U429" s="20"/>
      <c r="V429" s="15"/>
      <c r="W429" s="22"/>
      <c r="X429" s="16"/>
      <c r="Y429" s="22"/>
      <c r="Z429" s="25" t="str">
        <f t="shared" si="114"/>
        <v/>
      </c>
      <c r="AA429" s="17" t="str">
        <f t="shared" ca="1" si="115"/>
        <v/>
      </c>
      <c r="AB429" s="17" t="str">
        <f t="shared" ca="1" si="116"/>
        <v/>
      </c>
      <c r="AC429" s="17" t="str">
        <f t="shared" ca="1" si="117"/>
        <v/>
      </c>
      <c r="AD429" s="17" t="str">
        <f t="shared" ca="1" si="118"/>
        <v/>
      </c>
      <c r="AE429" s="17" t="str">
        <f t="shared" si="119"/>
        <v/>
      </c>
      <c r="AF429" s="17" t="str">
        <f t="shared" si="120"/>
        <v/>
      </c>
      <c r="AG429" s="17" t="str">
        <f t="shared" si="121"/>
        <v/>
      </c>
      <c r="AH429" s="17">
        <f t="shared" si="122"/>
        <v>0</v>
      </c>
      <c r="AI429" s="17" t="str">
        <f t="shared" ca="1" si="123"/>
        <v/>
      </c>
      <c r="AJ429" s="17" t="str">
        <f t="shared" ca="1" si="124"/>
        <v/>
      </c>
      <c r="AK429" s="17" t="str">
        <f t="shared" si="125"/>
        <v/>
      </c>
      <c r="AL429" s="17" t="str">
        <f t="shared" ca="1" si="126"/>
        <v/>
      </c>
      <c r="AN429" s="24">
        <f t="shared" si="127"/>
        <v>0</v>
      </c>
      <c r="AO429" s="24">
        <f t="shared" si="128"/>
        <v>0</v>
      </c>
      <c r="AP429" s="24">
        <f t="shared" si="129"/>
        <v>0</v>
      </c>
      <c r="AQ429" s="24">
        <f t="shared" si="130"/>
        <v>0</v>
      </c>
      <c r="AR429" s="24">
        <f t="shared" si="131"/>
        <v>0</v>
      </c>
      <c r="AS429" s="24">
        <f t="shared" si="132"/>
        <v>0</v>
      </c>
    </row>
    <row r="430" spans="1:45" x14ac:dyDescent="0.25">
      <c r="A430" s="83"/>
      <c r="B430" s="83"/>
      <c r="C430" s="83"/>
      <c r="D430" s="15"/>
      <c r="E430" s="15"/>
      <c r="F430" s="83"/>
      <c r="G430" s="83"/>
      <c r="H430" s="16"/>
      <c r="I430" s="83"/>
      <c r="J430" s="83"/>
      <c r="K430" s="16"/>
      <c r="L430" s="15"/>
      <c r="M430" s="20"/>
      <c r="N430" s="15"/>
      <c r="O430" s="20"/>
      <c r="P430" s="15"/>
      <c r="Q430" s="15"/>
      <c r="R430" s="17" t="str">
        <f>IF(Q430="","",VLOOKUP(Q430,'References (2)'!C:D,2,0))</f>
        <v/>
      </c>
      <c r="S430" s="17" t="str">
        <f>IF(Q430="","",VLOOKUP(Q430,'References (2)'!C:F,4,0))</f>
        <v/>
      </c>
      <c r="T430" s="16"/>
      <c r="U430" s="20"/>
      <c r="V430" s="15"/>
      <c r="W430" s="22"/>
      <c r="X430" s="16"/>
      <c r="Y430" s="22"/>
      <c r="Z430" s="25" t="str">
        <f t="shared" si="114"/>
        <v/>
      </c>
      <c r="AA430" s="17" t="str">
        <f t="shared" ca="1" si="115"/>
        <v/>
      </c>
      <c r="AB430" s="17" t="str">
        <f t="shared" ca="1" si="116"/>
        <v/>
      </c>
      <c r="AC430" s="17" t="str">
        <f t="shared" ca="1" si="117"/>
        <v/>
      </c>
      <c r="AD430" s="17" t="str">
        <f t="shared" ca="1" si="118"/>
        <v/>
      </c>
      <c r="AE430" s="17" t="str">
        <f t="shared" si="119"/>
        <v/>
      </c>
      <c r="AF430" s="17" t="str">
        <f t="shared" si="120"/>
        <v/>
      </c>
      <c r="AG430" s="17" t="str">
        <f t="shared" si="121"/>
        <v/>
      </c>
      <c r="AH430" s="17">
        <f t="shared" si="122"/>
        <v>0</v>
      </c>
      <c r="AI430" s="17" t="str">
        <f t="shared" ca="1" si="123"/>
        <v/>
      </c>
      <c r="AJ430" s="17" t="str">
        <f t="shared" ca="1" si="124"/>
        <v/>
      </c>
      <c r="AK430" s="17" t="str">
        <f t="shared" si="125"/>
        <v/>
      </c>
      <c r="AL430" s="17" t="str">
        <f t="shared" ca="1" si="126"/>
        <v/>
      </c>
      <c r="AN430" s="24">
        <f t="shared" si="127"/>
        <v>0</v>
      </c>
      <c r="AO430" s="24">
        <f t="shared" si="128"/>
        <v>0</v>
      </c>
      <c r="AP430" s="24">
        <f t="shared" si="129"/>
        <v>0</v>
      </c>
      <c r="AQ430" s="24">
        <f t="shared" si="130"/>
        <v>0</v>
      </c>
      <c r="AR430" s="24">
        <f t="shared" si="131"/>
        <v>0</v>
      </c>
      <c r="AS430" s="24">
        <f t="shared" si="132"/>
        <v>0</v>
      </c>
    </row>
    <row r="431" spans="1:45" x14ac:dyDescent="0.25">
      <c r="A431" s="83"/>
      <c r="B431" s="83"/>
      <c r="C431" s="83"/>
      <c r="D431" s="15"/>
      <c r="E431" s="15"/>
      <c r="F431" s="83"/>
      <c r="G431" s="83"/>
      <c r="H431" s="16"/>
      <c r="I431" s="83"/>
      <c r="J431" s="83"/>
      <c r="K431" s="16"/>
      <c r="L431" s="15"/>
      <c r="M431" s="20"/>
      <c r="N431" s="15"/>
      <c r="O431" s="20"/>
      <c r="P431" s="15"/>
      <c r="Q431" s="15"/>
      <c r="R431" s="17" t="str">
        <f>IF(Q431="","",VLOOKUP(Q431,'References (2)'!C:D,2,0))</f>
        <v/>
      </c>
      <c r="S431" s="17" t="str">
        <f>IF(Q431="","",VLOOKUP(Q431,'References (2)'!C:F,4,0))</f>
        <v/>
      </c>
      <c r="T431" s="16"/>
      <c r="U431" s="20"/>
      <c r="V431" s="15"/>
      <c r="W431" s="22"/>
      <c r="X431" s="16"/>
      <c r="Y431" s="22"/>
      <c r="Z431" s="25" t="str">
        <f t="shared" si="114"/>
        <v/>
      </c>
      <c r="AA431" s="17" t="str">
        <f t="shared" ca="1" si="115"/>
        <v/>
      </c>
      <c r="AB431" s="17" t="str">
        <f t="shared" ca="1" si="116"/>
        <v/>
      </c>
      <c r="AC431" s="17" t="str">
        <f t="shared" ca="1" si="117"/>
        <v/>
      </c>
      <c r="AD431" s="17" t="str">
        <f t="shared" ca="1" si="118"/>
        <v/>
      </c>
      <c r="AE431" s="17" t="str">
        <f t="shared" si="119"/>
        <v/>
      </c>
      <c r="AF431" s="17" t="str">
        <f t="shared" si="120"/>
        <v/>
      </c>
      <c r="AG431" s="17" t="str">
        <f t="shared" si="121"/>
        <v/>
      </c>
      <c r="AH431" s="17">
        <f t="shared" si="122"/>
        <v>0</v>
      </c>
      <c r="AI431" s="17" t="str">
        <f t="shared" ca="1" si="123"/>
        <v/>
      </c>
      <c r="AJ431" s="17" t="str">
        <f t="shared" ca="1" si="124"/>
        <v/>
      </c>
      <c r="AK431" s="17" t="str">
        <f t="shared" si="125"/>
        <v/>
      </c>
      <c r="AL431" s="17" t="str">
        <f t="shared" ca="1" si="126"/>
        <v/>
      </c>
      <c r="AN431" s="24">
        <f t="shared" si="127"/>
        <v>0</v>
      </c>
      <c r="AO431" s="24">
        <f t="shared" si="128"/>
        <v>0</v>
      </c>
      <c r="AP431" s="24">
        <f t="shared" si="129"/>
        <v>0</v>
      </c>
      <c r="AQ431" s="24">
        <f t="shared" si="130"/>
        <v>0</v>
      </c>
      <c r="AR431" s="24">
        <f t="shared" si="131"/>
        <v>0</v>
      </c>
      <c r="AS431" s="24">
        <f t="shared" si="132"/>
        <v>0</v>
      </c>
    </row>
    <row r="432" spans="1:45" x14ac:dyDescent="0.25">
      <c r="A432" s="83"/>
      <c r="B432" s="83"/>
      <c r="C432" s="83"/>
      <c r="D432" s="15"/>
      <c r="E432" s="15"/>
      <c r="F432" s="83"/>
      <c r="G432" s="83"/>
      <c r="H432" s="16"/>
      <c r="I432" s="83"/>
      <c r="J432" s="83"/>
      <c r="K432" s="16"/>
      <c r="L432" s="15"/>
      <c r="M432" s="20"/>
      <c r="N432" s="15"/>
      <c r="O432" s="20"/>
      <c r="P432" s="15"/>
      <c r="Q432" s="15"/>
      <c r="R432" s="17" t="str">
        <f>IF(Q432="","",VLOOKUP(Q432,'References (2)'!C:D,2,0))</f>
        <v/>
      </c>
      <c r="S432" s="17" t="str">
        <f>IF(Q432="","",VLOOKUP(Q432,'References (2)'!C:F,4,0))</f>
        <v/>
      </c>
      <c r="T432" s="16"/>
      <c r="U432" s="20"/>
      <c r="V432" s="15"/>
      <c r="W432" s="22"/>
      <c r="X432" s="16"/>
      <c r="Y432" s="22"/>
      <c r="Z432" s="25" t="str">
        <f t="shared" si="114"/>
        <v/>
      </c>
      <c r="AA432" s="17" t="str">
        <f t="shared" ca="1" si="115"/>
        <v/>
      </c>
      <c r="AB432" s="17" t="str">
        <f t="shared" ca="1" si="116"/>
        <v/>
      </c>
      <c r="AC432" s="17" t="str">
        <f t="shared" ca="1" si="117"/>
        <v/>
      </c>
      <c r="AD432" s="17" t="str">
        <f t="shared" ca="1" si="118"/>
        <v/>
      </c>
      <c r="AE432" s="17" t="str">
        <f t="shared" si="119"/>
        <v/>
      </c>
      <c r="AF432" s="17" t="str">
        <f t="shared" si="120"/>
        <v/>
      </c>
      <c r="AG432" s="17" t="str">
        <f t="shared" si="121"/>
        <v/>
      </c>
      <c r="AH432" s="17">
        <f t="shared" si="122"/>
        <v>0</v>
      </c>
      <c r="AI432" s="17" t="str">
        <f t="shared" ca="1" si="123"/>
        <v/>
      </c>
      <c r="AJ432" s="17" t="str">
        <f t="shared" ca="1" si="124"/>
        <v/>
      </c>
      <c r="AK432" s="17" t="str">
        <f t="shared" si="125"/>
        <v/>
      </c>
      <c r="AL432" s="17" t="str">
        <f t="shared" ca="1" si="126"/>
        <v/>
      </c>
      <c r="AN432" s="24">
        <f t="shared" si="127"/>
        <v>0</v>
      </c>
      <c r="AO432" s="24">
        <f t="shared" si="128"/>
        <v>0</v>
      </c>
      <c r="AP432" s="24">
        <f t="shared" si="129"/>
        <v>0</v>
      </c>
      <c r="AQ432" s="24">
        <f t="shared" si="130"/>
        <v>0</v>
      </c>
      <c r="AR432" s="24">
        <f t="shared" si="131"/>
        <v>0</v>
      </c>
      <c r="AS432" s="24">
        <f t="shared" si="132"/>
        <v>0</v>
      </c>
    </row>
    <row r="433" spans="1:45" x14ac:dyDescent="0.25">
      <c r="A433" s="83"/>
      <c r="B433" s="83"/>
      <c r="C433" s="83"/>
      <c r="D433" s="15"/>
      <c r="E433" s="15"/>
      <c r="F433" s="83"/>
      <c r="G433" s="83"/>
      <c r="H433" s="16"/>
      <c r="I433" s="83"/>
      <c r="J433" s="83"/>
      <c r="K433" s="16"/>
      <c r="L433" s="15"/>
      <c r="M433" s="20"/>
      <c r="N433" s="15"/>
      <c r="O433" s="20"/>
      <c r="P433" s="15"/>
      <c r="Q433" s="15"/>
      <c r="R433" s="17" t="str">
        <f>IF(Q433="","",VLOOKUP(Q433,'References (2)'!C:D,2,0))</f>
        <v/>
      </c>
      <c r="S433" s="17" t="str">
        <f>IF(Q433="","",VLOOKUP(Q433,'References (2)'!C:F,4,0))</f>
        <v/>
      </c>
      <c r="T433" s="16"/>
      <c r="U433" s="20"/>
      <c r="V433" s="15"/>
      <c r="W433" s="22"/>
      <c r="X433" s="16"/>
      <c r="Y433" s="22"/>
      <c r="Z433" s="25" t="str">
        <f t="shared" si="114"/>
        <v/>
      </c>
      <c r="AA433" s="17" t="str">
        <f t="shared" ca="1" si="115"/>
        <v/>
      </c>
      <c r="AB433" s="17" t="str">
        <f t="shared" ca="1" si="116"/>
        <v/>
      </c>
      <c r="AC433" s="17" t="str">
        <f t="shared" ca="1" si="117"/>
        <v/>
      </c>
      <c r="AD433" s="17" t="str">
        <f t="shared" ca="1" si="118"/>
        <v/>
      </c>
      <c r="AE433" s="17" t="str">
        <f t="shared" si="119"/>
        <v/>
      </c>
      <c r="AF433" s="17" t="str">
        <f t="shared" si="120"/>
        <v/>
      </c>
      <c r="AG433" s="17" t="str">
        <f t="shared" si="121"/>
        <v/>
      </c>
      <c r="AH433" s="17">
        <f t="shared" si="122"/>
        <v>0</v>
      </c>
      <c r="AI433" s="17" t="str">
        <f t="shared" ca="1" si="123"/>
        <v/>
      </c>
      <c r="AJ433" s="17" t="str">
        <f t="shared" ca="1" si="124"/>
        <v/>
      </c>
      <c r="AK433" s="17" t="str">
        <f t="shared" si="125"/>
        <v/>
      </c>
      <c r="AL433" s="17" t="str">
        <f t="shared" ca="1" si="126"/>
        <v/>
      </c>
      <c r="AN433" s="24">
        <f t="shared" si="127"/>
        <v>0</v>
      </c>
      <c r="AO433" s="24">
        <f t="shared" si="128"/>
        <v>0</v>
      </c>
      <c r="AP433" s="24">
        <f t="shared" si="129"/>
        <v>0</v>
      </c>
      <c r="AQ433" s="24">
        <f t="shared" si="130"/>
        <v>0</v>
      </c>
      <c r="AR433" s="24">
        <f t="shared" si="131"/>
        <v>0</v>
      </c>
      <c r="AS433" s="24">
        <f t="shared" si="132"/>
        <v>0</v>
      </c>
    </row>
    <row r="434" spans="1:45" x14ac:dyDescent="0.25">
      <c r="A434" s="83"/>
      <c r="B434" s="83"/>
      <c r="C434" s="83"/>
      <c r="D434" s="15"/>
      <c r="E434" s="15"/>
      <c r="F434" s="83"/>
      <c r="G434" s="83"/>
      <c r="H434" s="16"/>
      <c r="I434" s="83"/>
      <c r="J434" s="83"/>
      <c r="K434" s="16"/>
      <c r="L434" s="15"/>
      <c r="M434" s="20"/>
      <c r="N434" s="15"/>
      <c r="O434" s="20"/>
      <c r="P434" s="15"/>
      <c r="Q434" s="15"/>
      <c r="R434" s="17" t="str">
        <f>IF(Q434="","",VLOOKUP(Q434,'References (2)'!C:D,2,0))</f>
        <v/>
      </c>
      <c r="S434" s="17" t="str">
        <f>IF(Q434="","",VLOOKUP(Q434,'References (2)'!C:F,4,0))</f>
        <v/>
      </c>
      <c r="T434" s="16"/>
      <c r="U434" s="20"/>
      <c r="V434" s="15"/>
      <c r="W434" s="22"/>
      <c r="X434" s="16"/>
      <c r="Y434" s="22"/>
      <c r="Z434" s="25" t="str">
        <f t="shared" si="114"/>
        <v/>
      </c>
      <c r="AA434" s="17" t="str">
        <f t="shared" ca="1" si="115"/>
        <v/>
      </c>
      <c r="AB434" s="17" t="str">
        <f t="shared" ca="1" si="116"/>
        <v/>
      </c>
      <c r="AC434" s="17" t="str">
        <f t="shared" ca="1" si="117"/>
        <v/>
      </c>
      <c r="AD434" s="17" t="str">
        <f t="shared" ca="1" si="118"/>
        <v/>
      </c>
      <c r="AE434" s="17" t="str">
        <f t="shared" si="119"/>
        <v/>
      </c>
      <c r="AF434" s="17" t="str">
        <f t="shared" si="120"/>
        <v/>
      </c>
      <c r="AG434" s="17" t="str">
        <f t="shared" si="121"/>
        <v/>
      </c>
      <c r="AH434" s="17">
        <f t="shared" si="122"/>
        <v>0</v>
      </c>
      <c r="AI434" s="17" t="str">
        <f t="shared" ca="1" si="123"/>
        <v/>
      </c>
      <c r="AJ434" s="17" t="str">
        <f t="shared" ca="1" si="124"/>
        <v/>
      </c>
      <c r="AK434" s="17" t="str">
        <f t="shared" si="125"/>
        <v/>
      </c>
      <c r="AL434" s="17" t="str">
        <f t="shared" ca="1" si="126"/>
        <v/>
      </c>
      <c r="AN434" s="24">
        <f t="shared" si="127"/>
        <v>0</v>
      </c>
      <c r="AO434" s="24">
        <f t="shared" si="128"/>
        <v>0</v>
      </c>
      <c r="AP434" s="24">
        <f t="shared" si="129"/>
        <v>0</v>
      </c>
      <c r="AQ434" s="24">
        <f t="shared" si="130"/>
        <v>0</v>
      </c>
      <c r="AR434" s="24">
        <f t="shared" si="131"/>
        <v>0</v>
      </c>
      <c r="AS434" s="24">
        <f t="shared" si="132"/>
        <v>0</v>
      </c>
    </row>
    <row r="435" spans="1:45" x14ac:dyDescent="0.25">
      <c r="A435" s="83"/>
      <c r="B435" s="83"/>
      <c r="C435" s="83"/>
      <c r="D435" s="15"/>
      <c r="E435" s="15"/>
      <c r="F435" s="83"/>
      <c r="G435" s="83"/>
      <c r="H435" s="16"/>
      <c r="I435" s="83"/>
      <c r="J435" s="83"/>
      <c r="K435" s="16"/>
      <c r="L435" s="15"/>
      <c r="M435" s="20"/>
      <c r="N435" s="15"/>
      <c r="O435" s="20"/>
      <c r="P435" s="15"/>
      <c r="Q435" s="15"/>
      <c r="R435" s="17" t="str">
        <f>IF(Q435="","",VLOOKUP(Q435,'References (2)'!C:D,2,0))</f>
        <v/>
      </c>
      <c r="S435" s="17" t="str">
        <f>IF(Q435="","",VLOOKUP(Q435,'References (2)'!C:F,4,0))</f>
        <v/>
      </c>
      <c r="T435" s="16"/>
      <c r="U435" s="20"/>
      <c r="V435" s="15"/>
      <c r="W435" s="22"/>
      <c r="X435" s="16"/>
      <c r="Y435" s="22"/>
      <c r="Z435" s="25" t="str">
        <f t="shared" si="114"/>
        <v/>
      </c>
      <c r="AA435" s="17" t="str">
        <f t="shared" ca="1" si="115"/>
        <v/>
      </c>
      <c r="AB435" s="17" t="str">
        <f t="shared" ca="1" si="116"/>
        <v/>
      </c>
      <c r="AC435" s="17" t="str">
        <f t="shared" ca="1" si="117"/>
        <v/>
      </c>
      <c r="AD435" s="17" t="str">
        <f t="shared" ca="1" si="118"/>
        <v/>
      </c>
      <c r="AE435" s="17" t="str">
        <f t="shared" si="119"/>
        <v/>
      </c>
      <c r="AF435" s="17" t="str">
        <f t="shared" si="120"/>
        <v/>
      </c>
      <c r="AG435" s="17" t="str">
        <f t="shared" si="121"/>
        <v/>
      </c>
      <c r="AH435" s="17">
        <f t="shared" si="122"/>
        <v>0</v>
      </c>
      <c r="AI435" s="17" t="str">
        <f t="shared" ca="1" si="123"/>
        <v/>
      </c>
      <c r="AJ435" s="17" t="str">
        <f t="shared" ca="1" si="124"/>
        <v/>
      </c>
      <c r="AK435" s="17" t="str">
        <f t="shared" si="125"/>
        <v/>
      </c>
      <c r="AL435" s="17" t="str">
        <f t="shared" ca="1" si="126"/>
        <v/>
      </c>
      <c r="AN435" s="24">
        <f t="shared" si="127"/>
        <v>0</v>
      </c>
      <c r="AO435" s="24">
        <f t="shared" si="128"/>
        <v>0</v>
      </c>
      <c r="AP435" s="24">
        <f t="shared" si="129"/>
        <v>0</v>
      </c>
      <c r="AQ435" s="24">
        <f t="shared" si="130"/>
        <v>0</v>
      </c>
      <c r="AR435" s="24">
        <f t="shared" si="131"/>
        <v>0</v>
      </c>
      <c r="AS435" s="24">
        <f t="shared" si="132"/>
        <v>0</v>
      </c>
    </row>
    <row r="436" spans="1:45" x14ac:dyDescent="0.25">
      <c r="A436" s="83"/>
      <c r="B436" s="83"/>
      <c r="C436" s="83"/>
      <c r="D436" s="15"/>
      <c r="E436" s="15"/>
      <c r="F436" s="83"/>
      <c r="G436" s="83"/>
      <c r="H436" s="16"/>
      <c r="I436" s="83"/>
      <c r="J436" s="83"/>
      <c r="K436" s="16"/>
      <c r="L436" s="15"/>
      <c r="M436" s="20"/>
      <c r="N436" s="15"/>
      <c r="O436" s="20"/>
      <c r="P436" s="15"/>
      <c r="Q436" s="15"/>
      <c r="R436" s="17" t="str">
        <f>IF(Q436="","",VLOOKUP(Q436,'References (2)'!C:D,2,0))</f>
        <v/>
      </c>
      <c r="S436" s="17" t="str">
        <f>IF(Q436="","",VLOOKUP(Q436,'References (2)'!C:F,4,0))</f>
        <v/>
      </c>
      <c r="T436" s="16"/>
      <c r="U436" s="20"/>
      <c r="V436" s="15"/>
      <c r="W436" s="22"/>
      <c r="X436" s="16"/>
      <c r="Y436" s="22"/>
      <c r="Z436" s="25" t="str">
        <f t="shared" si="114"/>
        <v/>
      </c>
      <c r="AA436" s="17" t="str">
        <f t="shared" ca="1" si="115"/>
        <v/>
      </c>
      <c r="AB436" s="17" t="str">
        <f t="shared" ca="1" si="116"/>
        <v/>
      </c>
      <c r="AC436" s="17" t="str">
        <f t="shared" ca="1" si="117"/>
        <v/>
      </c>
      <c r="AD436" s="17" t="str">
        <f t="shared" ca="1" si="118"/>
        <v/>
      </c>
      <c r="AE436" s="17" t="str">
        <f t="shared" si="119"/>
        <v/>
      </c>
      <c r="AF436" s="17" t="str">
        <f t="shared" si="120"/>
        <v/>
      </c>
      <c r="AG436" s="17" t="str">
        <f t="shared" si="121"/>
        <v/>
      </c>
      <c r="AH436" s="17">
        <f t="shared" si="122"/>
        <v>0</v>
      </c>
      <c r="AI436" s="17" t="str">
        <f t="shared" ca="1" si="123"/>
        <v/>
      </c>
      <c r="AJ436" s="17" t="str">
        <f t="shared" ca="1" si="124"/>
        <v/>
      </c>
      <c r="AK436" s="17" t="str">
        <f t="shared" si="125"/>
        <v/>
      </c>
      <c r="AL436" s="17" t="str">
        <f t="shared" ca="1" si="126"/>
        <v/>
      </c>
      <c r="AN436" s="24">
        <f t="shared" si="127"/>
        <v>0</v>
      </c>
      <c r="AO436" s="24">
        <f t="shared" si="128"/>
        <v>0</v>
      </c>
      <c r="AP436" s="24">
        <f t="shared" si="129"/>
        <v>0</v>
      </c>
      <c r="AQ436" s="24">
        <f t="shared" si="130"/>
        <v>0</v>
      </c>
      <c r="AR436" s="24">
        <f t="shared" si="131"/>
        <v>0</v>
      </c>
      <c r="AS436" s="24">
        <f t="shared" si="132"/>
        <v>0</v>
      </c>
    </row>
    <row r="437" spans="1:45" x14ac:dyDescent="0.25">
      <c r="A437" s="83"/>
      <c r="B437" s="83"/>
      <c r="C437" s="83"/>
      <c r="D437" s="15"/>
      <c r="E437" s="15"/>
      <c r="F437" s="83"/>
      <c r="G437" s="83"/>
      <c r="H437" s="16"/>
      <c r="I437" s="83"/>
      <c r="J437" s="83"/>
      <c r="K437" s="16"/>
      <c r="L437" s="15"/>
      <c r="M437" s="20"/>
      <c r="N437" s="15"/>
      <c r="O437" s="20"/>
      <c r="P437" s="15"/>
      <c r="Q437" s="15"/>
      <c r="R437" s="17" t="str">
        <f>IF(Q437="","",VLOOKUP(Q437,'References (2)'!C:D,2,0))</f>
        <v/>
      </c>
      <c r="S437" s="17" t="str">
        <f>IF(Q437="","",VLOOKUP(Q437,'References (2)'!C:F,4,0))</f>
        <v/>
      </c>
      <c r="T437" s="16"/>
      <c r="U437" s="20"/>
      <c r="V437" s="15"/>
      <c r="W437" s="22"/>
      <c r="X437" s="16"/>
      <c r="Y437" s="22"/>
      <c r="Z437" s="25" t="str">
        <f t="shared" si="114"/>
        <v/>
      </c>
      <c r="AA437" s="17" t="str">
        <f t="shared" ca="1" si="115"/>
        <v/>
      </c>
      <c r="AB437" s="17" t="str">
        <f t="shared" ca="1" si="116"/>
        <v/>
      </c>
      <c r="AC437" s="17" t="str">
        <f t="shared" ca="1" si="117"/>
        <v/>
      </c>
      <c r="AD437" s="17" t="str">
        <f t="shared" ca="1" si="118"/>
        <v/>
      </c>
      <c r="AE437" s="17" t="str">
        <f t="shared" si="119"/>
        <v/>
      </c>
      <c r="AF437" s="17" t="str">
        <f t="shared" si="120"/>
        <v/>
      </c>
      <c r="AG437" s="17" t="str">
        <f t="shared" si="121"/>
        <v/>
      </c>
      <c r="AH437" s="17">
        <f t="shared" si="122"/>
        <v>0</v>
      </c>
      <c r="AI437" s="17" t="str">
        <f t="shared" ca="1" si="123"/>
        <v/>
      </c>
      <c r="AJ437" s="17" t="str">
        <f t="shared" ca="1" si="124"/>
        <v/>
      </c>
      <c r="AK437" s="17" t="str">
        <f t="shared" si="125"/>
        <v/>
      </c>
      <c r="AL437" s="17" t="str">
        <f t="shared" ca="1" si="126"/>
        <v/>
      </c>
      <c r="AN437" s="24">
        <f t="shared" si="127"/>
        <v>0</v>
      </c>
      <c r="AO437" s="24">
        <f t="shared" si="128"/>
        <v>0</v>
      </c>
      <c r="AP437" s="24">
        <f t="shared" si="129"/>
        <v>0</v>
      </c>
      <c r="AQ437" s="24">
        <f t="shared" si="130"/>
        <v>0</v>
      </c>
      <c r="AR437" s="24">
        <f t="shared" si="131"/>
        <v>0</v>
      </c>
      <c r="AS437" s="24">
        <f t="shared" si="132"/>
        <v>0</v>
      </c>
    </row>
    <row r="438" spans="1:45" x14ac:dyDescent="0.25">
      <c r="A438" s="83"/>
      <c r="B438" s="83"/>
      <c r="C438" s="83"/>
      <c r="D438" s="15"/>
      <c r="E438" s="15"/>
      <c r="F438" s="83"/>
      <c r="G438" s="83"/>
      <c r="H438" s="16"/>
      <c r="I438" s="83"/>
      <c r="J438" s="83"/>
      <c r="K438" s="16"/>
      <c r="L438" s="15"/>
      <c r="M438" s="20"/>
      <c r="N438" s="15"/>
      <c r="O438" s="20"/>
      <c r="P438" s="15"/>
      <c r="Q438" s="15"/>
      <c r="R438" s="17" t="str">
        <f>IF(Q438="","",VLOOKUP(Q438,'References (2)'!C:D,2,0))</f>
        <v/>
      </c>
      <c r="S438" s="17" t="str">
        <f>IF(Q438="","",VLOOKUP(Q438,'References (2)'!C:F,4,0))</f>
        <v/>
      </c>
      <c r="T438" s="16"/>
      <c r="U438" s="20"/>
      <c r="V438" s="15"/>
      <c r="W438" s="22"/>
      <c r="X438" s="16"/>
      <c r="Y438" s="22"/>
      <c r="Z438" s="25" t="str">
        <f t="shared" si="114"/>
        <v/>
      </c>
      <c r="AA438" s="17" t="str">
        <f t="shared" ca="1" si="115"/>
        <v/>
      </c>
      <c r="AB438" s="17" t="str">
        <f t="shared" ca="1" si="116"/>
        <v/>
      </c>
      <c r="AC438" s="17" t="str">
        <f t="shared" ca="1" si="117"/>
        <v/>
      </c>
      <c r="AD438" s="17" t="str">
        <f t="shared" ca="1" si="118"/>
        <v/>
      </c>
      <c r="AE438" s="17" t="str">
        <f t="shared" si="119"/>
        <v/>
      </c>
      <c r="AF438" s="17" t="str">
        <f t="shared" si="120"/>
        <v/>
      </c>
      <c r="AG438" s="17" t="str">
        <f t="shared" si="121"/>
        <v/>
      </c>
      <c r="AH438" s="17">
        <f t="shared" si="122"/>
        <v>0</v>
      </c>
      <c r="AI438" s="17" t="str">
        <f t="shared" ca="1" si="123"/>
        <v/>
      </c>
      <c r="AJ438" s="17" t="str">
        <f t="shared" ca="1" si="124"/>
        <v/>
      </c>
      <c r="AK438" s="17" t="str">
        <f t="shared" si="125"/>
        <v/>
      </c>
      <c r="AL438" s="17" t="str">
        <f t="shared" ca="1" si="126"/>
        <v/>
      </c>
      <c r="AN438" s="24">
        <f t="shared" si="127"/>
        <v>0</v>
      </c>
      <c r="AO438" s="24">
        <f t="shared" si="128"/>
        <v>0</v>
      </c>
      <c r="AP438" s="24">
        <f t="shared" si="129"/>
        <v>0</v>
      </c>
      <c r="AQ438" s="24">
        <f t="shared" si="130"/>
        <v>0</v>
      </c>
      <c r="AR438" s="24">
        <f t="shared" si="131"/>
        <v>0</v>
      </c>
      <c r="AS438" s="24">
        <f t="shared" si="132"/>
        <v>0</v>
      </c>
    </row>
    <row r="439" spans="1:45" x14ac:dyDescent="0.25">
      <c r="A439" s="83"/>
      <c r="B439" s="83"/>
      <c r="C439" s="83"/>
      <c r="D439" s="15"/>
      <c r="E439" s="15"/>
      <c r="F439" s="83"/>
      <c r="G439" s="83"/>
      <c r="H439" s="16"/>
      <c r="I439" s="83"/>
      <c r="J439" s="83"/>
      <c r="K439" s="16"/>
      <c r="L439" s="15"/>
      <c r="M439" s="20"/>
      <c r="N439" s="15"/>
      <c r="O439" s="20"/>
      <c r="P439" s="15"/>
      <c r="Q439" s="15"/>
      <c r="R439" s="17" t="str">
        <f>IF(Q439="","",VLOOKUP(Q439,'References (2)'!C:D,2,0))</f>
        <v/>
      </c>
      <c r="S439" s="17" t="str">
        <f>IF(Q439="","",VLOOKUP(Q439,'References (2)'!C:F,4,0))</f>
        <v/>
      </c>
      <c r="T439" s="16"/>
      <c r="U439" s="20"/>
      <c r="V439" s="15"/>
      <c r="W439" s="22"/>
      <c r="X439" s="16"/>
      <c r="Y439" s="22"/>
      <c r="Z439" s="25" t="str">
        <f t="shared" si="114"/>
        <v/>
      </c>
      <c r="AA439" s="17" t="str">
        <f t="shared" ca="1" si="115"/>
        <v/>
      </c>
      <c r="AB439" s="17" t="str">
        <f t="shared" ca="1" si="116"/>
        <v/>
      </c>
      <c r="AC439" s="17" t="str">
        <f t="shared" ca="1" si="117"/>
        <v/>
      </c>
      <c r="AD439" s="17" t="str">
        <f t="shared" ca="1" si="118"/>
        <v/>
      </c>
      <c r="AE439" s="17" t="str">
        <f t="shared" si="119"/>
        <v/>
      </c>
      <c r="AF439" s="17" t="str">
        <f t="shared" si="120"/>
        <v/>
      </c>
      <c r="AG439" s="17" t="str">
        <f t="shared" si="121"/>
        <v/>
      </c>
      <c r="AH439" s="17">
        <f t="shared" si="122"/>
        <v>0</v>
      </c>
      <c r="AI439" s="17" t="str">
        <f t="shared" ca="1" si="123"/>
        <v/>
      </c>
      <c r="AJ439" s="17" t="str">
        <f t="shared" ca="1" si="124"/>
        <v/>
      </c>
      <c r="AK439" s="17" t="str">
        <f t="shared" si="125"/>
        <v/>
      </c>
      <c r="AL439" s="17" t="str">
        <f t="shared" ca="1" si="126"/>
        <v/>
      </c>
      <c r="AN439" s="24">
        <f t="shared" si="127"/>
        <v>0</v>
      </c>
      <c r="AO439" s="24">
        <f t="shared" si="128"/>
        <v>0</v>
      </c>
      <c r="AP439" s="24">
        <f t="shared" si="129"/>
        <v>0</v>
      </c>
      <c r="AQ439" s="24">
        <f t="shared" si="130"/>
        <v>0</v>
      </c>
      <c r="AR439" s="24">
        <f t="shared" si="131"/>
        <v>0</v>
      </c>
      <c r="AS439" s="24">
        <f t="shared" si="132"/>
        <v>0</v>
      </c>
    </row>
    <row r="440" spans="1:45" x14ac:dyDescent="0.25">
      <c r="A440" s="83"/>
      <c r="B440" s="83"/>
      <c r="C440" s="83"/>
      <c r="D440" s="15"/>
      <c r="E440" s="15"/>
      <c r="F440" s="83"/>
      <c r="G440" s="83"/>
      <c r="H440" s="16"/>
      <c r="I440" s="83"/>
      <c r="J440" s="83"/>
      <c r="K440" s="16"/>
      <c r="L440" s="15"/>
      <c r="M440" s="20"/>
      <c r="N440" s="15"/>
      <c r="O440" s="20"/>
      <c r="P440" s="15"/>
      <c r="Q440" s="15"/>
      <c r="R440" s="17" t="str">
        <f>IF(Q440="","",VLOOKUP(Q440,'References (2)'!C:D,2,0))</f>
        <v/>
      </c>
      <c r="S440" s="17" t="str">
        <f>IF(Q440="","",VLOOKUP(Q440,'References (2)'!C:F,4,0))</f>
        <v/>
      </c>
      <c r="T440" s="16"/>
      <c r="U440" s="20"/>
      <c r="V440" s="15"/>
      <c r="W440" s="22"/>
      <c r="X440" s="16"/>
      <c r="Y440" s="22"/>
      <c r="Z440" s="25" t="str">
        <f t="shared" si="114"/>
        <v/>
      </c>
      <c r="AA440" s="17" t="str">
        <f t="shared" ca="1" si="115"/>
        <v/>
      </c>
      <c r="AB440" s="17" t="str">
        <f t="shared" ca="1" si="116"/>
        <v/>
      </c>
      <c r="AC440" s="17" t="str">
        <f t="shared" ca="1" si="117"/>
        <v/>
      </c>
      <c r="AD440" s="17" t="str">
        <f t="shared" ca="1" si="118"/>
        <v/>
      </c>
      <c r="AE440" s="17" t="str">
        <f t="shared" si="119"/>
        <v/>
      </c>
      <c r="AF440" s="17" t="str">
        <f t="shared" si="120"/>
        <v/>
      </c>
      <c r="AG440" s="17" t="str">
        <f t="shared" si="121"/>
        <v/>
      </c>
      <c r="AH440" s="17">
        <f t="shared" si="122"/>
        <v>0</v>
      </c>
      <c r="AI440" s="17" t="str">
        <f t="shared" ca="1" si="123"/>
        <v/>
      </c>
      <c r="AJ440" s="17" t="str">
        <f t="shared" ca="1" si="124"/>
        <v/>
      </c>
      <c r="AK440" s="17" t="str">
        <f t="shared" si="125"/>
        <v/>
      </c>
      <c r="AL440" s="17" t="str">
        <f t="shared" ca="1" si="126"/>
        <v/>
      </c>
      <c r="AN440" s="24">
        <f t="shared" si="127"/>
        <v>0</v>
      </c>
      <c r="AO440" s="24">
        <f t="shared" si="128"/>
        <v>0</v>
      </c>
      <c r="AP440" s="24">
        <f t="shared" si="129"/>
        <v>0</v>
      </c>
      <c r="AQ440" s="24">
        <f t="shared" si="130"/>
        <v>0</v>
      </c>
      <c r="AR440" s="24">
        <f t="shared" si="131"/>
        <v>0</v>
      </c>
      <c r="AS440" s="24">
        <f t="shared" si="132"/>
        <v>0</v>
      </c>
    </row>
    <row r="441" spans="1:45" x14ac:dyDescent="0.25">
      <c r="A441" s="83"/>
      <c r="B441" s="83"/>
      <c r="C441" s="83"/>
      <c r="D441" s="15"/>
      <c r="E441" s="15"/>
      <c r="F441" s="83"/>
      <c r="G441" s="83"/>
      <c r="H441" s="16"/>
      <c r="I441" s="83"/>
      <c r="J441" s="83"/>
      <c r="K441" s="16"/>
      <c r="L441" s="15"/>
      <c r="M441" s="20"/>
      <c r="N441" s="15"/>
      <c r="O441" s="20"/>
      <c r="P441" s="15"/>
      <c r="Q441" s="15"/>
      <c r="R441" s="17" t="str">
        <f>IF(Q441="","",VLOOKUP(Q441,'References (2)'!C:D,2,0))</f>
        <v/>
      </c>
      <c r="S441" s="17" t="str">
        <f>IF(Q441="","",VLOOKUP(Q441,'References (2)'!C:F,4,0))</f>
        <v/>
      </c>
      <c r="T441" s="16"/>
      <c r="U441" s="20"/>
      <c r="V441" s="15"/>
      <c r="W441" s="22"/>
      <c r="X441" s="16"/>
      <c r="Y441" s="22"/>
      <c r="Z441" s="25" t="str">
        <f t="shared" si="114"/>
        <v/>
      </c>
      <c r="AA441" s="17" t="str">
        <f t="shared" ca="1" si="115"/>
        <v/>
      </c>
      <c r="AB441" s="17" t="str">
        <f t="shared" ca="1" si="116"/>
        <v/>
      </c>
      <c r="AC441" s="17" t="str">
        <f t="shared" ca="1" si="117"/>
        <v/>
      </c>
      <c r="AD441" s="17" t="str">
        <f t="shared" ca="1" si="118"/>
        <v/>
      </c>
      <c r="AE441" s="17" t="str">
        <f t="shared" si="119"/>
        <v/>
      </c>
      <c r="AF441" s="17" t="str">
        <f t="shared" si="120"/>
        <v/>
      </c>
      <c r="AG441" s="17" t="str">
        <f t="shared" si="121"/>
        <v/>
      </c>
      <c r="AH441" s="17">
        <f t="shared" si="122"/>
        <v>0</v>
      </c>
      <c r="AI441" s="17" t="str">
        <f t="shared" ca="1" si="123"/>
        <v/>
      </c>
      <c r="AJ441" s="17" t="str">
        <f t="shared" ca="1" si="124"/>
        <v/>
      </c>
      <c r="AK441" s="17" t="str">
        <f t="shared" si="125"/>
        <v/>
      </c>
      <c r="AL441" s="17" t="str">
        <f t="shared" ca="1" si="126"/>
        <v/>
      </c>
      <c r="AN441" s="24">
        <f t="shared" si="127"/>
        <v>0</v>
      </c>
      <c r="AO441" s="24">
        <f t="shared" si="128"/>
        <v>0</v>
      </c>
      <c r="AP441" s="24">
        <f t="shared" si="129"/>
        <v>0</v>
      </c>
      <c r="AQ441" s="24">
        <f t="shared" si="130"/>
        <v>0</v>
      </c>
      <c r="AR441" s="24">
        <f t="shared" si="131"/>
        <v>0</v>
      </c>
      <c r="AS441" s="24">
        <f t="shared" si="132"/>
        <v>0</v>
      </c>
    </row>
    <row r="442" spans="1:45" x14ac:dyDescent="0.25">
      <c r="A442" s="83"/>
      <c r="B442" s="83"/>
      <c r="C442" s="83"/>
      <c r="D442" s="15"/>
      <c r="E442" s="15"/>
      <c r="F442" s="83"/>
      <c r="G442" s="83"/>
      <c r="H442" s="16"/>
      <c r="I442" s="83"/>
      <c r="J442" s="83"/>
      <c r="K442" s="16"/>
      <c r="L442" s="15"/>
      <c r="M442" s="20"/>
      <c r="N442" s="15"/>
      <c r="O442" s="20"/>
      <c r="P442" s="15"/>
      <c r="Q442" s="15"/>
      <c r="R442" s="17" t="str">
        <f>IF(Q442="","",VLOOKUP(Q442,'References (2)'!C:D,2,0))</f>
        <v/>
      </c>
      <c r="S442" s="17" t="str">
        <f>IF(Q442="","",VLOOKUP(Q442,'References (2)'!C:F,4,0))</f>
        <v/>
      </c>
      <c r="T442" s="16"/>
      <c r="U442" s="20"/>
      <c r="V442" s="15"/>
      <c r="W442" s="22"/>
      <c r="X442" s="16"/>
      <c r="Y442" s="22"/>
      <c r="Z442" s="25" t="str">
        <f t="shared" si="114"/>
        <v/>
      </c>
      <c r="AA442" s="17" t="str">
        <f t="shared" ca="1" si="115"/>
        <v/>
      </c>
      <c r="AB442" s="17" t="str">
        <f t="shared" ca="1" si="116"/>
        <v/>
      </c>
      <c r="AC442" s="17" t="str">
        <f t="shared" ca="1" si="117"/>
        <v/>
      </c>
      <c r="AD442" s="17" t="str">
        <f t="shared" ca="1" si="118"/>
        <v/>
      </c>
      <c r="AE442" s="17" t="str">
        <f t="shared" si="119"/>
        <v/>
      </c>
      <c r="AF442" s="17" t="str">
        <f t="shared" si="120"/>
        <v/>
      </c>
      <c r="AG442" s="17" t="str">
        <f t="shared" si="121"/>
        <v/>
      </c>
      <c r="AH442" s="17">
        <f t="shared" si="122"/>
        <v>0</v>
      </c>
      <c r="AI442" s="17" t="str">
        <f t="shared" ca="1" si="123"/>
        <v/>
      </c>
      <c r="AJ442" s="17" t="str">
        <f t="shared" ca="1" si="124"/>
        <v/>
      </c>
      <c r="AK442" s="17" t="str">
        <f t="shared" si="125"/>
        <v/>
      </c>
      <c r="AL442" s="17" t="str">
        <f t="shared" ca="1" si="126"/>
        <v/>
      </c>
      <c r="AN442" s="24">
        <f t="shared" si="127"/>
        <v>0</v>
      </c>
      <c r="AO442" s="24">
        <f t="shared" si="128"/>
        <v>0</v>
      </c>
      <c r="AP442" s="24">
        <f t="shared" si="129"/>
        <v>0</v>
      </c>
      <c r="AQ442" s="24">
        <f t="shared" si="130"/>
        <v>0</v>
      </c>
      <c r="AR442" s="24">
        <f t="shared" si="131"/>
        <v>0</v>
      </c>
      <c r="AS442" s="24">
        <f t="shared" si="132"/>
        <v>0</v>
      </c>
    </row>
    <row r="443" spans="1:45" x14ac:dyDescent="0.25">
      <c r="A443" s="83"/>
      <c r="B443" s="83"/>
      <c r="C443" s="83"/>
      <c r="D443" s="15"/>
      <c r="E443" s="15"/>
      <c r="F443" s="83"/>
      <c r="G443" s="83"/>
      <c r="H443" s="16"/>
      <c r="I443" s="83"/>
      <c r="J443" s="83"/>
      <c r="K443" s="16"/>
      <c r="L443" s="15"/>
      <c r="M443" s="20"/>
      <c r="N443" s="15"/>
      <c r="O443" s="20"/>
      <c r="P443" s="15"/>
      <c r="Q443" s="15"/>
      <c r="R443" s="17" t="str">
        <f>IF(Q443="","",VLOOKUP(Q443,'References (2)'!C:D,2,0))</f>
        <v/>
      </c>
      <c r="S443" s="17" t="str">
        <f>IF(Q443="","",VLOOKUP(Q443,'References (2)'!C:F,4,0))</f>
        <v/>
      </c>
      <c r="T443" s="16"/>
      <c r="U443" s="20"/>
      <c r="V443" s="15"/>
      <c r="W443" s="22"/>
      <c r="X443" s="16"/>
      <c r="Y443" s="22"/>
      <c r="Z443" s="25" t="str">
        <f t="shared" si="114"/>
        <v/>
      </c>
      <c r="AA443" s="17" t="str">
        <f t="shared" ca="1" si="115"/>
        <v/>
      </c>
      <c r="AB443" s="17" t="str">
        <f t="shared" ca="1" si="116"/>
        <v/>
      </c>
      <c r="AC443" s="17" t="str">
        <f t="shared" ca="1" si="117"/>
        <v/>
      </c>
      <c r="AD443" s="17" t="str">
        <f t="shared" ca="1" si="118"/>
        <v/>
      </c>
      <c r="AE443" s="17" t="str">
        <f t="shared" si="119"/>
        <v/>
      </c>
      <c r="AF443" s="17" t="str">
        <f t="shared" si="120"/>
        <v/>
      </c>
      <c r="AG443" s="17" t="str">
        <f t="shared" si="121"/>
        <v/>
      </c>
      <c r="AH443" s="17">
        <f t="shared" si="122"/>
        <v>0</v>
      </c>
      <c r="AI443" s="17" t="str">
        <f t="shared" ca="1" si="123"/>
        <v/>
      </c>
      <c r="AJ443" s="17" t="str">
        <f t="shared" ca="1" si="124"/>
        <v/>
      </c>
      <c r="AK443" s="17" t="str">
        <f t="shared" si="125"/>
        <v/>
      </c>
      <c r="AL443" s="17" t="str">
        <f t="shared" ca="1" si="126"/>
        <v/>
      </c>
      <c r="AN443" s="24">
        <f t="shared" si="127"/>
        <v>0</v>
      </c>
      <c r="AO443" s="24">
        <f t="shared" si="128"/>
        <v>0</v>
      </c>
      <c r="AP443" s="24">
        <f t="shared" si="129"/>
        <v>0</v>
      </c>
      <c r="AQ443" s="24">
        <f t="shared" si="130"/>
        <v>0</v>
      </c>
      <c r="AR443" s="24">
        <f t="shared" si="131"/>
        <v>0</v>
      </c>
      <c r="AS443" s="24">
        <f t="shared" si="132"/>
        <v>0</v>
      </c>
    </row>
    <row r="444" spans="1:45" x14ac:dyDescent="0.25">
      <c r="A444" s="83"/>
      <c r="B444" s="83"/>
      <c r="C444" s="83"/>
      <c r="D444" s="15"/>
      <c r="E444" s="15"/>
      <c r="F444" s="83"/>
      <c r="G444" s="83"/>
      <c r="H444" s="16"/>
      <c r="I444" s="83"/>
      <c r="J444" s="83"/>
      <c r="K444" s="16"/>
      <c r="L444" s="15"/>
      <c r="M444" s="20"/>
      <c r="N444" s="15"/>
      <c r="O444" s="20"/>
      <c r="P444" s="15"/>
      <c r="Q444" s="15"/>
      <c r="R444" s="17" t="str">
        <f>IF(Q444="","",VLOOKUP(Q444,'References (2)'!C:D,2,0))</f>
        <v/>
      </c>
      <c r="S444" s="17" t="str">
        <f>IF(Q444="","",VLOOKUP(Q444,'References (2)'!C:F,4,0))</f>
        <v/>
      </c>
      <c r="T444" s="16"/>
      <c r="U444" s="20"/>
      <c r="V444" s="15"/>
      <c r="W444" s="22"/>
      <c r="X444" s="16"/>
      <c r="Y444" s="22"/>
      <c r="Z444" s="25" t="str">
        <f t="shared" si="114"/>
        <v/>
      </c>
      <c r="AA444" s="17" t="str">
        <f t="shared" ca="1" si="115"/>
        <v/>
      </c>
      <c r="AB444" s="17" t="str">
        <f t="shared" ca="1" si="116"/>
        <v/>
      </c>
      <c r="AC444" s="17" t="str">
        <f t="shared" ca="1" si="117"/>
        <v/>
      </c>
      <c r="AD444" s="17" t="str">
        <f t="shared" ca="1" si="118"/>
        <v/>
      </c>
      <c r="AE444" s="17" t="str">
        <f t="shared" si="119"/>
        <v/>
      </c>
      <c r="AF444" s="17" t="str">
        <f t="shared" si="120"/>
        <v/>
      </c>
      <c r="AG444" s="17" t="str">
        <f t="shared" si="121"/>
        <v/>
      </c>
      <c r="AH444" s="17">
        <f t="shared" si="122"/>
        <v>0</v>
      </c>
      <c r="AI444" s="17" t="str">
        <f t="shared" ca="1" si="123"/>
        <v/>
      </c>
      <c r="AJ444" s="17" t="str">
        <f t="shared" ca="1" si="124"/>
        <v/>
      </c>
      <c r="AK444" s="17" t="str">
        <f t="shared" si="125"/>
        <v/>
      </c>
      <c r="AL444" s="17" t="str">
        <f t="shared" ca="1" si="126"/>
        <v/>
      </c>
      <c r="AN444" s="24">
        <f t="shared" si="127"/>
        <v>0</v>
      </c>
      <c r="AO444" s="24">
        <f t="shared" si="128"/>
        <v>0</v>
      </c>
      <c r="AP444" s="24">
        <f t="shared" si="129"/>
        <v>0</v>
      </c>
      <c r="AQ444" s="24">
        <f t="shared" si="130"/>
        <v>0</v>
      </c>
      <c r="AR444" s="24">
        <f t="shared" si="131"/>
        <v>0</v>
      </c>
      <c r="AS444" s="24">
        <f t="shared" si="132"/>
        <v>0</v>
      </c>
    </row>
    <row r="445" spans="1:45" x14ac:dyDescent="0.25">
      <c r="A445" s="83"/>
      <c r="B445" s="83"/>
      <c r="C445" s="83"/>
      <c r="D445" s="15"/>
      <c r="E445" s="15"/>
      <c r="F445" s="83"/>
      <c r="G445" s="83"/>
      <c r="H445" s="16"/>
      <c r="I445" s="83"/>
      <c r="J445" s="83"/>
      <c r="K445" s="16"/>
      <c r="L445" s="15"/>
      <c r="M445" s="20"/>
      <c r="N445" s="15"/>
      <c r="O445" s="20"/>
      <c r="P445" s="15"/>
      <c r="Q445" s="15"/>
      <c r="R445" s="17" t="str">
        <f>IF(Q445="","",VLOOKUP(Q445,'References (2)'!C:D,2,0))</f>
        <v/>
      </c>
      <c r="S445" s="17" t="str">
        <f>IF(Q445="","",VLOOKUP(Q445,'References (2)'!C:F,4,0))</f>
        <v/>
      </c>
      <c r="T445" s="16"/>
      <c r="U445" s="20"/>
      <c r="V445" s="15"/>
      <c r="W445" s="22"/>
      <c r="X445" s="16"/>
      <c r="Y445" s="22"/>
      <c r="Z445" s="25" t="str">
        <f t="shared" si="114"/>
        <v/>
      </c>
      <c r="AA445" s="17" t="str">
        <f t="shared" ca="1" si="115"/>
        <v/>
      </c>
      <c r="AB445" s="17" t="str">
        <f t="shared" ca="1" si="116"/>
        <v/>
      </c>
      <c r="AC445" s="17" t="str">
        <f t="shared" ca="1" si="117"/>
        <v/>
      </c>
      <c r="AD445" s="17" t="str">
        <f t="shared" ca="1" si="118"/>
        <v/>
      </c>
      <c r="AE445" s="17" t="str">
        <f t="shared" si="119"/>
        <v/>
      </c>
      <c r="AF445" s="17" t="str">
        <f t="shared" si="120"/>
        <v/>
      </c>
      <c r="AG445" s="17" t="str">
        <f t="shared" si="121"/>
        <v/>
      </c>
      <c r="AH445" s="17">
        <f t="shared" si="122"/>
        <v>0</v>
      </c>
      <c r="AI445" s="17" t="str">
        <f t="shared" ca="1" si="123"/>
        <v/>
      </c>
      <c r="AJ445" s="17" t="str">
        <f t="shared" ca="1" si="124"/>
        <v/>
      </c>
      <c r="AK445" s="17" t="str">
        <f t="shared" si="125"/>
        <v/>
      </c>
      <c r="AL445" s="17" t="str">
        <f t="shared" ca="1" si="126"/>
        <v/>
      </c>
      <c r="AN445" s="24">
        <f t="shared" si="127"/>
        <v>0</v>
      </c>
      <c r="AO445" s="24">
        <f t="shared" si="128"/>
        <v>0</v>
      </c>
      <c r="AP445" s="24">
        <f t="shared" si="129"/>
        <v>0</v>
      </c>
      <c r="AQ445" s="24">
        <f t="shared" si="130"/>
        <v>0</v>
      </c>
      <c r="AR445" s="24">
        <f t="shared" si="131"/>
        <v>0</v>
      </c>
      <c r="AS445" s="24">
        <f t="shared" si="132"/>
        <v>0</v>
      </c>
    </row>
    <row r="446" spans="1:45" x14ac:dyDescent="0.25">
      <c r="A446" s="83"/>
      <c r="B446" s="83"/>
      <c r="C446" s="83"/>
      <c r="D446" s="15"/>
      <c r="E446" s="15"/>
      <c r="F446" s="83"/>
      <c r="G446" s="83"/>
      <c r="H446" s="16"/>
      <c r="I446" s="83"/>
      <c r="J446" s="83"/>
      <c r="K446" s="16"/>
      <c r="L446" s="15"/>
      <c r="M446" s="20"/>
      <c r="N446" s="15"/>
      <c r="O446" s="20"/>
      <c r="P446" s="15"/>
      <c r="Q446" s="15"/>
      <c r="R446" s="17" t="str">
        <f>IF(Q446="","",VLOOKUP(Q446,'References (2)'!C:D,2,0))</f>
        <v/>
      </c>
      <c r="S446" s="17" t="str">
        <f>IF(Q446="","",VLOOKUP(Q446,'References (2)'!C:F,4,0))</f>
        <v/>
      </c>
      <c r="T446" s="16"/>
      <c r="U446" s="20"/>
      <c r="V446" s="15"/>
      <c r="W446" s="22"/>
      <c r="X446" s="16"/>
      <c r="Y446" s="22"/>
      <c r="Z446" s="25" t="str">
        <f t="shared" si="114"/>
        <v/>
      </c>
      <c r="AA446" s="17" t="str">
        <f t="shared" ca="1" si="115"/>
        <v/>
      </c>
      <c r="AB446" s="17" t="str">
        <f t="shared" ca="1" si="116"/>
        <v/>
      </c>
      <c r="AC446" s="17" t="str">
        <f t="shared" ca="1" si="117"/>
        <v/>
      </c>
      <c r="AD446" s="17" t="str">
        <f t="shared" ca="1" si="118"/>
        <v/>
      </c>
      <c r="AE446" s="17" t="str">
        <f t="shared" si="119"/>
        <v/>
      </c>
      <c r="AF446" s="17" t="str">
        <f t="shared" si="120"/>
        <v/>
      </c>
      <c r="AG446" s="17" t="str">
        <f t="shared" si="121"/>
        <v/>
      </c>
      <c r="AH446" s="17">
        <f t="shared" si="122"/>
        <v>0</v>
      </c>
      <c r="AI446" s="17" t="str">
        <f t="shared" ca="1" si="123"/>
        <v/>
      </c>
      <c r="AJ446" s="17" t="str">
        <f t="shared" ca="1" si="124"/>
        <v/>
      </c>
      <c r="AK446" s="17" t="str">
        <f t="shared" si="125"/>
        <v/>
      </c>
      <c r="AL446" s="17" t="str">
        <f t="shared" ca="1" si="126"/>
        <v/>
      </c>
      <c r="AN446" s="24">
        <f t="shared" si="127"/>
        <v>0</v>
      </c>
      <c r="AO446" s="24">
        <f t="shared" si="128"/>
        <v>0</v>
      </c>
      <c r="AP446" s="24">
        <f t="shared" si="129"/>
        <v>0</v>
      </c>
      <c r="AQ446" s="24">
        <f t="shared" si="130"/>
        <v>0</v>
      </c>
      <c r="AR446" s="24">
        <f t="shared" si="131"/>
        <v>0</v>
      </c>
      <c r="AS446" s="24">
        <f t="shared" si="132"/>
        <v>0</v>
      </c>
    </row>
    <row r="447" spans="1:45" x14ac:dyDescent="0.25">
      <c r="A447" s="83"/>
      <c r="B447" s="83"/>
      <c r="C447" s="83"/>
      <c r="D447" s="15"/>
      <c r="E447" s="15"/>
      <c r="F447" s="83"/>
      <c r="G447" s="83"/>
      <c r="H447" s="16"/>
      <c r="I447" s="83"/>
      <c r="J447" s="83"/>
      <c r="K447" s="16"/>
      <c r="L447" s="15"/>
      <c r="M447" s="20"/>
      <c r="N447" s="15"/>
      <c r="O447" s="20"/>
      <c r="P447" s="15"/>
      <c r="Q447" s="15"/>
      <c r="R447" s="17" t="str">
        <f>IF(Q447="","",VLOOKUP(Q447,'References (2)'!C:D,2,0))</f>
        <v/>
      </c>
      <c r="S447" s="17" t="str">
        <f>IF(Q447="","",VLOOKUP(Q447,'References (2)'!C:F,4,0))</f>
        <v/>
      </c>
      <c r="T447" s="16"/>
      <c r="U447" s="20"/>
      <c r="V447" s="15"/>
      <c r="W447" s="22"/>
      <c r="X447" s="16"/>
      <c r="Y447" s="22"/>
      <c r="Z447" s="25" t="str">
        <f t="shared" si="114"/>
        <v/>
      </c>
      <c r="AA447" s="17" t="str">
        <f t="shared" ca="1" si="115"/>
        <v/>
      </c>
      <c r="AB447" s="17" t="str">
        <f t="shared" ca="1" si="116"/>
        <v/>
      </c>
      <c r="AC447" s="17" t="str">
        <f t="shared" ca="1" si="117"/>
        <v/>
      </c>
      <c r="AD447" s="17" t="str">
        <f t="shared" ca="1" si="118"/>
        <v/>
      </c>
      <c r="AE447" s="17" t="str">
        <f t="shared" si="119"/>
        <v/>
      </c>
      <c r="AF447" s="17" t="str">
        <f t="shared" si="120"/>
        <v/>
      </c>
      <c r="AG447" s="17" t="str">
        <f t="shared" si="121"/>
        <v/>
      </c>
      <c r="AH447" s="17">
        <f t="shared" si="122"/>
        <v>0</v>
      </c>
      <c r="AI447" s="17" t="str">
        <f t="shared" ca="1" si="123"/>
        <v/>
      </c>
      <c r="AJ447" s="17" t="str">
        <f t="shared" ca="1" si="124"/>
        <v/>
      </c>
      <c r="AK447" s="17" t="str">
        <f t="shared" si="125"/>
        <v/>
      </c>
      <c r="AL447" s="17" t="str">
        <f t="shared" ca="1" si="126"/>
        <v/>
      </c>
      <c r="AN447" s="24">
        <f t="shared" si="127"/>
        <v>0</v>
      </c>
      <c r="AO447" s="24">
        <f t="shared" si="128"/>
        <v>0</v>
      </c>
      <c r="AP447" s="24">
        <f t="shared" si="129"/>
        <v>0</v>
      </c>
      <c r="AQ447" s="24">
        <f t="shared" si="130"/>
        <v>0</v>
      </c>
      <c r="AR447" s="24">
        <f t="shared" si="131"/>
        <v>0</v>
      </c>
      <c r="AS447" s="24">
        <f t="shared" si="132"/>
        <v>0</v>
      </c>
    </row>
    <row r="448" spans="1:45" x14ac:dyDescent="0.25">
      <c r="A448" s="83"/>
      <c r="B448" s="83"/>
      <c r="C448" s="83"/>
      <c r="D448" s="15"/>
      <c r="E448" s="15"/>
      <c r="F448" s="83"/>
      <c r="G448" s="83"/>
      <c r="H448" s="16"/>
      <c r="I448" s="83"/>
      <c r="J448" s="83"/>
      <c r="K448" s="16"/>
      <c r="L448" s="15"/>
      <c r="M448" s="20"/>
      <c r="N448" s="15"/>
      <c r="O448" s="20"/>
      <c r="P448" s="15"/>
      <c r="Q448" s="15"/>
      <c r="R448" s="17" t="str">
        <f>IF(Q448="","",VLOOKUP(Q448,'References (2)'!C:D,2,0))</f>
        <v/>
      </c>
      <c r="S448" s="17" t="str">
        <f>IF(Q448="","",VLOOKUP(Q448,'References (2)'!C:F,4,0))</f>
        <v/>
      </c>
      <c r="T448" s="16"/>
      <c r="U448" s="20"/>
      <c r="V448" s="15"/>
      <c r="W448" s="22"/>
      <c r="X448" s="16"/>
      <c r="Y448" s="22"/>
      <c r="Z448" s="25" t="str">
        <f t="shared" si="114"/>
        <v/>
      </c>
      <c r="AA448" s="17" t="str">
        <f t="shared" ca="1" si="115"/>
        <v/>
      </c>
      <c r="AB448" s="17" t="str">
        <f t="shared" ca="1" si="116"/>
        <v/>
      </c>
      <c r="AC448" s="17" t="str">
        <f t="shared" ca="1" si="117"/>
        <v/>
      </c>
      <c r="AD448" s="17" t="str">
        <f t="shared" ca="1" si="118"/>
        <v/>
      </c>
      <c r="AE448" s="17" t="str">
        <f t="shared" si="119"/>
        <v/>
      </c>
      <c r="AF448" s="17" t="str">
        <f t="shared" si="120"/>
        <v/>
      </c>
      <c r="AG448" s="17" t="str">
        <f t="shared" si="121"/>
        <v/>
      </c>
      <c r="AH448" s="17">
        <f t="shared" si="122"/>
        <v>0</v>
      </c>
      <c r="AI448" s="17" t="str">
        <f t="shared" ca="1" si="123"/>
        <v/>
      </c>
      <c r="AJ448" s="17" t="str">
        <f t="shared" ca="1" si="124"/>
        <v/>
      </c>
      <c r="AK448" s="17" t="str">
        <f t="shared" si="125"/>
        <v/>
      </c>
      <c r="AL448" s="17" t="str">
        <f t="shared" ca="1" si="126"/>
        <v/>
      </c>
      <c r="AN448" s="24">
        <f t="shared" si="127"/>
        <v>0</v>
      </c>
      <c r="AO448" s="24">
        <f t="shared" si="128"/>
        <v>0</v>
      </c>
      <c r="AP448" s="24">
        <f t="shared" si="129"/>
        <v>0</v>
      </c>
      <c r="AQ448" s="24">
        <f t="shared" si="130"/>
        <v>0</v>
      </c>
      <c r="AR448" s="24">
        <f t="shared" si="131"/>
        <v>0</v>
      </c>
      <c r="AS448" s="24">
        <f t="shared" si="132"/>
        <v>0</v>
      </c>
    </row>
    <row r="449" spans="1:45" x14ac:dyDescent="0.25">
      <c r="A449" s="83"/>
      <c r="B449" s="83"/>
      <c r="C449" s="83"/>
      <c r="D449" s="15"/>
      <c r="E449" s="15"/>
      <c r="F449" s="83"/>
      <c r="G449" s="83"/>
      <c r="H449" s="16"/>
      <c r="I449" s="83"/>
      <c r="J449" s="83"/>
      <c r="K449" s="16"/>
      <c r="L449" s="15"/>
      <c r="M449" s="20"/>
      <c r="N449" s="15"/>
      <c r="O449" s="20"/>
      <c r="P449" s="15"/>
      <c r="Q449" s="15"/>
      <c r="R449" s="17" t="str">
        <f>IF(Q449="","",VLOOKUP(Q449,'References (2)'!C:D,2,0))</f>
        <v/>
      </c>
      <c r="S449" s="17" t="str">
        <f>IF(Q449="","",VLOOKUP(Q449,'References (2)'!C:F,4,0))</f>
        <v/>
      </c>
      <c r="T449" s="16"/>
      <c r="U449" s="20"/>
      <c r="V449" s="15"/>
      <c r="W449" s="22"/>
      <c r="X449" s="16"/>
      <c r="Y449" s="22"/>
      <c r="Z449" s="25" t="str">
        <f t="shared" si="114"/>
        <v/>
      </c>
      <c r="AA449" s="17" t="str">
        <f t="shared" ca="1" si="115"/>
        <v/>
      </c>
      <c r="AB449" s="17" t="str">
        <f t="shared" ca="1" si="116"/>
        <v/>
      </c>
      <c r="AC449" s="17" t="str">
        <f t="shared" ca="1" si="117"/>
        <v/>
      </c>
      <c r="AD449" s="17" t="str">
        <f t="shared" ca="1" si="118"/>
        <v/>
      </c>
      <c r="AE449" s="17" t="str">
        <f t="shared" si="119"/>
        <v/>
      </c>
      <c r="AF449" s="17" t="str">
        <f t="shared" si="120"/>
        <v/>
      </c>
      <c r="AG449" s="17" t="str">
        <f t="shared" si="121"/>
        <v/>
      </c>
      <c r="AH449" s="17">
        <f t="shared" si="122"/>
        <v>0</v>
      </c>
      <c r="AI449" s="17" t="str">
        <f t="shared" ca="1" si="123"/>
        <v/>
      </c>
      <c r="AJ449" s="17" t="str">
        <f t="shared" ca="1" si="124"/>
        <v/>
      </c>
      <c r="AK449" s="17" t="str">
        <f t="shared" si="125"/>
        <v/>
      </c>
      <c r="AL449" s="17" t="str">
        <f t="shared" ca="1" si="126"/>
        <v/>
      </c>
      <c r="AN449" s="24">
        <f t="shared" si="127"/>
        <v>0</v>
      </c>
      <c r="AO449" s="24">
        <f t="shared" si="128"/>
        <v>0</v>
      </c>
      <c r="AP449" s="24">
        <f t="shared" si="129"/>
        <v>0</v>
      </c>
      <c r="AQ449" s="24">
        <f t="shared" si="130"/>
        <v>0</v>
      </c>
      <c r="AR449" s="24">
        <f t="shared" si="131"/>
        <v>0</v>
      </c>
      <c r="AS449" s="24">
        <f t="shared" si="132"/>
        <v>0</v>
      </c>
    </row>
    <row r="450" spans="1:45" x14ac:dyDescent="0.25">
      <c r="A450" s="83"/>
      <c r="B450" s="83"/>
      <c r="C450" s="83"/>
      <c r="D450" s="15"/>
      <c r="E450" s="15"/>
      <c r="F450" s="83"/>
      <c r="G450" s="83"/>
      <c r="H450" s="16"/>
      <c r="I450" s="83"/>
      <c r="J450" s="83"/>
      <c r="K450" s="16"/>
      <c r="L450" s="15"/>
      <c r="M450" s="20"/>
      <c r="N450" s="15"/>
      <c r="O450" s="20"/>
      <c r="P450" s="15"/>
      <c r="Q450" s="15"/>
      <c r="R450" s="17" t="str">
        <f>IF(Q450="","",VLOOKUP(Q450,'References (2)'!C:D,2,0))</f>
        <v/>
      </c>
      <c r="S450" s="17" t="str">
        <f>IF(Q450="","",VLOOKUP(Q450,'References (2)'!C:F,4,0))</f>
        <v/>
      </c>
      <c r="T450" s="16"/>
      <c r="U450" s="20"/>
      <c r="V450" s="15"/>
      <c r="W450" s="22"/>
      <c r="X450" s="16"/>
      <c r="Y450" s="22"/>
      <c r="Z450" s="25" t="str">
        <f t="shared" si="114"/>
        <v/>
      </c>
      <c r="AA450" s="17" t="str">
        <f t="shared" ca="1" si="115"/>
        <v/>
      </c>
      <c r="AB450" s="17" t="str">
        <f t="shared" ca="1" si="116"/>
        <v/>
      </c>
      <c r="AC450" s="17" t="str">
        <f t="shared" ca="1" si="117"/>
        <v/>
      </c>
      <c r="AD450" s="17" t="str">
        <f t="shared" ca="1" si="118"/>
        <v/>
      </c>
      <c r="AE450" s="17" t="str">
        <f t="shared" si="119"/>
        <v/>
      </c>
      <c r="AF450" s="17" t="str">
        <f t="shared" si="120"/>
        <v/>
      </c>
      <c r="AG450" s="17" t="str">
        <f t="shared" si="121"/>
        <v/>
      </c>
      <c r="AH450" s="17">
        <f t="shared" si="122"/>
        <v>0</v>
      </c>
      <c r="AI450" s="17" t="str">
        <f t="shared" ca="1" si="123"/>
        <v/>
      </c>
      <c r="AJ450" s="17" t="str">
        <f t="shared" ca="1" si="124"/>
        <v/>
      </c>
      <c r="AK450" s="17" t="str">
        <f t="shared" si="125"/>
        <v/>
      </c>
      <c r="AL450" s="17" t="str">
        <f t="shared" ca="1" si="126"/>
        <v/>
      </c>
      <c r="AN450" s="24">
        <f t="shared" si="127"/>
        <v>0</v>
      </c>
      <c r="AO450" s="24">
        <f t="shared" si="128"/>
        <v>0</v>
      </c>
      <c r="AP450" s="24">
        <f t="shared" si="129"/>
        <v>0</v>
      </c>
      <c r="AQ450" s="24">
        <f t="shared" si="130"/>
        <v>0</v>
      </c>
      <c r="AR450" s="24">
        <f t="shared" si="131"/>
        <v>0</v>
      </c>
      <c r="AS450" s="24">
        <f t="shared" si="132"/>
        <v>0</v>
      </c>
    </row>
    <row r="451" spans="1:45" x14ac:dyDescent="0.25">
      <c r="A451" s="83"/>
      <c r="B451" s="83"/>
      <c r="C451" s="83"/>
      <c r="D451" s="15"/>
      <c r="E451" s="15"/>
      <c r="F451" s="83"/>
      <c r="G451" s="83"/>
      <c r="H451" s="16"/>
      <c r="I451" s="83"/>
      <c r="J451" s="83"/>
      <c r="K451" s="16"/>
      <c r="L451" s="15"/>
      <c r="M451" s="20"/>
      <c r="N451" s="15"/>
      <c r="O451" s="20"/>
      <c r="P451" s="15"/>
      <c r="Q451" s="15"/>
      <c r="R451" s="17" t="str">
        <f>IF(Q451="","",VLOOKUP(Q451,'References (2)'!C:D,2,0))</f>
        <v/>
      </c>
      <c r="S451" s="17" t="str">
        <f>IF(Q451="","",VLOOKUP(Q451,'References (2)'!C:F,4,0))</f>
        <v/>
      </c>
      <c r="T451" s="16"/>
      <c r="U451" s="20"/>
      <c r="V451" s="15"/>
      <c r="W451" s="22"/>
      <c r="X451" s="16"/>
      <c r="Y451" s="22"/>
      <c r="Z451" s="25" t="str">
        <f t="shared" ref="Z451:Z496" si="133">IF(B451="","",IF(AN451=1,$AN$2,IF(AO451=1,$AO$2,IF(AP451=1,$AP$2,IF(AQ451=1,$AQ$2,IF(AR451=1,$AR$2,IF(AS451=1,$AS$2,"INCORRECT DATA INPUT")))))))</f>
        <v/>
      </c>
      <c r="AA451" s="17" t="str">
        <f t="shared" ref="AA451:AA496" ca="1" si="134">IF(I451="","",IF(M451="",TODAY()-I451,M451-I451))</f>
        <v/>
      </c>
      <c r="AB451" s="17" t="str">
        <f t="shared" ref="AB451:AB496" ca="1" si="135">IF(AA451="","",IF(AA451&lt;=0,0,AA451-1))</f>
        <v/>
      </c>
      <c r="AC451" s="17" t="str">
        <f t="shared" ref="AC451:AC496" ca="1" si="136">IF(AA451="","",IF(AA451&gt;1,"EXCEEDED SLA","WITHIN SLA"))</f>
        <v/>
      </c>
      <c r="AD451" s="17" t="str">
        <f t="shared" ref="AD451:AD496" ca="1" si="137">IF(M451="","",IF(W451="",TODAY()-M451,W451-M451))</f>
        <v/>
      </c>
      <c r="AE451" s="17" t="str">
        <f t="shared" ref="AE451:AE496" si="138">IF(M451="","",IF(S451="WFM",AD451,AD451-1))</f>
        <v/>
      </c>
      <c r="AF451" s="17" t="str">
        <f t="shared" ref="AF451:AF496" si="139">IF(AE451&lt;0,0,AE451)</f>
        <v/>
      </c>
      <c r="AG451" s="17" t="str">
        <f t="shared" ref="AG451:AG496" si="140">IF(M451="","",IF(S451="WFM","WFM SLA",IF(AE451&gt;0,"EXCEEDED SLA","WITHIN SLA")))</f>
        <v/>
      </c>
      <c r="AH451" s="17">
        <f t="shared" ref="AH451:AH496" si="141">Y451-W451</f>
        <v>0</v>
      </c>
      <c r="AI451" s="17" t="str">
        <f t="shared" ref="AI451:AI496" ca="1" si="142">IF(W451="","",IF(Y451="",TODAY()-W451-R451,Y451-W451-R451))</f>
        <v/>
      </c>
      <c r="AJ451" s="17" t="str">
        <f t="shared" ref="AJ451:AJ496" ca="1" si="143">IF(AI451&lt;=0,0,AI451)</f>
        <v/>
      </c>
      <c r="AK451" s="17" t="str">
        <f t="shared" ref="AK451:AK496" si="144">IF(W451="","",IF(AJ451&lt;1,"WITHIN SLA","EXCEEDED SLA"))</f>
        <v/>
      </c>
      <c r="AL451" s="17" t="str">
        <f t="shared" ref="AL451:AL496" ca="1" si="145">IF(B451="","",IF(K451="DONE",Y451-I451,TODAY()-I451))</f>
        <v/>
      </c>
      <c r="AN451" s="24">
        <f t="shared" ref="AN451:AN496" si="146">IF(AND(K451="DONE",Y451&gt;0,AK451="WITHIN SLA"),1,0)</f>
        <v>0</v>
      </c>
      <c r="AO451" s="24">
        <f t="shared" ref="AO451:AO496" si="147">IF(AND(K451="DONE",Y451&gt;0,AK451="EXCEEDED SLA"),1,0)</f>
        <v>0</v>
      </c>
      <c r="AP451" s="24">
        <f t="shared" ref="AP451:AP496" si="148">IF(AND(K451="PENDING",L451="AWAITING FROM CSMP"),1,0)</f>
        <v>0</v>
      </c>
      <c r="AQ451" s="24">
        <f t="shared" ref="AQ451:AQ496" si="149">IF(AND(K451="PENDING",L451="WATO ON-HAND",M451&gt;0,S451="WATO",W451=0),1,0)</f>
        <v>0</v>
      </c>
      <c r="AR451" s="24">
        <f t="shared" ref="AR451:AR496" si="150">IF(AND(K451="PENDING",L451="SUBMITTED TO WFM",M451&gt;0,S451="WFM",W451=0),1,0)</f>
        <v>0</v>
      </c>
      <c r="AS451" s="24">
        <f t="shared" ref="AS451:AS496" si="151">IF(AND(K451="PENDING",W451&gt;0),1,0)</f>
        <v>0</v>
      </c>
    </row>
    <row r="452" spans="1:45" x14ac:dyDescent="0.25">
      <c r="A452" s="83"/>
      <c r="B452" s="83"/>
      <c r="C452" s="83"/>
      <c r="D452" s="15"/>
      <c r="E452" s="15"/>
      <c r="F452" s="83"/>
      <c r="G452" s="83"/>
      <c r="H452" s="16"/>
      <c r="I452" s="83"/>
      <c r="J452" s="83"/>
      <c r="K452" s="16"/>
      <c r="L452" s="15"/>
      <c r="M452" s="20"/>
      <c r="N452" s="15"/>
      <c r="O452" s="20"/>
      <c r="P452" s="15"/>
      <c r="Q452" s="15"/>
      <c r="R452" s="17" t="str">
        <f>IF(Q452="","",VLOOKUP(Q452,'References (2)'!C:D,2,0))</f>
        <v/>
      </c>
      <c r="S452" s="17" t="str">
        <f>IF(Q452="","",VLOOKUP(Q452,'References (2)'!C:F,4,0))</f>
        <v/>
      </c>
      <c r="T452" s="16"/>
      <c r="U452" s="20"/>
      <c r="V452" s="15"/>
      <c r="W452" s="22"/>
      <c r="X452" s="16"/>
      <c r="Y452" s="22"/>
      <c r="Z452" s="25" t="str">
        <f t="shared" si="133"/>
        <v/>
      </c>
      <c r="AA452" s="17" t="str">
        <f t="shared" ca="1" si="134"/>
        <v/>
      </c>
      <c r="AB452" s="17" t="str">
        <f t="shared" ca="1" si="135"/>
        <v/>
      </c>
      <c r="AC452" s="17" t="str">
        <f t="shared" ca="1" si="136"/>
        <v/>
      </c>
      <c r="AD452" s="17" t="str">
        <f t="shared" ca="1" si="137"/>
        <v/>
      </c>
      <c r="AE452" s="17" t="str">
        <f t="shared" si="138"/>
        <v/>
      </c>
      <c r="AF452" s="17" t="str">
        <f t="shared" si="139"/>
        <v/>
      </c>
      <c r="AG452" s="17" t="str">
        <f t="shared" si="140"/>
        <v/>
      </c>
      <c r="AH452" s="17">
        <f t="shared" si="141"/>
        <v>0</v>
      </c>
      <c r="AI452" s="17" t="str">
        <f t="shared" ca="1" si="142"/>
        <v/>
      </c>
      <c r="AJ452" s="17" t="str">
        <f t="shared" ca="1" si="143"/>
        <v/>
      </c>
      <c r="AK452" s="17" t="str">
        <f t="shared" si="144"/>
        <v/>
      </c>
      <c r="AL452" s="17" t="str">
        <f t="shared" ca="1" si="145"/>
        <v/>
      </c>
      <c r="AN452" s="24">
        <f t="shared" si="146"/>
        <v>0</v>
      </c>
      <c r="AO452" s="24">
        <f t="shared" si="147"/>
        <v>0</v>
      </c>
      <c r="AP452" s="24">
        <f t="shared" si="148"/>
        <v>0</v>
      </c>
      <c r="AQ452" s="24">
        <f t="shared" si="149"/>
        <v>0</v>
      </c>
      <c r="AR452" s="24">
        <f t="shared" si="150"/>
        <v>0</v>
      </c>
      <c r="AS452" s="24">
        <f t="shared" si="151"/>
        <v>0</v>
      </c>
    </row>
    <row r="453" spans="1:45" x14ac:dyDescent="0.25">
      <c r="A453" s="83"/>
      <c r="B453" s="83"/>
      <c r="C453" s="83"/>
      <c r="D453" s="15"/>
      <c r="E453" s="15"/>
      <c r="F453" s="83"/>
      <c r="G453" s="83"/>
      <c r="H453" s="16"/>
      <c r="I453" s="83"/>
      <c r="J453" s="83"/>
      <c r="K453" s="16"/>
      <c r="L453" s="15"/>
      <c r="M453" s="20"/>
      <c r="N453" s="15"/>
      <c r="O453" s="20"/>
      <c r="P453" s="15"/>
      <c r="Q453" s="15"/>
      <c r="R453" s="17" t="str">
        <f>IF(Q453="","",VLOOKUP(Q453,'References (2)'!C:D,2,0))</f>
        <v/>
      </c>
      <c r="S453" s="17" t="str">
        <f>IF(Q453="","",VLOOKUP(Q453,'References (2)'!C:F,4,0))</f>
        <v/>
      </c>
      <c r="T453" s="16"/>
      <c r="U453" s="20"/>
      <c r="V453" s="15"/>
      <c r="W453" s="22"/>
      <c r="X453" s="16"/>
      <c r="Y453" s="22"/>
      <c r="Z453" s="25" t="str">
        <f t="shared" si="133"/>
        <v/>
      </c>
      <c r="AA453" s="17" t="str">
        <f t="shared" ca="1" si="134"/>
        <v/>
      </c>
      <c r="AB453" s="17" t="str">
        <f t="shared" ca="1" si="135"/>
        <v/>
      </c>
      <c r="AC453" s="17" t="str">
        <f t="shared" ca="1" si="136"/>
        <v/>
      </c>
      <c r="AD453" s="17" t="str">
        <f t="shared" ca="1" si="137"/>
        <v/>
      </c>
      <c r="AE453" s="17" t="str">
        <f t="shared" si="138"/>
        <v/>
      </c>
      <c r="AF453" s="17" t="str">
        <f t="shared" si="139"/>
        <v/>
      </c>
      <c r="AG453" s="17" t="str">
        <f t="shared" si="140"/>
        <v/>
      </c>
      <c r="AH453" s="17">
        <f t="shared" si="141"/>
        <v>0</v>
      </c>
      <c r="AI453" s="17" t="str">
        <f t="shared" ca="1" si="142"/>
        <v/>
      </c>
      <c r="AJ453" s="17" t="str">
        <f t="shared" ca="1" si="143"/>
        <v/>
      </c>
      <c r="AK453" s="17" t="str">
        <f t="shared" si="144"/>
        <v/>
      </c>
      <c r="AL453" s="17" t="str">
        <f t="shared" ca="1" si="145"/>
        <v/>
      </c>
      <c r="AN453" s="24">
        <f t="shared" si="146"/>
        <v>0</v>
      </c>
      <c r="AO453" s="24">
        <f t="shared" si="147"/>
        <v>0</v>
      </c>
      <c r="AP453" s="24">
        <f t="shared" si="148"/>
        <v>0</v>
      </c>
      <c r="AQ453" s="24">
        <f t="shared" si="149"/>
        <v>0</v>
      </c>
      <c r="AR453" s="24">
        <f t="shared" si="150"/>
        <v>0</v>
      </c>
      <c r="AS453" s="24">
        <f t="shared" si="151"/>
        <v>0</v>
      </c>
    </row>
    <row r="454" spans="1:45" x14ac:dyDescent="0.25">
      <c r="A454" s="83"/>
      <c r="B454" s="83"/>
      <c r="C454" s="83"/>
      <c r="D454" s="15"/>
      <c r="E454" s="15"/>
      <c r="F454" s="83"/>
      <c r="G454" s="83"/>
      <c r="H454" s="16"/>
      <c r="I454" s="83"/>
      <c r="J454" s="83"/>
      <c r="K454" s="16"/>
      <c r="L454" s="15"/>
      <c r="M454" s="20"/>
      <c r="N454" s="15"/>
      <c r="O454" s="20"/>
      <c r="P454" s="15"/>
      <c r="Q454" s="15"/>
      <c r="R454" s="17" t="str">
        <f>IF(Q454="","",VLOOKUP(Q454,'References (2)'!C:D,2,0))</f>
        <v/>
      </c>
      <c r="S454" s="17" t="str">
        <f>IF(Q454="","",VLOOKUP(Q454,'References (2)'!C:F,4,0))</f>
        <v/>
      </c>
      <c r="T454" s="16"/>
      <c r="U454" s="20"/>
      <c r="V454" s="15"/>
      <c r="W454" s="22"/>
      <c r="X454" s="16"/>
      <c r="Y454" s="22"/>
      <c r="Z454" s="25" t="str">
        <f t="shared" si="133"/>
        <v/>
      </c>
      <c r="AA454" s="17" t="str">
        <f t="shared" ca="1" si="134"/>
        <v/>
      </c>
      <c r="AB454" s="17" t="str">
        <f t="shared" ca="1" si="135"/>
        <v/>
      </c>
      <c r="AC454" s="17" t="str">
        <f t="shared" ca="1" si="136"/>
        <v/>
      </c>
      <c r="AD454" s="17" t="str">
        <f t="shared" ca="1" si="137"/>
        <v/>
      </c>
      <c r="AE454" s="17" t="str">
        <f t="shared" si="138"/>
        <v/>
      </c>
      <c r="AF454" s="17" t="str">
        <f t="shared" si="139"/>
        <v/>
      </c>
      <c r="AG454" s="17" t="str">
        <f t="shared" si="140"/>
        <v/>
      </c>
      <c r="AH454" s="17">
        <f t="shared" si="141"/>
        <v>0</v>
      </c>
      <c r="AI454" s="17" t="str">
        <f t="shared" ca="1" si="142"/>
        <v/>
      </c>
      <c r="AJ454" s="17" t="str">
        <f t="shared" ca="1" si="143"/>
        <v/>
      </c>
      <c r="AK454" s="17" t="str">
        <f t="shared" si="144"/>
        <v/>
      </c>
      <c r="AL454" s="17" t="str">
        <f t="shared" ca="1" si="145"/>
        <v/>
      </c>
      <c r="AN454" s="24">
        <f t="shared" si="146"/>
        <v>0</v>
      </c>
      <c r="AO454" s="24">
        <f t="shared" si="147"/>
        <v>0</v>
      </c>
      <c r="AP454" s="24">
        <f t="shared" si="148"/>
        <v>0</v>
      </c>
      <c r="AQ454" s="24">
        <f t="shared" si="149"/>
        <v>0</v>
      </c>
      <c r="AR454" s="24">
        <f t="shared" si="150"/>
        <v>0</v>
      </c>
      <c r="AS454" s="24">
        <f t="shared" si="151"/>
        <v>0</v>
      </c>
    </row>
    <row r="455" spans="1:45" x14ac:dyDescent="0.25">
      <c r="A455" s="83"/>
      <c r="B455" s="83"/>
      <c r="C455" s="83"/>
      <c r="D455" s="15"/>
      <c r="E455" s="15"/>
      <c r="F455" s="83"/>
      <c r="G455" s="83"/>
      <c r="H455" s="16"/>
      <c r="I455" s="83"/>
      <c r="J455" s="83"/>
      <c r="K455" s="16"/>
      <c r="L455" s="15"/>
      <c r="M455" s="20"/>
      <c r="N455" s="15"/>
      <c r="O455" s="20"/>
      <c r="P455" s="15"/>
      <c r="Q455" s="15"/>
      <c r="R455" s="17" t="str">
        <f>IF(Q455="","",VLOOKUP(Q455,'References (2)'!C:D,2,0))</f>
        <v/>
      </c>
      <c r="S455" s="17" t="str">
        <f>IF(Q455="","",VLOOKUP(Q455,'References (2)'!C:F,4,0))</f>
        <v/>
      </c>
      <c r="T455" s="16"/>
      <c r="U455" s="20"/>
      <c r="V455" s="15"/>
      <c r="W455" s="22"/>
      <c r="X455" s="16"/>
      <c r="Y455" s="22"/>
      <c r="Z455" s="25" t="str">
        <f t="shared" si="133"/>
        <v/>
      </c>
      <c r="AA455" s="17" t="str">
        <f t="shared" ca="1" si="134"/>
        <v/>
      </c>
      <c r="AB455" s="17" t="str">
        <f t="shared" ca="1" si="135"/>
        <v/>
      </c>
      <c r="AC455" s="17" t="str">
        <f t="shared" ca="1" si="136"/>
        <v/>
      </c>
      <c r="AD455" s="17" t="str">
        <f t="shared" ca="1" si="137"/>
        <v/>
      </c>
      <c r="AE455" s="17" t="str">
        <f t="shared" si="138"/>
        <v/>
      </c>
      <c r="AF455" s="17" t="str">
        <f t="shared" si="139"/>
        <v/>
      </c>
      <c r="AG455" s="17" t="str">
        <f t="shared" si="140"/>
        <v/>
      </c>
      <c r="AH455" s="17">
        <f t="shared" si="141"/>
        <v>0</v>
      </c>
      <c r="AI455" s="17" t="str">
        <f t="shared" ca="1" si="142"/>
        <v/>
      </c>
      <c r="AJ455" s="17" t="str">
        <f t="shared" ca="1" si="143"/>
        <v/>
      </c>
      <c r="AK455" s="17" t="str">
        <f t="shared" si="144"/>
        <v/>
      </c>
      <c r="AL455" s="17" t="str">
        <f t="shared" ca="1" si="145"/>
        <v/>
      </c>
      <c r="AN455" s="24">
        <f t="shared" si="146"/>
        <v>0</v>
      </c>
      <c r="AO455" s="24">
        <f t="shared" si="147"/>
        <v>0</v>
      </c>
      <c r="AP455" s="24">
        <f t="shared" si="148"/>
        <v>0</v>
      </c>
      <c r="AQ455" s="24">
        <f t="shared" si="149"/>
        <v>0</v>
      </c>
      <c r="AR455" s="24">
        <f t="shared" si="150"/>
        <v>0</v>
      </c>
      <c r="AS455" s="24">
        <f t="shared" si="151"/>
        <v>0</v>
      </c>
    </row>
    <row r="456" spans="1:45" x14ac:dyDescent="0.25">
      <c r="A456" s="83"/>
      <c r="B456" s="83"/>
      <c r="C456" s="83"/>
      <c r="D456" s="15"/>
      <c r="E456" s="15"/>
      <c r="F456" s="83"/>
      <c r="G456" s="83"/>
      <c r="H456" s="16"/>
      <c r="I456" s="83"/>
      <c r="J456" s="83"/>
      <c r="K456" s="16"/>
      <c r="L456" s="15"/>
      <c r="M456" s="20"/>
      <c r="N456" s="15"/>
      <c r="O456" s="20"/>
      <c r="P456" s="15"/>
      <c r="Q456" s="15"/>
      <c r="R456" s="17" t="str">
        <f>IF(Q456="","",VLOOKUP(Q456,'References (2)'!C:D,2,0))</f>
        <v/>
      </c>
      <c r="S456" s="17" t="str">
        <f>IF(Q456="","",VLOOKUP(Q456,'References (2)'!C:F,4,0))</f>
        <v/>
      </c>
      <c r="T456" s="16"/>
      <c r="U456" s="20"/>
      <c r="V456" s="15"/>
      <c r="W456" s="22"/>
      <c r="X456" s="16"/>
      <c r="Y456" s="22"/>
      <c r="Z456" s="25" t="str">
        <f t="shared" si="133"/>
        <v/>
      </c>
      <c r="AA456" s="17" t="str">
        <f t="shared" ca="1" si="134"/>
        <v/>
      </c>
      <c r="AB456" s="17" t="str">
        <f t="shared" ca="1" si="135"/>
        <v/>
      </c>
      <c r="AC456" s="17" t="str">
        <f t="shared" ca="1" si="136"/>
        <v/>
      </c>
      <c r="AD456" s="17" t="str">
        <f t="shared" ca="1" si="137"/>
        <v/>
      </c>
      <c r="AE456" s="17" t="str">
        <f t="shared" si="138"/>
        <v/>
      </c>
      <c r="AF456" s="17" t="str">
        <f t="shared" si="139"/>
        <v/>
      </c>
      <c r="AG456" s="17" t="str">
        <f t="shared" si="140"/>
        <v/>
      </c>
      <c r="AH456" s="17">
        <f t="shared" si="141"/>
        <v>0</v>
      </c>
      <c r="AI456" s="17" t="str">
        <f t="shared" ca="1" si="142"/>
        <v/>
      </c>
      <c r="AJ456" s="17" t="str">
        <f t="shared" ca="1" si="143"/>
        <v/>
      </c>
      <c r="AK456" s="17" t="str">
        <f t="shared" si="144"/>
        <v/>
      </c>
      <c r="AL456" s="17" t="str">
        <f t="shared" ca="1" si="145"/>
        <v/>
      </c>
      <c r="AN456" s="24">
        <f t="shared" si="146"/>
        <v>0</v>
      </c>
      <c r="AO456" s="24">
        <f t="shared" si="147"/>
        <v>0</v>
      </c>
      <c r="AP456" s="24">
        <f t="shared" si="148"/>
        <v>0</v>
      </c>
      <c r="AQ456" s="24">
        <f t="shared" si="149"/>
        <v>0</v>
      </c>
      <c r="AR456" s="24">
        <f t="shared" si="150"/>
        <v>0</v>
      </c>
      <c r="AS456" s="24">
        <f t="shared" si="151"/>
        <v>0</v>
      </c>
    </row>
    <row r="457" spans="1:45" x14ac:dyDescent="0.25">
      <c r="A457" s="83"/>
      <c r="B457" s="83"/>
      <c r="C457" s="83"/>
      <c r="D457" s="15"/>
      <c r="E457" s="15"/>
      <c r="F457" s="83"/>
      <c r="G457" s="83"/>
      <c r="H457" s="16"/>
      <c r="I457" s="83"/>
      <c r="J457" s="83"/>
      <c r="K457" s="16"/>
      <c r="L457" s="15"/>
      <c r="M457" s="20"/>
      <c r="N457" s="15"/>
      <c r="O457" s="20"/>
      <c r="P457" s="15"/>
      <c r="Q457" s="15"/>
      <c r="R457" s="17" t="str">
        <f>IF(Q457="","",VLOOKUP(Q457,'References (2)'!C:D,2,0))</f>
        <v/>
      </c>
      <c r="S457" s="17" t="str">
        <f>IF(Q457="","",VLOOKUP(Q457,'References (2)'!C:F,4,0))</f>
        <v/>
      </c>
      <c r="T457" s="16"/>
      <c r="U457" s="20"/>
      <c r="V457" s="15"/>
      <c r="W457" s="22"/>
      <c r="X457" s="16"/>
      <c r="Y457" s="22"/>
      <c r="Z457" s="25" t="str">
        <f t="shared" si="133"/>
        <v/>
      </c>
      <c r="AA457" s="17" t="str">
        <f t="shared" ca="1" si="134"/>
        <v/>
      </c>
      <c r="AB457" s="17" t="str">
        <f t="shared" ca="1" si="135"/>
        <v/>
      </c>
      <c r="AC457" s="17" t="str">
        <f t="shared" ca="1" si="136"/>
        <v/>
      </c>
      <c r="AD457" s="17" t="str">
        <f t="shared" ca="1" si="137"/>
        <v/>
      </c>
      <c r="AE457" s="17" t="str">
        <f t="shared" si="138"/>
        <v/>
      </c>
      <c r="AF457" s="17" t="str">
        <f t="shared" si="139"/>
        <v/>
      </c>
      <c r="AG457" s="17" t="str">
        <f t="shared" si="140"/>
        <v/>
      </c>
      <c r="AH457" s="17">
        <f t="shared" si="141"/>
        <v>0</v>
      </c>
      <c r="AI457" s="17" t="str">
        <f t="shared" ca="1" si="142"/>
        <v/>
      </c>
      <c r="AJ457" s="17" t="str">
        <f t="shared" ca="1" si="143"/>
        <v/>
      </c>
      <c r="AK457" s="17" t="str">
        <f t="shared" si="144"/>
        <v/>
      </c>
      <c r="AL457" s="17" t="str">
        <f t="shared" ca="1" si="145"/>
        <v/>
      </c>
      <c r="AN457" s="24">
        <f t="shared" si="146"/>
        <v>0</v>
      </c>
      <c r="AO457" s="24">
        <f t="shared" si="147"/>
        <v>0</v>
      </c>
      <c r="AP457" s="24">
        <f t="shared" si="148"/>
        <v>0</v>
      </c>
      <c r="AQ457" s="24">
        <f t="shared" si="149"/>
        <v>0</v>
      </c>
      <c r="AR457" s="24">
        <f t="shared" si="150"/>
        <v>0</v>
      </c>
      <c r="AS457" s="24">
        <f t="shared" si="151"/>
        <v>0</v>
      </c>
    </row>
    <row r="458" spans="1:45" x14ac:dyDescent="0.25">
      <c r="A458" s="83"/>
      <c r="B458" s="83"/>
      <c r="C458" s="83"/>
      <c r="D458" s="15"/>
      <c r="E458" s="15"/>
      <c r="F458" s="83"/>
      <c r="G458" s="83"/>
      <c r="H458" s="16"/>
      <c r="I458" s="83"/>
      <c r="J458" s="83"/>
      <c r="K458" s="16"/>
      <c r="L458" s="15"/>
      <c r="M458" s="20"/>
      <c r="N458" s="15"/>
      <c r="O458" s="20"/>
      <c r="P458" s="15"/>
      <c r="Q458" s="15"/>
      <c r="R458" s="17" t="str">
        <f>IF(Q458="","",VLOOKUP(Q458,'References (2)'!C:D,2,0))</f>
        <v/>
      </c>
      <c r="S458" s="17" t="str">
        <f>IF(Q458="","",VLOOKUP(Q458,'References (2)'!C:F,4,0))</f>
        <v/>
      </c>
      <c r="T458" s="16"/>
      <c r="U458" s="20"/>
      <c r="V458" s="15"/>
      <c r="W458" s="22"/>
      <c r="X458" s="16"/>
      <c r="Y458" s="22"/>
      <c r="Z458" s="25" t="str">
        <f t="shared" si="133"/>
        <v/>
      </c>
      <c r="AA458" s="17" t="str">
        <f t="shared" ca="1" si="134"/>
        <v/>
      </c>
      <c r="AB458" s="17" t="str">
        <f t="shared" ca="1" si="135"/>
        <v/>
      </c>
      <c r="AC458" s="17" t="str">
        <f t="shared" ca="1" si="136"/>
        <v/>
      </c>
      <c r="AD458" s="17" t="str">
        <f t="shared" ca="1" si="137"/>
        <v/>
      </c>
      <c r="AE458" s="17" t="str">
        <f t="shared" si="138"/>
        <v/>
      </c>
      <c r="AF458" s="17" t="str">
        <f t="shared" si="139"/>
        <v/>
      </c>
      <c r="AG458" s="17" t="str">
        <f t="shared" si="140"/>
        <v/>
      </c>
      <c r="AH458" s="17">
        <f t="shared" si="141"/>
        <v>0</v>
      </c>
      <c r="AI458" s="17" t="str">
        <f t="shared" ca="1" si="142"/>
        <v/>
      </c>
      <c r="AJ458" s="17" t="str">
        <f t="shared" ca="1" si="143"/>
        <v/>
      </c>
      <c r="AK458" s="17" t="str">
        <f t="shared" si="144"/>
        <v/>
      </c>
      <c r="AL458" s="17" t="str">
        <f t="shared" ca="1" si="145"/>
        <v/>
      </c>
      <c r="AN458" s="24">
        <f t="shared" si="146"/>
        <v>0</v>
      </c>
      <c r="AO458" s="24">
        <f t="shared" si="147"/>
        <v>0</v>
      </c>
      <c r="AP458" s="24">
        <f t="shared" si="148"/>
        <v>0</v>
      </c>
      <c r="AQ458" s="24">
        <f t="shared" si="149"/>
        <v>0</v>
      </c>
      <c r="AR458" s="24">
        <f t="shared" si="150"/>
        <v>0</v>
      </c>
      <c r="AS458" s="24">
        <f t="shared" si="151"/>
        <v>0</v>
      </c>
    </row>
    <row r="459" spans="1:45" x14ac:dyDescent="0.25">
      <c r="A459" s="83"/>
      <c r="B459" s="83"/>
      <c r="C459" s="83"/>
      <c r="D459" s="15"/>
      <c r="E459" s="15"/>
      <c r="F459" s="83"/>
      <c r="G459" s="83"/>
      <c r="H459" s="16"/>
      <c r="I459" s="83"/>
      <c r="J459" s="83"/>
      <c r="K459" s="16"/>
      <c r="L459" s="15"/>
      <c r="M459" s="20"/>
      <c r="N459" s="15"/>
      <c r="O459" s="20"/>
      <c r="P459" s="15"/>
      <c r="Q459" s="15"/>
      <c r="R459" s="17" t="str">
        <f>IF(Q459="","",VLOOKUP(Q459,'References (2)'!C:D,2,0))</f>
        <v/>
      </c>
      <c r="S459" s="17" t="str">
        <f>IF(Q459="","",VLOOKUP(Q459,'References (2)'!C:F,4,0))</f>
        <v/>
      </c>
      <c r="T459" s="16"/>
      <c r="U459" s="20"/>
      <c r="V459" s="15"/>
      <c r="W459" s="22"/>
      <c r="X459" s="16"/>
      <c r="Y459" s="22"/>
      <c r="Z459" s="25" t="str">
        <f t="shared" si="133"/>
        <v/>
      </c>
      <c r="AA459" s="17" t="str">
        <f t="shared" ca="1" si="134"/>
        <v/>
      </c>
      <c r="AB459" s="17" t="str">
        <f t="shared" ca="1" si="135"/>
        <v/>
      </c>
      <c r="AC459" s="17" t="str">
        <f t="shared" ca="1" si="136"/>
        <v/>
      </c>
      <c r="AD459" s="17" t="str">
        <f t="shared" ca="1" si="137"/>
        <v/>
      </c>
      <c r="AE459" s="17" t="str">
        <f t="shared" si="138"/>
        <v/>
      </c>
      <c r="AF459" s="17" t="str">
        <f t="shared" si="139"/>
        <v/>
      </c>
      <c r="AG459" s="17" t="str">
        <f t="shared" si="140"/>
        <v/>
      </c>
      <c r="AH459" s="17">
        <f t="shared" si="141"/>
        <v>0</v>
      </c>
      <c r="AI459" s="17" t="str">
        <f t="shared" ca="1" si="142"/>
        <v/>
      </c>
      <c r="AJ459" s="17" t="str">
        <f t="shared" ca="1" si="143"/>
        <v/>
      </c>
      <c r="AK459" s="17" t="str">
        <f t="shared" si="144"/>
        <v/>
      </c>
      <c r="AL459" s="17" t="str">
        <f t="shared" ca="1" si="145"/>
        <v/>
      </c>
      <c r="AN459" s="24">
        <f t="shared" si="146"/>
        <v>0</v>
      </c>
      <c r="AO459" s="24">
        <f t="shared" si="147"/>
        <v>0</v>
      </c>
      <c r="AP459" s="24">
        <f t="shared" si="148"/>
        <v>0</v>
      </c>
      <c r="AQ459" s="24">
        <f t="shared" si="149"/>
        <v>0</v>
      </c>
      <c r="AR459" s="24">
        <f t="shared" si="150"/>
        <v>0</v>
      </c>
      <c r="AS459" s="24">
        <f t="shared" si="151"/>
        <v>0</v>
      </c>
    </row>
    <row r="460" spans="1:45" x14ac:dyDescent="0.25">
      <c r="A460" s="83"/>
      <c r="B460" s="83"/>
      <c r="C460" s="83"/>
      <c r="D460" s="15"/>
      <c r="E460" s="15"/>
      <c r="F460" s="83"/>
      <c r="G460" s="83"/>
      <c r="H460" s="16"/>
      <c r="I460" s="83"/>
      <c r="J460" s="83"/>
      <c r="K460" s="16"/>
      <c r="L460" s="15"/>
      <c r="M460" s="20"/>
      <c r="N460" s="15"/>
      <c r="O460" s="20"/>
      <c r="P460" s="15"/>
      <c r="Q460" s="15"/>
      <c r="R460" s="17" t="str">
        <f>IF(Q460="","",VLOOKUP(Q460,'References (2)'!C:D,2,0))</f>
        <v/>
      </c>
      <c r="S460" s="17" t="str">
        <f>IF(Q460="","",VLOOKUP(Q460,'References (2)'!C:F,4,0))</f>
        <v/>
      </c>
      <c r="T460" s="16"/>
      <c r="U460" s="20"/>
      <c r="V460" s="15"/>
      <c r="W460" s="22"/>
      <c r="X460" s="16"/>
      <c r="Y460" s="22"/>
      <c r="Z460" s="25" t="str">
        <f t="shared" si="133"/>
        <v/>
      </c>
      <c r="AA460" s="17" t="str">
        <f t="shared" ca="1" si="134"/>
        <v/>
      </c>
      <c r="AB460" s="17" t="str">
        <f t="shared" ca="1" si="135"/>
        <v/>
      </c>
      <c r="AC460" s="17" t="str">
        <f t="shared" ca="1" si="136"/>
        <v/>
      </c>
      <c r="AD460" s="17" t="str">
        <f t="shared" ca="1" si="137"/>
        <v/>
      </c>
      <c r="AE460" s="17" t="str">
        <f t="shared" si="138"/>
        <v/>
      </c>
      <c r="AF460" s="17" t="str">
        <f t="shared" si="139"/>
        <v/>
      </c>
      <c r="AG460" s="17" t="str">
        <f t="shared" si="140"/>
        <v/>
      </c>
      <c r="AH460" s="17">
        <f t="shared" si="141"/>
        <v>0</v>
      </c>
      <c r="AI460" s="17" t="str">
        <f t="shared" ca="1" si="142"/>
        <v/>
      </c>
      <c r="AJ460" s="17" t="str">
        <f t="shared" ca="1" si="143"/>
        <v/>
      </c>
      <c r="AK460" s="17" t="str">
        <f t="shared" si="144"/>
        <v/>
      </c>
      <c r="AL460" s="17" t="str">
        <f t="shared" ca="1" si="145"/>
        <v/>
      </c>
      <c r="AN460" s="24">
        <f t="shared" si="146"/>
        <v>0</v>
      </c>
      <c r="AO460" s="24">
        <f t="shared" si="147"/>
        <v>0</v>
      </c>
      <c r="AP460" s="24">
        <f t="shared" si="148"/>
        <v>0</v>
      </c>
      <c r="AQ460" s="24">
        <f t="shared" si="149"/>
        <v>0</v>
      </c>
      <c r="AR460" s="24">
        <f t="shared" si="150"/>
        <v>0</v>
      </c>
      <c r="AS460" s="24">
        <f t="shared" si="151"/>
        <v>0</v>
      </c>
    </row>
    <row r="461" spans="1:45" x14ac:dyDescent="0.25">
      <c r="A461" s="83"/>
      <c r="B461" s="83"/>
      <c r="C461" s="83"/>
      <c r="D461" s="15"/>
      <c r="E461" s="15"/>
      <c r="F461" s="83"/>
      <c r="G461" s="83"/>
      <c r="H461" s="16"/>
      <c r="I461" s="83"/>
      <c r="J461" s="83"/>
      <c r="K461" s="16"/>
      <c r="L461" s="15"/>
      <c r="M461" s="20"/>
      <c r="N461" s="15"/>
      <c r="O461" s="20"/>
      <c r="P461" s="15"/>
      <c r="Q461" s="15"/>
      <c r="R461" s="17" t="str">
        <f>IF(Q461="","",VLOOKUP(Q461,'References (2)'!C:D,2,0))</f>
        <v/>
      </c>
      <c r="S461" s="17" t="str">
        <f>IF(Q461="","",VLOOKUP(Q461,'References (2)'!C:F,4,0))</f>
        <v/>
      </c>
      <c r="T461" s="16"/>
      <c r="U461" s="20"/>
      <c r="V461" s="15"/>
      <c r="W461" s="22"/>
      <c r="X461" s="16"/>
      <c r="Y461" s="22"/>
      <c r="Z461" s="25" t="str">
        <f t="shared" si="133"/>
        <v/>
      </c>
      <c r="AA461" s="17" t="str">
        <f t="shared" ca="1" si="134"/>
        <v/>
      </c>
      <c r="AB461" s="17" t="str">
        <f t="shared" ca="1" si="135"/>
        <v/>
      </c>
      <c r="AC461" s="17" t="str">
        <f t="shared" ca="1" si="136"/>
        <v/>
      </c>
      <c r="AD461" s="17" t="str">
        <f t="shared" ca="1" si="137"/>
        <v/>
      </c>
      <c r="AE461" s="17" t="str">
        <f t="shared" si="138"/>
        <v/>
      </c>
      <c r="AF461" s="17" t="str">
        <f t="shared" si="139"/>
        <v/>
      </c>
      <c r="AG461" s="17" t="str">
        <f t="shared" si="140"/>
        <v/>
      </c>
      <c r="AH461" s="17">
        <f t="shared" si="141"/>
        <v>0</v>
      </c>
      <c r="AI461" s="17" t="str">
        <f t="shared" ca="1" si="142"/>
        <v/>
      </c>
      <c r="AJ461" s="17" t="str">
        <f t="shared" ca="1" si="143"/>
        <v/>
      </c>
      <c r="AK461" s="17" t="str">
        <f t="shared" si="144"/>
        <v/>
      </c>
      <c r="AL461" s="17" t="str">
        <f t="shared" ca="1" si="145"/>
        <v/>
      </c>
      <c r="AN461" s="24">
        <f t="shared" si="146"/>
        <v>0</v>
      </c>
      <c r="AO461" s="24">
        <f t="shared" si="147"/>
        <v>0</v>
      </c>
      <c r="AP461" s="24">
        <f t="shared" si="148"/>
        <v>0</v>
      </c>
      <c r="AQ461" s="24">
        <f t="shared" si="149"/>
        <v>0</v>
      </c>
      <c r="AR461" s="24">
        <f t="shared" si="150"/>
        <v>0</v>
      </c>
      <c r="AS461" s="24">
        <f t="shared" si="151"/>
        <v>0</v>
      </c>
    </row>
    <row r="462" spans="1:45" x14ac:dyDescent="0.25">
      <c r="A462" s="83"/>
      <c r="B462" s="83"/>
      <c r="C462" s="83"/>
      <c r="D462" s="15"/>
      <c r="E462" s="15"/>
      <c r="F462" s="83"/>
      <c r="G462" s="83"/>
      <c r="H462" s="16"/>
      <c r="I462" s="83"/>
      <c r="J462" s="83"/>
      <c r="K462" s="16"/>
      <c r="L462" s="15"/>
      <c r="M462" s="20"/>
      <c r="N462" s="15"/>
      <c r="O462" s="20"/>
      <c r="P462" s="15"/>
      <c r="Q462" s="15"/>
      <c r="R462" s="17" t="str">
        <f>IF(Q462="","",VLOOKUP(Q462,'References (2)'!C:D,2,0))</f>
        <v/>
      </c>
      <c r="S462" s="17" t="str">
        <f>IF(Q462="","",VLOOKUP(Q462,'References (2)'!C:F,4,0))</f>
        <v/>
      </c>
      <c r="T462" s="16"/>
      <c r="U462" s="20"/>
      <c r="V462" s="15"/>
      <c r="W462" s="22"/>
      <c r="X462" s="16"/>
      <c r="Y462" s="22"/>
      <c r="Z462" s="25" t="str">
        <f t="shared" si="133"/>
        <v/>
      </c>
      <c r="AA462" s="17" t="str">
        <f t="shared" ca="1" si="134"/>
        <v/>
      </c>
      <c r="AB462" s="17" t="str">
        <f t="shared" ca="1" si="135"/>
        <v/>
      </c>
      <c r="AC462" s="17" t="str">
        <f t="shared" ca="1" si="136"/>
        <v/>
      </c>
      <c r="AD462" s="17" t="str">
        <f t="shared" ca="1" si="137"/>
        <v/>
      </c>
      <c r="AE462" s="17" t="str">
        <f t="shared" si="138"/>
        <v/>
      </c>
      <c r="AF462" s="17" t="str">
        <f t="shared" si="139"/>
        <v/>
      </c>
      <c r="AG462" s="17" t="str">
        <f t="shared" si="140"/>
        <v/>
      </c>
      <c r="AH462" s="17">
        <f t="shared" si="141"/>
        <v>0</v>
      </c>
      <c r="AI462" s="17" t="str">
        <f t="shared" ca="1" si="142"/>
        <v/>
      </c>
      <c r="AJ462" s="17" t="str">
        <f t="shared" ca="1" si="143"/>
        <v/>
      </c>
      <c r="AK462" s="17" t="str">
        <f t="shared" si="144"/>
        <v/>
      </c>
      <c r="AL462" s="17" t="str">
        <f t="shared" ca="1" si="145"/>
        <v/>
      </c>
      <c r="AN462" s="24">
        <f t="shared" si="146"/>
        <v>0</v>
      </c>
      <c r="AO462" s="24">
        <f t="shared" si="147"/>
        <v>0</v>
      </c>
      <c r="AP462" s="24">
        <f t="shared" si="148"/>
        <v>0</v>
      </c>
      <c r="AQ462" s="24">
        <f t="shared" si="149"/>
        <v>0</v>
      </c>
      <c r="AR462" s="24">
        <f t="shared" si="150"/>
        <v>0</v>
      </c>
      <c r="AS462" s="24">
        <f t="shared" si="151"/>
        <v>0</v>
      </c>
    </row>
    <row r="463" spans="1:45" x14ac:dyDescent="0.25">
      <c r="A463" s="83"/>
      <c r="B463" s="83"/>
      <c r="C463" s="83"/>
      <c r="D463" s="15"/>
      <c r="E463" s="15"/>
      <c r="F463" s="83"/>
      <c r="G463" s="83"/>
      <c r="H463" s="16"/>
      <c r="I463" s="83"/>
      <c r="J463" s="83"/>
      <c r="K463" s="16"/>
      <c r="L463" s="15"/>
      <c r="M463" s="20"/>
      <c r="N463" s="15"/>
      <c r="O463" s="20"/>
      <c r="P463" s="15"/>
      <c r="Q463" s="15"/>
      <c r="R463" s="17" t="str">
        <f>IF(Q463="","",VLOOKUP(Q463,'References (2)'!C:D,2,0))</f>
        <v/>
      </c>
      <c r="S463" s="17" t="str">
        <f>IF(Q463="","",VLOOKUP(Q463,'References (2)'!C:F,4,0))</f>
        <v/>
      </c>
      <c r="T463" s="16"/>
      <c r="U463" s="20"/>
      <c r="V463" s="15"/>
      <c r="W463" s="22"/>
      <c r="X463" s="16"/>
      <c r="Y463" s="22"/>
      <c r="Z463" s="25" t="str">
        <f t="shared" si="133"/>
        <v/>
      </c>
      <c r="AA463" s="17" t="str">
        <f t="shared" ca="1" si="134"/>
        <v/>
      </c>
      <c r="AB463" s="17" t="str">
        <f t="shared" ca="1" si="135"/>
        <v/>
      </c>
      <c r="AC463" s="17" t="str">
        <f t="shared" ca="1" si="136"/>
        <v/>
      </c>
      <c r="AD463" s="17" t="str">
        <f t="shared" ca="1" si="137"/>
        <v/>
      </c>
      <c r="AE463" s="17" t="str">
        <f t="shared" si="138"/>
        <v/>
      </c>
      <c r="AF463" s="17" t="str">
        <f t="shared" si="139"/>
        <v/>
      </c>
      <c r="AG463" s="17" t="str">
        <f t="shared" si="140"/>
        <v/>
      </c>
      <c r="AH463" s="17">
        <f t="shared" si="141"/>
        <v>0</v>
      </c>
      <c r="AI463" s="17" t="str">
        <f t="shared" ca="1" si="142"/>
        <v/>
      </c>
      <c r="AJ463" s="17" t="str">
        <f t="shared" ca="1" si="143"/>
        <v/>
      </c>
      <c r="AK463" s="17" t="str">
        <f t="shared" si="144"/>
        <v/>
      </c>
      <c r="AL463" s="17" t="str">
        <f t="shared" ca="1" si="145"/>
        <v/>
      </c>
      <c r="AN463" s="24">
        <f t="shared" si="146"/>
        <v>0</v>
      </c>
      <c r="AO463" s="24">
        <f t="shared" si="147"/>
        <v>0</v>
      </c>
      <c r="AP463" s="24">
        <f t="shared" si="148"/>
        <v>0</v>
      </c>
      <c r="AQ463" s="24">
        <f t="shared" si="149"/>
        <v>0</v>
      </c>
      <c r="AR463" s="24">
        <f t="shared" si="150"/>
        <v>0</v>
      </c>
      <c r="AS463" s="24">
        <f t="shared" si="151"/>
        <v>0</v>
      </c>
    </row>
    <row r="464" spans="1:45" x14ac:dyDescent="0.25">
      <c r="A464" s="83"/>
      <c r="B464" s="83"/>
      <c r="C464" s="83"/>
      <c r="D464" s="15"/>
      <c r="E464" s="15"/>
      <c r="F464" s="83"/>
      <c r="G464" s="83"/>
      <c r="H464" s="16"/>
      <c r="I464" s="83"/>
      <c r="J464" s="83"/>
      <c r="K464" s="16"/>
      <c r="L464" s="15"/>
      <c r="M464" s="20"/>
      <c r="N464" s="15"/>
      <c r="O464" s="20"/>
      <c r="P464" s="15"/>
      <c r="Q464" s="15"/>
      <c r="R464" s="17" t="str">
        <f>IF(Q464="","",VLOOKUP(Q464,'References (2)'!C:D,2,0))</f>
        <v/>
      </c>
      <c r="S464" s="17" t="str">
        <f>IF(Q464="","",VLOOKUP(Q464,'References (2)'!C:F,4,0))</f>
        <v/>
      </c>
      <c r="T464" s="16"/>
      <c r="U464" s="20"/>
      <c r="V464" s="15"/>
      <c r="W464" s="22"/>
      <c r="X464" s="16"/>
      <c r="Y464" s="22"/>
      <c r="Z464" s="25" t="str">
        <f t="shared" si="133"/>
        <v/>
      </c>
      <c r="AA464" s="17" t="str">
        <f t="shared" ca="1" si="134"/>
        <v/>
      </c>
      <c r="AB464" s="17" t="str">
        <f t="shared" ca="1" si="135"/>
        <v/>
      </c>
      <c r="AC464" s="17" t="str">
        <f t="shared" ca="1" si="136"/>
        <v/>
      </c>
      <c r="AD464" s="17" t="str">
        <f t="shared" ca="1" si="137"/>
        <v/>
      </c>
      <c r="AE464" s="17" t="str">
        <f t="shared" si="138"/>
        <v/>
      </c>
      <c r="AF464" s="17" t="str">
        <f t="shared" si="139"/>
        <v/>
      </c>
      <c r="AG464" s="17" t="str">
        <f t="shared" si="140"/>
        <v/>
      </c>
      <c r="AH464" s="17">
        <f t="shared" si="141"/>
        <v>0</v>
      </c>
      <c r="AI464" s="17" t="str">
        <f t="shared" ca="1" si="142"/>
        <v/>
      </c>
      <c r="AJ464" s="17" t="str">
        <f t="shared" ca="1" si="143"/>
        <v/>
      </c>
      <c r="AK464" s="17" t="str">
        <f t="shared" si="144"/>
        <v/>
      </c>
      <c r="AL464" s="17" t="str">
        <f t="shared" ca="1" si="145"/>
        <v/>
      </c>
      <c r="AN464" s="24">
        <f t="shared" si="146"/>
        <v>0</v>
      </c>
      <c r="AO464" s="24">
        <f t="shared" si="147"/>
        <v>0</v>
      </c>
      <c r="AP464" s="24">
        <f t="shared" si="148"/>
        <v>0</v>
      </c>
      <c r="AQ464" s="24">
        <f t="shared" si="149"/>
        <v>0</v>
      </c>
      <c r="AR464" s="24">
        <f t="shared" si="150"/>
        <v>0</v>
      </c>
      <c r="AS464" s="24">
        <f t="shared" si="151"/>
        <v>0</v>
      </c>
    </row>
    <row r="465" spans="1:45" x14ac:dyDescent="0.25">
      <c r="A465" s="83"/>
      <c r="B465" s="83"/>
      <c r="C465" s="83"/>
      <c r="D465" s="15"/>
      <c r="E465" s="15"/>
      <c r="F465" s="83"/>
      <c r="G465" s="83"/>
      <c r="H465" s="16"/>
      <c r="I465" s="83"/>
      <c r="J465" s="83"/>
      <c r="K465" s="16"/>
      <c r="L465" s="15"/>
      <c r="M465" s="20"/>
      <c r="N465" s="15"/>
      <c r="O465" s="20"/>
      <c r="P465" s="15"/>
      <c r="Q465" s="15"/>
      <c r="R465" s="17" t="str">
        <f>IF(Q465="","",VLOOKUP(Q465,'References (2)'!C:D,2,0))</f>
        <v/>
      </c>
      <c r="S465" s="17" t="str">
        <f>IF(Q465="","",VLOOKUP(Q465,'References (2)'!C:F,4,0))</f>
        <v/>
      </c>
      <c r="T465" s="16"/>
      <c r="U465" s="20"/>
      <c r="V465" s="15"/>
      <c r="W465" s="22"/>
      <c r="X465" s="16"/>
      <c r="Y465" s="22"/>
      <c r="Z465" s="25" t="str">
        <f t="shared" si="133"/>
        <v/>
      </c>
      <c r="AA465" s="17" t="str">
        <f t="shared" ca="1" si="134"/>
        <v/>
      </c>
      <c r="AB465" s="17" t="str">
        <f t="shared" ca="1" si="135"/>
        <v/>
      </c>
      <c r="AC465" s="17" t="str">
        <f t="shared" ca="1" si="136"/>
        <v/>
      </c>
      <c r="AD465" s="17" t="str">
        <f t="shared" ca="1" si="137"/>
        <v/>
      </c>
      <c r="AE465" s="17" t="str">
        <f t="shared" si="138"/>
        <v/>
      </c>
      <c r="AF465" s="17" t="str">
        <f t="shared" si="139"/>
        <v/>
      </c>
      <c r="AG465" s="17" t="str">
        <f t="shared" si="140"/>
        <v/>
      </c>
      <c r="AH465" s="17">
        <f t="shared" si="141"/>
        <v>0</v>
      </c>
      <c r="AI465" s="17" t="str">
        <f t="shared" ca="1" si="142"/>
        <v/>
      </c>
      <c r="AJ465" s="17" t="str">
        <f t="shared" ca="1" si="143"/>
        <v/>
      </c>
      <c r="AK465" s="17" t="str">
        <f t="shared" si="144"/>
        <v/>
      </c>
      <c r="AL465" s="17" t="str">
        <f t="shared" ca="1" si="145"/>
        <v/>
      </c>
      <c r="AN465" s="24">
        <f t="shared" si="146"/>
        <v>0</v>
      </c>
      <c r="AO465" s="24">
        <f t="shared" si="147"/>
        <v>0</v>
      </c>
      <c r="AP465" s="24">
        <f t="shared" si="148"/>
        <v>0</v>
      </c>
      <c r="AQ465" s="24">
        <f t="shared" si="149"/>
        <v>0</v>
      </c>
      <c r="AR465" s="24">
        <f t="shared" si="150"/>
        <v>0</v>
      </c>
      <c r="AS465" s="24">
        <f t="shared" si="151"/>
        <v>0</v>
      </c>
    </row>
    <row r="466" spans="1:45" x14ac:dyDescent="0.25">
      <c r="A466" s="83"/>
      <c r="B466" s="83"/>
      <c r="C466" s="83"/>
      <c r="D466" s="15"/>
      <c r="E466" s="15"/>
      <c r="F466" s="83"/>
      <c r="G466" s="83"/>
      <c r="H466" s="16"/>
      <c r="I466" s="83"/>
      <c r="J466" s="83"/>
      <c r="K466" s="16"/>
      <c r="L466" s="15"/>
      <c r="M466" s="20"/>
      <c r="N466" s="15"/>
      <c r="O466" s="20"/>
      <c r="P466" s="15"/>
      <c r="Q466" s="15"/>
      <c r="R466" s="17" t="str">
        <f>IF(Q466="","",VLOOKUP(Q466,'References (2)'!C:D,2,0))</f>
        <v/>
      </c>
      <c r="S466" s="17" t="str">
        <f>IF(Q466="","",VLOOKUP(Q466,'References (2)'!C:F,4,0))</f>
        <v/>
      </c>
      <c r="T466" s="16"/>
      <c r="U466" s="20"/>
      <c r="V466" s="15"/>
      <c r="W466" s="22"/>
      <c r="X466" s="16"/>
      <c r="Y466" s="22"/>
      <c r="Z466" s="25" t="str">
        <f t="shared" si="133"/>
        <v/>
      </c>
      <c r="AA466" s="17" t="str">
        <f t="shared" ca="1" si="134"/>
        <v/>
      </c>
      <c r="AB466" s="17" t="str">
        <f t="shared" ca="1" si="135"/>
        <v/>
      </c>
      <c r="AC466" s="17" t="str">
        <f t="shared" ca="1" si="136"/>
        <v/>
      </c>
      <c r="AD466" s="17" t="str">
        <f t="shared" ca="1" si="137"/>
        <v/>
      </c>
      <c r="AE466" s="17" t="str">
        <f t="shared" si="138"/>
        <v/>
      </c>
      <c r="AF466" s="17" t="str">
        <f t="shared" si="139"/>
        <v/>
      </c>
      <c r="AG466" s="17" t="str">
        <f t="shared" si="140"/>
        <v/>
      </c>
      <c r="AH466" s="17">
        <f t="shared" si="141"/>
        <v>0</v>
      </c>
      <c r="AI466" s="17" t="str">
        <f t="shared" ca="1" si="142"/>
        <v/>
      </c>
      <c r="AJ466" s="17" t="str">
        <f t="shared" ca="1" si="143"/>
        <v/>
      </c>
      <c r="AK466" s="17" t="str">
        <f t="shared" si="144"/>
        <v/>
      </c>
      <c r="AL466" s="17" t="str">
        <f t="shared" ca="1" si="145"/>
        <v/>
      </c>
      <c r="AN466" s="24">
        <f t="shared" si="146"/>
        <v>0</v>
      </c>
      <c r="AO466" s="24">
        <f t="shared" si="147"/>
        <v>0</v>
      </c>
      <c r="AP466" s="24">
        <f t="shared" si="148"/>
        <v>0</v>
      </c>
      <c r="AQ466" s="24">
        <f t="shared" si="149"/>
        <v>0</v>
      </c>
      <c r="AR466" s="24">
        <f t="shared" si="150"/>
        <v>0</v>
      </c>
      <c r="AS466" s="24">
        <f t="shared" si="151"/>
        <v>0</v>
      </c>
    </row>
    <row r="467" spans="1:45" x14ac:dyDescent="0.25">
      <c r="A467" s="83"/>
      <c r="B467" s="83"/>
      <c r="C467" s="83"/>
      <c r="D467" s="15"/>
      <c r="E467" s="15"/>
      <c r="F467" s="83"/>
      <c r="G467" s="83"/>
      <c r="H467" s="16"/>
      <c r="I467" s="83"/>
      <c r="J467" s="83"/>
      <c r="K467" s="16"/>
      <c r="L467" s="15"/>
      <c r="M467" s="20"/>
      <c r="N467" s="15"/>
      <c r="O467" s="20"/>
      <c r="P467" s="15"/>
      <c r="Q467" s="15"/>
      <c r="R467" s="17" t="str">
        <f>IF(Q467="","",VLOOKUP(Q467,'References (2)'!C:D,2,0))</f>
        <v/>
      </c>
      <c r="S467" s="17" t="str">
        <f>IF(Q467="","",VLOOKUP(Q467,'References (2)'!C:F,4,0))</f>
        <v/>
      </c>
      <c r="T467" s="16"/>
      <c r="U467" s="20"/>
      <c r="V467" s="15"/>
      <c r="W467" s="22"/>
      <c r="X467" s="16"/>
      <c r="Y467" s="22"/>
      <c r="Z467" s="25" t="str">
        <f t="shared" si="133"/>
        <v/>
      </c>
      <c r="AA467" s="17" t="str">
        <f t="shared" ca="1" si="134"/>
        <v/>
      </c>
      <c r="AB467" s="17" t="str">
        <f t="shared" ca="1" si="135"/>
        <v/>
      </c>
      <c r="AC467" s="17" t="str">
        <f t="shared" ca="1" si="136"/>
        <v/>
      </c>
      <c r="AD467" s="17" t="str">
        <f t="shared" ca="1" si="137"/>
        <v/>
      </c>
      <c r="AE467" s="17" t="str">
        <f t="shared" si="138"/>
        <v/>
      </c>
      <c r="AF467" s="17" t="str">
        <f t="shared" si="139"/>
        <v/>
      </c>
      <c r="AG467" s="17" t="str">
        <f t="shared" si="140"/>
        <v/>
      </c>
      <c r="AH467" s="17">
        <f t="shared" si="141"/>
        <v>0</v>
      </c>
      <c r="AI467" s="17" t="str">
        <f t="shared" ca="1" si="142"/>
        <v/>
      </c>
      <c r="AJ467" s="17" t="str">
        <f t="shared" ca="1" si="143"/>
        <v/>
      </c>
      <c r="AK467" s="17" t="str">
        <f t="shared" si="144"/>
        <v/>
      </c>
      <c r="AL467" s="17" t="str">
        <f t="shared" ca="1" si="145"/>
        <v/>
      </c>
      <c r="AN467" s="24">
        <f t="shared" si="146"/>
        <v>0</v>
      </c>
      <c r="AO467" s="24">
        <f t="shared" si="147"/>
        <v>0</v>
      </c>
      <c r="AP467" s="24">
        <f t="shared" si="148"/>
        <v>0</v>
      </c>
      <c r="AQ467" s="24">
        <f t="shared" si="149"/>
        <v>0</v>
      </c>
      <c r="AR467" s="24">
        <f t="shared" si="150"/>
        <v>0</v>
      </c>
      <c r="AS467" s="24">
        <f t="shared" si="151"/>
        <v>0</v>
      </c>
    </row>
    <row r="468" spans="1:45" x14ac:dyDescent="0.25">
      <c r="A468" s="83"/>
      <c r="B468" s="83"/>
      <c r="C468" s="83"/>
      <c r="D468" s="15"/>
      <c r="E468" s="15"/>
      <c r="F468" s="83"/>
      <c r="G468" s="83"/>
      <c r="H468" s="16"/>
      <c r="I468" s="83"/>
      <c r="J468" s="83"/>
      <c r="K468" s="16"/>
      <c r="L468" s="15"/>
      <c r="M468" s="20"/>
      <c r="N468" s="15"/>
      <c r="O468" s="20"/>
      <c r="P468" s="15"/>
      <c r="Q468" s="15"/>
      <c r="R468" s="17" t="str">
        <f>IF(Q468="","",VLOOKUP(Q468,'References (2)'!C:D,2,0))</f>
        <v/>
      </c>
      <c r="S468" s="17" t="str">
        <f>IF(Q468="","",VLOOKUP(Q468,'References (2)'!C:F,4,0))</f>
        <v/>
      </c>
      <c r="T468" s="16"/>
      <c r="U468" s="20"/>
      <c r="V468" s="15"/>
      <c r="W468" s="22"/>
      <c r="X468" s="16"/>
      <c r="Y468" s="22"/>
      <c r="Z468" s="25" t="str">
        <f t="shared" si="133"/>
        <v/>
      </c>
      <c r="AA468" s="17" t="str">
        <f t="shared" ca="1" si="134"/>
        <v/>
      </c>
      <c r="AB468" s="17" t="str">
        <f t="shared" ca="1" si="135"/>
        <v/>
      </c>
      <c r="AC468" s="17" t="str">
        <f t="shared" ca="1" si="136"/>
        <v/>
      </c>
      <c r="AD468" s="17" t="str">
        <f t="shared" ca="1" si="137"/>
        <v/>
      </c>
      <c r="AE468" s="17" t="str">
        <f t="shared" si="138"/>
        <v/>
      </c>
      <c r="AF468" s="17" t="str">
        <f t="shared" si="139"/>
        <v/>
      </c>
      <c r="AG468" s="17" t="str">
        <f t="shared" si="140"/>
        <v/>
      </c>
      <c r="AH468" s="17">
        <f t="shared" si="141"/>
        <v>0</v>
      </c>
      <c r="AI468" s="17" t="str">
        <f t="shared" ca="1" si="142"/>
        <v/>
      </c>
      <c r="AJ468" s="17" t="str">
        <f t="shared" ca="1" si="143"/>
        <v/>
      </c>
      <c r="AK468" s="17" t="str">
        <f t="shared" si="144"/>
        <v/>
      </c>
      <c r="AL468" s="17" t="str">
        <f t="shared" ca="1" si="145"/>
        <v/>
      </c>
      <c r="AN468" s="24">
        <f t="shared" si="146"/>
        <v>0</v>
      </c>
      <c r="AO468" s="24">
        <f t="shared" si="147"/>
        <v>0</v>
      </c>
      <c r="AP468" s="24">
        <f t="shared" si="148"/>
        <v>0</v>
      </c>
      <c r="AQ468" s="24">
        <f t="shared" si="149"/>
        <v>0</v>
      </c>
      <c r="AR468" s="24">
        <f t="shared" si="150"/>
        <v>0</v>
      </c>
      <c r="AS468" s="24">
        <f t="shared" si="151"/>
        <v>0</v>
      </c>
    </row>
    <row r="469" spans="1:45" x14ac:dyDescent="0.25">
      <c r="A469" s="83"/>
      <c r="B469" s="83"/>
      <c r="C469" s="83"/>
      <c r="D469" s="15"/>
      <c r="E469" s="15"/>
      <c r="F469" s="83"/>
      <c r="G469" s="83"/>
      <c r="H469" s="16"/>
      <c r="I469" s="83"/>
      <c r="J469" s="83"/>
      <c r="K469" s="16"/>
      <c r="L469" s="15"/>
      <c r="M469" s="20"/>
      <c r="N469" s="15"/>
      <c r="O469" s="20"/>
      <c r="P469" s="15"/>
      <c r="Q469" s="15"/>
      <c r="R469" s="17" t="str">
        <f>IF(Q469="","",VLOOKUP(Q469,'References (2)'!C:D,2,0))</f>
        <v/>
      </c>
      <c r="S469" s="17" t="str">
        <f>IF(Q469="","",VLOOKUP(Q469,'References (2)'!C:F,4,0))</f>
        <v/>
      </c>
      <c r="T469" s="16"/>
      <c r="U469" s="20"/>
      <c r="V469" s="15"/>
      <c r="W469" s="22"/>
      <c r="X469" s="16"/>
      <c r="Y469" s="22"/>
      <c r="Z469" s="25" t="str">
        <f t="shared" si="133"/>
        <v/>
      </c>
      <c r="AA469" s="17" t="str">
        <f t="shared" ca="1" si="134"/>
        <v/>
      </c>
      <c r="AB469" s="17" t="str">
        <f t="shared" ca="1" si="135"/>
        <v/>
      </c>
      <c r="AC469" s="17" t="str">
        <f t="shared" ca="1" si="136"/>
        <v/>
      </c>
      <c r="AD469" s="17" t="str">
        <f t="shared" ca="1" si="137"/>
        <v/>
      </c>
      <c r="AE469" s="17" t="str">
        <f t="shared" si="138"/>
        <v/>
      </c>
      <c r="AF469" s="17" t="str">
        <f t="shared" si="139"/>
        <v/>
      </c>
      <c r="AG469" s="17" t="str">
        <f t="shared" si="140"/>
        <v/>
      </c>
      <c r="AH469" s="17">
        <f t="shared" si="141"/>
        <v>0</v>
      </c>
      <c r="AI469" s="17" t="str">
        <f t="shared" ca="1" si="142"/>
        <v/>
      </c>
      <c r="AJ469" s="17" t="str">
        <f t="shared" ca="1" si="143"/>
        <v/>
      </c>
      <c r="AK469" s="17" t="str">
        <f t="shared" si="144"/>
        <v/>
      </c>
      <c r="AL469" s="17" t="str">
        <f t="shared" ca="1" si="145"/>
        <v/>
      </c>
      <c r="AN469" s="24">
        <f t="shared" si="146"/>
        <v>0</v>
      </c>
      <c r="AO469" s="24">
        <f t="shared" si="147"/>
        <v>0</v>
      </c>
      <c r="AP469" s="24">
        <f t="shared" si="148"/>
        <v>0</v>
      </c>
      <c r="AQ469" s="24">
        <f t="shared" si="149"/>
        <v>0</v>
      </c>
      <c r="AR469" s="24">
        <f t="shared" si="150"/>
        <v>0</v>
      </c>
      <c r="AS469" s="24">
        <f t="shared" si="151"/>
        <v>0</v>
      </c>
    </row>
    <row r="470" spans="1:45" x14ac:dyDescent="0.25">
      <c r="A470" s="83"/>
      <c r="B470" s="83"/>
      <c r="C470" s="83"/>
      <c r="D470" s="15"/>
      <c r="E470" s="15"/>
      <c r="F470" s="83"/>
      <c r="G470" s="83"/>
      <c r="H470" s="16"/>
      <c r="I470" s="83"/>
      <c r="J470" s="83"/>
      <c r="K470" s="16"/>
      <c r="L470" s="15"/>
      <c r="M470" s="20"/>
      <c r="N470" s="15"/>
      <c r="O470" s="20"/>
      <c r="P470" s="15"/>
      <c r="Q470" s="15"/>
      <c r="R470" s="17" t="str">
        <f>IF(Q470="","",VLOOKUP(Q470,'References (2)'!C:D,2,0))</f>
        <v/>
      </c>
      <c r="S470" s="17" t="str">
        <f>IF(Q470="","",VLOOKUP(Q470,'References (2)'!C:F,4,0))</f>
        <v/>
      </c>
      <c r="T470" s="16"/>
      <c r="U470" s="20"/>
      <c r="V470" s="15"/>
      <c r="W470" s="22"/>
      <c r="X470" s="16"/>
      <c r="Y470" s="22"/>
      <c r="Z470" s="25" t="str">
        <f t="shared" si="133"/>
        <v/>
      </c>
      <c r="AA470" s="17" t="str">
        <f t="shared" ca="1" si="134"/>
        <v/>
      </c>
      <c r="AB470" s="17" t="str">
        <f t="shared" ca="1" si="135"/>
        <v/>
      </c>
      <c r="AC470" s="17" t="str">
        <f t="shared" ca="1" si="136"/>
        <v/>
      </c>
      <c r="AD470" s="17" t="str">
        <f t="shared" ca="1" si="137"/>
        <v/>
      </c>
      <c r="AE470" s="17" t="str">
        <f t="shared" si="138"/>
        <v/>
      </c>
      <c r="AF470" s="17" t="str">
        <f t="shared" si="139"/>
        <v/>
      </c>
      <c r="AG470" s="17" t="str">
        <f t="shared" si="140"/>
        <v/>
      </c>
      <c r="AH470" s="17">
        <f t="shared" si="141"/>
        <v>0</v>
      </c>
      <c r="AI470" s="17" t="str">
        <f t="shared" ca="1" si="142"/>
        <v/>
      </c>
      <c r="AJ470" s="17" t="str">
        <f t="shared" ca="1" si="143"/>
        <v/>
      </c>
      <c r="AK470" s="17" t="str">
        <f t="shared" si="144"/>
        <v/>
      </c>
      <c r="AL470" s="17" t="str">
        <f t="shared" ca="1" si="145"/>
        <v/>
      </c>
      <c r="AN470" s="24">
        <f t="shared" si="146"/>
        <v>0</v>
      </c>
      <c r="AO470" s="24">
        <f t="shared" si="147"/>
        <v>0</v>
      </c>
      <c r="AP470" s="24">
        <f t="shared" si="148"/>
        <v>0</v>
      </c>
      <c r="AQ470" s="24">
        <f t="shared" si="149"/>
        <v>0</v>
      </c>
      <c r="AR470" s="24">
        <f t="shared" si="150"/>
        <v>0</v>
      </c>
      <c r="AS470" s="24">
        <f t="shared" si="151"/>
        <v>0</v>
      </c>
    </row>
    <row r="471" spans="1:45" x14ac:dyDescent="0.25">
      <c r="A471" s="83"/>
      <c r="B471" s="83"/>
      <c r="C471" s="83"/>
      <c r="D471" s="15"/>
      <c r="E471" s="15"/>
      <c r="F471" s="83"/>
      <c r="G471" s="83"/>
      <c r="H471" s="16"/>
      <c r="I471" s="83"/>
      <c r="J471" s="83"/>
      <c r="K471" s="16"/>
      <c r="L471" s="15"/>
      <c r="M471" s="20"/>
      <c r="N471" s="15"/>
      <c r="O471" s="20"/>
      <c r="P471" s="15"/>
      <c r="Q471" s="15"/>
      <c r="R471" s="17" t="str">
        <f>IF(Q471="","",VLOOKUP(Q471,'References (2)'!C:D,2,0))</f>
        <v/>
      </c>
      <c r="S471" s="17" t="str">
        <f>IF(Q471="","",VLOOKUP(Q471,'References (2)'!C:F,4,0))</f>
        <v/>
      </c>
      <c r="T471" s="16"/>
      <c r="U471" s="20"/>
      <c r="V471" s="15"/>
      <c r="W471" s="22"/>
      <c r="X471" s="16"/>
      <c r="Y471" s="22"/>
      <c r="Z471" s="25" t="str">
        <f t="shared" si="133"/>
        <v/>
      </c>
      <c r="AA471" s="17" t="str">
        <f t="shared" ca="1" si="134"/>
        <v/>
      </c>
      <c r="AB471" s="17" t="str">
        <f t="shared" ca="1" si="135"/>
        <v/>
      </c>
      <c r="AC471" s="17" t="str">
        <f t="shared" ca="1" si="136"/>
        <v/>
      </c>
      <c r="AD471" s="17" t="str">
        <f t="shared" ca="1" si="137"/>
        <v/>
      </c>
      <c r="AE471" s="17" t="str">
        <f t="shared" si="138"/>
        <v/>
      </c>
      <c r="AF471" s="17" t="str">
        <f t="shared" si="139"/>
        <v/>
      </c>
      <c r="AG471" s="17" t="str">
        <f t="shared" si="140"/>
        <v/>
      </c>
      <c r="AH471" s="17">
        <f t="shared" si="141"/>
        <v>0</v>
      </c>
      <c r="AI471" s="17" t="str">
        <f t="shared" ca="1" si="142"/>
        <v/>
      </c>
      <c r="AJ471" s="17" t="str">
        <f t="shared" ca="1" si="143"/>
        <v/>
      </c>
      <c r="AK471" s="17" t="str">
        <f t="shared" si="144"/>
        <v/>
      </c>
      <c r="AL471" s="17" t="str">
        <f t="shared" ca="1" si="145"/>
        <v/>
      </c>
      <c r="AN471" s="24">
        <f t="shared" si="146"/>
        <v>0</v>
      </c>
      <c r="AO471" s="24">
        <f t="shared" si="147"/>
        <v>0</v>
      </c>
      <c r="AP471" s="24">
        <f t="shared" si="148"/>
        <v>0</v>
      </c>
      <c r="AQ471" s="24">
        <f t="shared" si="149"/>
        <v>0</v>
      </c>
      <c r="AR471" s="24">
        <f t="shared" si="150"/>
        <v>0</v>
      </c>
      <c r="AS471" s="24">
        <f t="shared" si="151"/>
        <v>0</v>
      </c>
    </row>
    <row r="472" spans="1:45" x14ac:dyDescent="0.25">
      <c r="A472" s="83"/>
      <c r="B472" s="83"/>
      <c r="C472" s="83"/>
      <c r="D472" s="15"/>
      <c r="E472" s="15"/>
      <c r="F472" s="83"/>
      <c r="G472" s="83"/>
      <c r="H472" s="16"/>
      <c r="I472" s="83"/>
      <c r="J472" s="83"/>
      <c r="K472" s="16"/>
      <c r="L472" s="15"/>
      <c r="M472" s="20"/>
      <c r="N472" s="15"/>
      <c r="O472" s="20"/>
      <c r="P472" s="15"/>
      <c r="Q472" s="15"/>
      <c r="R472" s="17" t="str">
        <f>IF(Q472="","",VLOOKUP(Q472,'References (2)'!C:D,2,0))</f>
        <v/>
      </c>
      <c r="S472" s="17" t="str">
        <f>IF(Q472="","",VLOOKUP(Q472,'References (2)'!C:F,4,0))</f>
        <v/>
      </c>
      <c r="T472" s="16"/>
      <c r="U472" s="20"/>
      <c r="V472" s="15"/>
      <c r="W472" s="22"/>
      <c r="X472" s="16"/>
      <c r="Y472" s="22"/>
      <c r="Z472" s="25" t="str">
        <f t="shared" si="133"/>
        <v/>
      </c>
      <c r="AA472" s="17" t="str">
        <f t="shared" ca="1" si="134"/>
        <v/>
      </c>
      <c r="AB472" s="17" t="str">
        <f t="shared" ca="1" si="135"/>
        <v/>
      </c>
      <c r="AC472" s="17" t="str">
        <f t="shared" ca="1" si="136"/>
        <v/>
      </c>
      <c r="AD472" s="17" t="str">
        <f t="shared" ca="1" si="137"/>
        <v/>
      </c>
      <c r="AE472" s="17" t="str">
        <f t="shared" si="138"/>
        <v/>
      </c>
      <c r="AF472" s="17" t="str">
        <f t="shared" si="139"/>
        <v/>
      </c>
      <c r="AG472" s="17" t="str">
        <f t="shared" si="140"/>
        <v/>
      </c>
      <c r="AH472" s="17">
        <f t="shared" si="141"/>
        <v>0</v>
      </c>
      <c r="AI472" s="17" t="str">
        <f t="shared" ca="1" si="142"/>
        <v/>
      </c>
      <c r="AJ472" s="17" t="str">
        <f t="shared" ca="1" si="143"/>
        <v/>
      </c>
      <c r="AK472" s="17" t="str">
        <f t="shared" si="144"/>
        <v/>
      </c>
      <c r="AL472" s="17" t="str">
        <f t="shared" ca="1" si="145"/>
        <v/>
      </c>
      <c r="AN472" s="24">
        <f t="shared" si="146"/>
        <v>0</v>
      </c>
      <c r="AO472" s="24">
        <f t="shared" si="147"/>
        <v>0</v>
      </c>
      <c r="AP472" s="24">
        <f t="shared" si="148"/>
        <v>0</v>
      </c>
      <c r="AQ472" s="24">
        <f t="shared" si="149"/>
        <v>0</v>
      </c>
      <c r="AR472" s="24">
        <f t="shared" si="150"/>
        <v>0</v>
      </c>
      <c r="AS472" s="24">
        <f t="shared" si="151"/>
        <v>0</v>
      </c>
    </row>
    <row r="473" spans="1:45" x14ac:dyDescent="0.25">
      <c r="A473" s="83"/>
      <c r="B473" s="83"/>
      <c r="C473" s="83"/>
      <c r="D473" s="15"/>
      <c r="E473" s="15"/>
      <c r="F473" s="83"/>
      <c r="G473" s="83"/>
      <c r="H473" s="16"/>
      <c r="I473" s="83"/>
      <c r="J473" s="83"/>
      <c r="K473" s="16"/>
      <c r="L473" s="15"/>
      <c r="M473" s="20"/>
      <c r="N473" s="15"/>
      <c r="O473" s="20"/>
      <c r="P473" s="15"/>
      <c r="Q473" s="15"/>
      <c r="R473" s="17" t="str">
        <f>IF(Q473="","",VLOOKUP(Q473,'References (2)'!C:D,2,0))</f>
        <v/>
      </c>
      <c r="S473" s="17" t="str">
        <f>IF(Q473="","",VLOOKUP(Q473,'References (2)'!C:F,4,0))</f>
        <v/>
      </c>
      <c r="T473" s="16"/>
      <c r="U473" s="20"/>
      <c r="V473" s="15"/>
      <c r="W473" s="22"/>
      <c r="X473" s="16"/>
      <c r="Y473" s="22"/>
      <c r="Z473" s="25" t="str">
        <f t="shared" si="133"/>
        <v/>
      </c>
      <c r="AA473" s="17" t="str">
        <f t="shared" ca="1" si="134"/>
        <v/>
      </c>
      <c r="AB473" s="17" t="str">
        <f t="shared" ca="1" si="135"/>
        <v/>
      </c>
      <c r="AC473" s="17" t="str">
        <f t="shared" ca="1" si="136"/>
        <v/>
      </c>
      <c r="AD473" s="17" t="str">
        <f t="shared" ca="1" si="137"/>
        <v/>
      </c>
      <c r="AE473" s="17" t="str">
        <f t="shared" si="138"/>
        <v/>
      </c>
      <c r="AF473" s="17" t="str">
        <f t="shared" si="139"/>
        <v/>
      </c>
      <c r="AG473" s="17" t="str">
        <f t="shared" si="140"/>
        <v/>
      </c>
      <c r="AH473" s="17">
        <f t="shared" si="141"/>
        <v>0</v>
      </c>
      <c r="AI473" s="17" t="str">
        <f t="shared" ca="1" si="142"/>
        <v/>
      </c>
      <c r="AJ473" s="17" t="str">
        <f t="shared" ca="1" si="143"/>
        <v/>
      </c>
      <c r="AK473" s="17" t="str">
        <f t="shared" si="144"/>
        <v/>
      </c>
      <c r="AL473" s="17" t="str">
        <f t="shared" ca="1" si="145"/>
        <v/>
      </c>
      <c r="AN473" s="24">
        <f t="shared" si="146"/>
        <v>0</v>
      </c>
      <c r="AO473" s="24">
        <f t="shared" si="147"/>
        <v>0</v>
      </c>
      <c r="AP473" s="24">
        <f t="shared" si="148"/>
        <v>0</v>
      </c>
      <c r="AQ473" s="24">
        <f t="shared" si="149"/>
        <v>0</v>
      </c>
      <c r="AR473" s="24">
        <f t="shared" si="150"/>
        <v>0</v>
      </c>
      <c r="AS473" s="24">
        <f t="shared" si="151"/>
        <v>0</v>
      </c>
    </row>
    <row r="474" spans="1:45" x14ac:dyDescent="0.25">
      <c r="A474" s="83"/>
      <c r="B474" s="83"/>
      <c r="C474" s="83"/>
      <c r="D474" s="15"/>
      <c r="E474" s="15"/>
      <c r="F474" s="83"/>
      <c r="G474" s="83"/>
      <c r="H474" s="16"/>
      <c r="I474" s="83"/>
      <c r="J474" s="83"/>
      <c r="K474" s="16"/>
      <c r="L474" s="15"/>
      <c r="M474" s="20"/>
      <c r="N474" s="15"/>
      <c r="O474" s="20"/>
      <c r="P474" s="15"/>
      <c r="Q474" s="15"/>
      <c r="R474" s="17" t="str">
        <f>IF(Q474="","",VLOOKUP(Q474,'References (2)'!C:D,2,0))</f>
        <v/>
      </c>
      <c r="S474" s="17" t="str">
        <f>IF(Q474="","",VLOOKUP(Q474,'References (2)'!C:F,4,0))</f>
        <v/>
      </c>
      <c r="T474" s="16"/>
      <c r="U474" s="20"/>
      <c r="V474" s="15"/>
      <c r="W474" s="22"/>
      <c r="X474" s="16"/>
      <c r="Y474" s="22"/>
      <c r="Z474" s="25" t="str">
        <f t="shared" si="133"/>
        <v/>
      </c>
      <c r="AA474" s="17" t="str">
        <f t="shared" ca="1" si="134"/>
        <v/>
      </c>
      <c r="AB474" s="17" t="str">
        <f t="shared" ca="1" si="135"/>
        <v/>
      </c>
      <c r="AC474" s="17" t="str">
        <f t="shared" ca="1" si="136"/>
        <v/>
      </c>
      <c r="AD474" s="17" t="str">
        <f t="shared" ca="1" si="137"/>
        <v/>
      </c>
      <c r="AE474" s="17" t="str">
        <f t="shared" si="138"/>
        <v/>
      </c>
      <c r="AF474" s="17" t="str">
        <f t="shared" si="139"/>
        <v/>
      </c>
      <c r="AG474" s="17" t="str">
        <f t="shared" si="140"/>
        <v/>
      </c>
      <c r="AH474" s="17">
        <f t="shared" si="141"/>
        <v>0</v>
      </c>
      <c r="AI474" s="17" t="str">
        <f t="shared" ca="1" si="142"/>
        <v/>
      </c>
      <c r="AJ474" s="17" t="str">
        <f t="shared" ca="1" si="143"/>
        <v/>
      </c>
      <c r="AK474" s="17" t="str">
        <f t="shared" si="144"/>
        <v/>
      </c>
      <c r="AL474" s="17" t="str">
        <f t="shared" ca="1" si="145"/>
        <v/>
      </c>
      <c r="AN474" s="24">
        <f t="shared" si="146"/>
        <v>0</v>
      </c>
      <c r="AO474" s="24">
        <f t="shared" si="147"/>
        <v>0</v>
      </c>
      <c r="AP474" s="24">
        <f t="shared" si="148"/>
        <v>0</v>
      </c>
      <c r="AQ474" s="24">
        <f t="shared" si="149"/>
        <v>0</v>
      </c>
      <c r="AR474" s="24">
        <f t="shared" si="150"/>
        <v>0</v>
      </c>
      <c r="AS474" s="24">
        <f t="shared" si="151"/>
        <v>0</v>
      </c>
    </row>
    <row r="475" spans="1:45" x14ac:dyDescent="0.25">
      <c r="A475" s="83"/>
      <c r="B475" s="83"/>
      <c r="C475" s="83"/>
      <c r="D475" s="15"/>
      <c r="E475" s="15"/>
      <c r="F475" s="83"/>
      <c r="G475" s="83"/>
      <c r="H475" s="16"/>
      <c r="I475" s="83"/>
      <c r="J475" s="83"/>
      <c r="K475" s="16"/>
      <c r="L475" s="15"/>
      <c r="M475" s="20"/>
      <c r="N475" s="15"/>
      <c r="O475" s="20"/>
      <c r="P475" s="15"/>
      <c r="Q475" s="15"/>
      <c r="R475" s="17" t="str">
        <f>IF(Q475="","",VLOOKUP(Q475,'References (2)'!C:D,2,0))</f>
        <v/>
      </c>
      <c r="S475" s="17" t="str">
        <f>IF(Q475="","",VLOOKUP(Q475,'References (2)'!C:F,4,0))</f>
        <v/>
      </c>
      <c r="T475" s="16"/>
      <c r="U475" s="20"/>
      <c r="V475" s="15"/>
      <c r="W475" s="22"/>
      <c r="X475" s="16"/>
      <c r="Y475" s="22"/>
      <c r="Z475" s="25" t="str">
        <f t="shared" si="133"/>
        <v/>
      </c>
      <c r="AA475" s="17" t="str">
        <f t="shared" ca="1" si="134"/>
        <v/>
      </c>
      <c r="AB475" s="17" t="str">
        <f t="shared" ca="1" si="135"/>
        <v/>
      </c>
      <c r="AC475" s="17" t="str">
        <f t="shared" ca="1" si="136"/>
        <v/>
      </c>
      <c r="AD475" s="17" t="str">
        <f t="shared" ca="1" si="137"/>
        <v/>
      </c>
      <c r="AE475" s="17" t="str">
        <f t="shared" si="138"/>
        <v/>
      </c>
      <c r="AF475" s="17" t="str">
        <f t="shared" si="139"/>
        <v/>
      </c>
      <c r="AG475" s="17" t="str">
        <f t="shared" si="140"/>
        <v/>
      </c>
      <c r="AH475" s="17">
        <f t="shared" si="141"/>
        <v>0</v>
      </c>
      <c r="AI475" s="17" t="str">
        <f t="shared" ca="1" si="142"/>
        <v/>
      </c>
      <c r="AJ475" s="17" t="str">
        <f t="shared" ca="1" si="143"/>
        <v/>
      </c>
      <c r="AK475" s="17" t="str">
        <f t="shared" si="144"/>
        <v/>
      </c>
      <c r="AL475" s="17" t="str">
        <f t="shared" ca="1" si="145"/>
        <v/>
      </c>
      <c r="AN475" s="24">
        <f t="shared" si="146"/>
        <v>0</v>
      </c>
      <c r="AO475" s="24">
        <f t="shared" si="147"/>
        <v>0</v>
      </c>
      <c r="AP475" s="24">
        <f t="shared" si="148"/>
        <v>0</v>
      </c>
      <c r="AQ475" s="24">
        <f t="shared" si="149"/>
        <v>0</v>
      </c>
      <c r="AR475" s="24">
        <f t="shared" si="150"/>
        <v>0</v>
      </c>
      <c r="AS475" s="24">
        <f t="shared" si="151"/>
        <v>0</v>
      </c>
    </row>
    <row r="476" spans="1:45" x14ac:dyDescent="0.25">
      <c r="A476" s="83"/>
      <c r="B476" s="83"/>
      <c r="C476" s="83"/>
      <c r="D476" s="15"/>
      <c r="E476" s="15"/>
      <c r="F476" s="83"/>
      <c r="G476" s="83"/>
      <c r="H476" s="16"/>
      <c r="I476" s="83"/>
      <c r="J476" s="83"/>
      <c r="K476" s="16"/>
      <c r="L476" s="15"/>
      <c r="M476" s="20"/>
      <c r="N476" s="15"/>
      <c r="O476" s="20"/>
      <c r="P476" s="15"/>
      <c r="Q476" s="15"/>
      <c r="R476" s="17" t="str">
        <f>IF(Q476="","",VLOOKUP(Q476,'References (2)'!C:D,2,0))</f>
        <v/>
      </c>
      <c r="S476" s="17" t="str">
        <f>IF(Q476="","",VLOOKUP(Q476,'References (2)'!C:F,4,0))</f>
        <v/>
      </c>
      <c r="T476" s="16"/>
      <c r="U476" s="20"/>
      <c r="V476" s="15"/>
      <c r="W476" s="22"/>
      <c r="X476" s="16"/>
      <c r="Y476" s="22"/>
      <c r="Z476" s="25" t="str">
        <f t="shared" si="133"/>
        <v/>
      </c>
      <c r="AA476" s="17" t="str">
        <f t="shared" ca="1" si="134"/>
        <v/>
      </c>
      <c r="AB476" s="17" t="str">
        <f t="shared" ca="1" si="135"/>
        <v/>
      </c>
      <c r="AC476" s="17" t="str">
        <f t="shared" ca="1" si="136"/>
        <v/>
      </c>
      <c r="AD476" s="17" t="str">
        <f t="shared" ca="1" si="137"/>
        <v/>
      </c>
      <c r="AE476" s="17" t="str">
        <f t="shared" si="138"/>
        <v/>
      </c>
      <c r="AF476" s="17" t="str">
        <f t="shared" si="139"/>
        <v/>
      </c>
      <c r="AG476" s="17" t="str">
        <f t="shared" si="140"/>
        <v/>
      </c>
      <c r="AH476" s="17">
        <f t="shared" si="141"/>
        <v>0</v>
      </c>
      <c r="AI476" s="17" t="str">
        <f t="shared" ca="1" si="142"/>
        <v/>
      </c>
      <c r="AJ476" s="17" t="str">
        <f t="shared" ca="1" si="143"/>
        <v/>
      </c>
      <c r="AK476" s="17" t="str">
        <f t="shared" si="144"/>
        <v/>
      </c>
      <c r="AL476" s="17" t="str">
        <f t="shared" ca="1" si="145"/>
        <v/>
      </c>
      <c r="AN476" s="24">
        <f t="shared" si="146"/>
        <v>0</v>
      </c>
      <c r="AO476" s="24">
        <f t="shared" si="147"/>
        <v>0</v>
      </c>
      <c r="AP476" s="24">
        <f t="shared" si="148"/>
        <v>0</v>
      </c>
      <c r="AQ476" s="24">
        <f t="shared" si="149"/>
        <v>0</v>
      </c>
      <c r="AR476" s="24">
        <f t="shared" si="150"/>
        <v>0</v>
      </c>
      <c r="AS476" s="24">
        <f t="shared" si="151"/>
        <v>0</v>
      </c>
    </row>
    <row r="477" spans="1:45" x14ac:dyDescent="0.25">
      <c r="A477" s="83"/>
      <c r="B477" s="83"/>
      <c r="C477" s="83"/>
      <c r="D477" s="15"/>
      <c r="E477" s="15"/>
      <c r="F477" s="83"/>
      <c r="G477" s="83"/>
      <c r="H477" s="16"/>
      <c r="I477" s="83"/>
      <c r="J477" s="83"/>
      <c r="K477" s="16"/>
      <c r="L477" s="15"/>
      <c r="M477" s="20"/>
      <c r="N477" s="15"/>
      <c r="O477" s="20"/>
      <c r="P477" s="15"/>
      <c r="Q477" s="15"/>
      <c r="R477" s="17" t="str">
        <f>IF(Q477="","",VLOOKUP(Q477,'References (2)'!C:D,2,0))</f>
        <v/>
      </c>
      <c r="S477" s="17" t="str">
        <f>IF(Q477="","",VLOOKUP(Q477,'References (2)'!C:F,4,0))</f>
        <v/>
      </c>
      <c r="T477" s="16"/>
      <c r="U477" s="20"/>
      <c r="V477" s="15"/>
      <c r="W477" s="22"/>
      <c r="X477" s="16"/>
      <c r="Y477" s="22"/>
      <c r="Z477" s="25" t="str">
        <f t="shared" si="133"/>
        <v/>
      </c>
      <c r="AA477" s="17" t="str">
        <f t="shared" ca="1" si="134"/>
        <v/>
      </c>
      <c r="AB477" s="17" t="str">
        <f t="shared" ca="1" si="135"/>
        <v/>
      </c>
      <c r="AC477" s="17" t="str">
        <f t="shared" ca="1" si="136"/>
        <v/>
      </c>
      <c r="AD477" s="17" t="str">
        <f t="shared" ca="1" si="137"/>
        <v/>
      </c>
      <c r="AE477" s="17" t="str">
        <f t="shared" si="138"/>
        <v/>
      </c>
      <c r="AF477" s="17" t="str">
        <f t="shared" si="139"/>
        <v/>
      </c>
      <c r="AG477" s="17" t="str">
        <f t="shared" si="140"/>
        <v/>
      </c>
      <c r="AH477" s="17">
        <f t="shared" si="141"/>
        <v>0</v>
      </c>
      <c r="AI477" s="17" t="str">
        <f t="shared" ca="1" si="142"/>
        <v/>
      </c>
      <c r="AJ477" s="17" t="str">
        <f t="shared" ca="1" si="143"/>
        <v/>
      </c>
      <c r="AK477" s="17" t="str">
        <f t="shared" si="144"/>
        <v/>
      </c>
      <c r="AL477" s="17" t="str">
        <f t="shared" ca="1" si="145"/>
        <v/>
      </c>
      <c r="AN477" s="24">
        <f t="shared" si="146"/>
        <v>0</v>
      </c>
      <c r="AO477" s="24">
        <f t="shared" si="147"/>
        <v>0</v>
      </c>
      <c r="AP477" s="24">
        <f t="shared" si="148"/>
        <v>0</v>
      </c>
      <c r="AQ477" s="24">
        <f t="shared" si="149"/>
        <v>0</v>
      </c>
      <c r="AR477" s="24">
        <f t="shared" si="150"/>
        <v>0</v>
      </c>
      <c r="AS477" s="24">
        <f t="shared" si="151"/>
        <v>0</v>
      </c>
    </row>
    <row r="478" spans="1:45" x14ac:dyDescent="0.25">
      <c r="A478" s="83"/>
      <c r="B478" s="83"/>
      <c r="C478" s="83"/>
      <c r="D478" s="15"/>
      <c r="E478" s="15"/>
      <c r="F478" s="83"/>
      <c r="G478" s="83"/>
      <c r="H478" s="16"/>
      <c r="I478" s="83"/>
      <c r="J478" s="83"/>
      <c r="K478" s="16"/>
      <c r="L478" s="15"/>
      <c r="M478" s="20"/>
      <c r="N478" s="15"/>
      <c r="O478" s="20"/>
      <c r="P478" s="15"/>
      <c r="Q478" s="15"/>
      <c r="R478" s="17" t="str">
        <f>IF(Q478="","",VLOOKUP(Q478,'References (2)'!C:D,2,0))</f>
        <v/>
      </c>
      <c r="S478" s="17" t="str">
        <f>IF(Q478="","",VLOOKUP(Q478,'References (2)'!C:F,4,0))</f>
        <v/>
      </c>
      <c r="T478" s="16"/>
      <c r="U478" s="20"/>
      <c r="V478" s="15"/>
      <c r="W478" s="22"/>
      <c r="X478" s="16"/>
      <c r="Y478" s="22"/>
      <c r="Z478" s="25" t="str">
        <f t="shared" si="133"/>
        <v/>
      </c>
      <c r="AA478" s="17" t="str">
        <f t="shared" ca="1" si="134"/>
        <v/>
      </c>
      <c r="AB478" s="17" t="str">
        <f t="shared" ca="1" si="135"/>
        <v/>
      </c>
      <c r="AC478" s="17" t="str">
        <f t="shared" ca="1" si="136"/>
        <v/>
      </c>
      <c r="AD478" s="17" t="str">
        <f t="shared" ca="1" si="137"/>
        <v/>
      </c>
      <c r="AE478" s="17" t="str">
        <f t="shared" si="138"/>
        <v/>
      </c>
      <c r="AF478" s="17" t="str">
        <f t="shared" si="139"/>
        <v/>
      </c>
      <c r="AG478" s="17" t="str">
        <f t="shared" si="140"/>
        <v/>
      </c>
      <c r="AH478" s="17">
        <f t="shared" si="141"/>
        <v>0</v>
      </c>
      <c r="AI478" s="17" t="str">
        <f t="shared" ca="1" si="142"/>
        <v/>
      </c>
      <c r="AJ478" s="17" t="str">
        <f t="shared" ca="1" si="143"/>
        <v/>
      </c>
      <c r="AK478" s="17" t="str">
        <f t="shared" si="144"/>
        <v/>
      </c>
      <c r="AL478" s="17" t="str">
        <f t="shared" ca="1" si="145"/>
        <v/>
      </c>
      <c r="AN478" s="24">
        <f t="shared" si="146"/>
        <v>0</v>
      </c>
      <c r="AO478" s="24">
        <f t="shared" si="147"/>
        <v>0</v>
      </c>
      <c r="AP478" s="24">
        <f t="shared" si="148"/>
        <v>0</v>
      </c>
      <c r="AQ478" s="24">
        <f t="shared" si="149"/>
        <v>0</v>
      </c>
      <c r="AR478" s="24">
        <f t="shared" si="150"/>
        <v>0</v>
      </c>
      <c r="AS478" s="24">
        <f t="shared" si="151"/>
        <v>0</v>
      </c>
    </row>
    <row r="479" spans="1:45" x14ac:dyDescent="0.25">
      <c r="A479" s="83"/>
      <c r="B479" s="83"/>
      <c r="C479" s="83"/>
      <c r="D479" s="15"/>
      <c r="E479" s="15"/>
      <c r="F479" s="83"/>
      <c r="G479" s="83"/>
      <c r="H479" s="16"/>
      <c r="I479" s="83"/>
      <c r="J479" s="83"/>
      <c r="K479" s="16"/>
      <c r="L479" s="15"/>
      <c r="M479" s="20"/>
      <c r="N479" s="15"/>
      <c r="O479" s="20"/>
      <c r="P479" s="15"/>
      <c r="Q479" s="15"/>
      <c r="R479" s="17" t="str">
        <f>IF(Q479="","",VLOOKUP(Q479,'References (2)'!C:D,2,0))</f>
        <v/>
      </c>
      <c r="S479" s="17" t="str">
        <f>IF(Q479="","",VLOOKUP(Q479,'References (2)'!C:F,4,0))</f>
        <v/>
      </c>
      <c r="T479" s="16"/>
      <c r="U479" s="20"/>
      <c r="V479" s="15"/>
      <c r="W479" s="22"/>
      <c r="X479" s="16"/>
      <c r="Y479" s="22"/>
      <c r="Z479" s="25" t="str">
        <f t="shared" si="133"/>
        <v/>
      </c>
      <c r="AA479" s="17" t="str">
        <f t="shared" ca="1" si="134"/>
        <v/>
      </c>
      <c r="AB479" s="17" t="str">
        <f t="shared" ca="1" si="135"/>
        <v/>
      </c>
      <c r="AC479" s="17" t="str">
        <f t="shared" ca="1" si="136"/>
        <v/>
      </c>
      <c r="AD479" s="17" t="str">
        <f t="shared" ca="1" si="137"/>
        <v/>
      </c>
      <c r="AE479" s="17" t="str">
        <f t="shared" si="138"/>
        <v/>
      </c>
      <c r="AF479" s="17" t="str">
        <f t="shared" si="139"/>
        <v/>
      </c>
      <c r="AG479" s="17" t="str">
        <f t="shared" si="140"/>
        <v/>
      </c>
      <c r="AH479" s="17">
        <f t="shared" si="141"/>
        <v>0</v>
      </c>
      <c r="AI479" s="17" t="str">
        <f t="shared" ca="1" si="142"/>
        <v/>
      </c>
      <c r="AJ479" s="17" t="str">
        <f t="shared" ca="1" si="143"/>
        <v/>
      </c>
      <c r="AK479" s="17" t="str">
        <f t="shared" si="144"/>
        <v/>
      </c>
      <c r="AL479" s="17" t="str">
        <f t="shared" ca="1" si="145"/>
        <v/>
      </c>
      <c r="AN479" s="24">
        <f t="shared" si="146"/>
        <v>0</v>
      </c>
      <c r="AO479" s="24">
        <f t="shared" si="147"/>
        <v>0</v>
      </c>
      <c r="AP479" s="24">
        <f t="shared" si="148"/>
        <v>0</v>
      </c>
      <c r="AQ479" s="24">
        <f t="shared" si="149"/>
        <v>0</v>
      </c>
      <c r="AR479" s="24">
        <f t="shared" si="150"/>
        <v>0</v>
      </c>
      <c r="AS479" s="24">
        <f t="shared" si="151"/>
        <v>0</v>
      </c>
    </row>
    <row r="480" spans="1:45" x14ac:dyDescent="0.25">
      <c r="A480" s="83"/>
      <c r="B480" s="83"/>
      <c r="C480" s="83"/>
      <c r="D480" s="15"/>
      <c r="E480" s="15"/>
      <c r="F480" s="83"/>
      <c r="G480" s="83"/>
      <c r="H480" s="16"/>
      <c r="I480" s="83"/>
      <c r="J480" s="83"/>
      <c r="K480" s="16"/>
      <c r="L480" s="15"/>
      <c r="M480" s="20"/>
      <c r="N480" s="15"/>
      <c r="O480" s="20"/>
      <c r="P480" s="15"/>
      <c r="Q480" s="15"/>
      <c r="R480" s="17" t="str">
        <f>IF(Q480="","",VLOOKUP(Q480,'References (2)'!C:D,2,0))</f>
        <v/>
      </c>
      <c r="S480" s="17" t="str">
        <f>IF(Q480="","",VLOOKUP(Q480,'References (2)'!C:F,4,0))</f>
        <v/>
      </c>
      <c r="T480" s="16"/>
      <c r="U480" s="20"/>
      <c r="V480" s="15"/>
      <c r="W480" s="22"/>
      <c r="X480" s="16"/>
      <c r="Y480" s="22"/>
      <c r="Z480" s="25" t="str">
        <f t="shared" si="133"/>
        <v/>
      </c>
      <c r="AA480" s="17" t="str">
        <f t="shared" ca="1" si="134"/>
        <v/>
      </c>
      <c r="AB480" s="17" t="str">
        <f t="shared" ca="1" si="135"/>
        <v/>
      </c>
      <c r="AC480" s="17" t="str">
        <f t="shared" ca="1" si="136"/>
        <v/>
      </c>
      <c r="AD480" s="17" t="str">
        <f t="shared" ca="1" si="137"/>
        <v/>
      </c>
      <c r="AE480" s="17" t="str">
        <f t="shared" si="138"/>
        <v/>
      </c>
      <c r="AF480" s="17" t="str">
        <f t="shared" si="139"/>
        <v/>
      </c>
      <c r="AG480" s="17" t="str">
        <f t="shared" si="140"/>
        <v/>
      </c>
      <c r="AH480" s="17">
        <f t="shared" si="141"/>
        <v>0</v>
      </c>
      <c r="AI480" s="17" t="str">
        <f t="shared" ca="1" si="142"/>
        <v/>
      </c>
      <c r="AJ480" s="17" t="str">
        <f t="shared" ca="1" si="143"/>
        <v/>
      </c>
      <c r="AK480" s="17" t="str">
        <f t="shared" si="144"/>
        <v/>
      </c>
      <c r="AL480" s="17" t="str">
        <f t="shared" ca="1" si="145"/>
        <v/>
      </c>
      <c r="AN480" s="24">
        <f t="shared" si="146"/>
        <v>0</v>
      </c>
      <c r="AO480" s="24">
        <f t="shared" si="147"/>
        <v>0</v>
      </c>
      <c r="AP480" s="24">
        <f t="shared" si="148"/>
        <v>0</v>
      </c>
      <c r="AQ480" s="24">
        <f t="shared" si="149"/>
        <v>0</v>
      </c>
      <c r="AR480" s="24">
        <f t="shared" si="150"/>
        <v>0</v>
      </c>
      <c r="AS480" s="24">
        <f t="shared" si="151"/>
        <v>0</v>
      </c>
    </row>
    <row r="481" spans="1:45" x14ac:dyDescent="0.25">
      <c r="A481" s="83"/>
      <c r="B481" s="83"/>
      <c r="C481" s="83"/>
      <c r="D481" s="15"/>
      <c r="E481" s="15"/>
      <c r="F481" s="83"/>
      <c r="G481" s="83"/>
      <c r="H481" s="16"/>
      <c r="I481" s="83"/>
      <c r="J481" s="83"/>
      <c r="K481" s="16"/>
      <c r="L481" s="15"/>
      <c r="M481" s="20"/>
      <c r="N481" s="15"/>
      <c r="O481" s="20"/>
      <c r="P481" s="15"/>
      <c r="Q481" s="15"/>
      <c r="R481" s="17" t="str">
        <f>IF(Q481="","",VLOOKUP(Q481,'References (2)'!C:D,2,0))</f>
        <v/>
      </c>
      <c r="S481" s="17" t="str">
        <f>IF(Q481="","",VLOOKUP(Q481,'References (2)'!C:F,4,0))</f>
        <v/>
      </c>
      <c r="T481" s="16"/>
      <c r="U481" s="20"/>
      <c r="V481" s="15"/>
      <c r="W481" s="22"/>
      <c r="X481" s="16"/>
      <c r="Y481" s="22"/>
      <c r="Z481" s="25" t="str">
        <f t="shared" si="133"/>
        <v/>
      </c>
      <c r="AA481" s="17" t="str">
        <f t="shared" ca="1" si="134"/>
        <v/>
      </c>
      <c r="AB481" s="17" t="str">
        <f t="shared" ca="1" si="135"/>
        <v/>
      </c>
      <c r="AC481" s="17" t="str">
        <f t="shared" ca="1" si="136"/>
        <v/>
      </c>
      <c r="AD481" s="17" t="str">
        <f t="shared" ca="1" si="137"/>
        <v/>
      </c>
      <c r="AE481" s="17" t="str">
        <f t="shared" si="138"/>
        <v/>
      </c>
      <c r="AF481" s="17" t="str">
        <f t="shared" si="139"/>
        <v/>
      </c>
      <c r="AG481" s="17" t="str">
        <f t="shared" si="140"/>
        <v/>
      </c>
      <c r="AH481" s="17">
        <f t="shared" si="141"/>
        <v>0</v>
      </c>
      <c r="AI481" s="17" t="str">
        <f t="shared" ca="1" si="142"/>
        <v/>
      </c>
      <c r="AJ481" s="17" t="str">
        <f t="shared" ca="1" si="143"/>
        <v/>
      </c>
      <c r="AK481" s="17" t="str">
        <f t="shared" si="144"/>
        <v/>
      </c>
      <c r="AL481" s="17" t="str">
        <f t="shared" ca="1" si="145"/>
        <v/>
      </c>
      <c r="AN481" s="24">
        <f t="shared" si="146"/>
        <v>0</v>
      </c>
      <c r="AO481" s="24">
        <f t="shared" si="147"/>
        <v>0</v>
      </c>
      <c r="AP481" s="24">
        <f t="shared" si="148"/>
        <v>0</v>
      </c>
      <c r="AQ481" s="24">
        <f t="shared" si="149"/>
        <v>0</v>
      </c>
      <c r="AR481" s="24">
        <f t="shared" si="150"/>
        <v>0</v>
      </c>
      <c r="AS481" s="24">
        <f t="shared" si="151"/>
        <v>0</v>
      </c>
    </row>
    <row r="482" spans="1:45" x14ac:dyDescent="0.25">
      <c r="A482" s="83"/>
      <c r="B482" s="83"/>
      <c r="C482" s="83"/>
      <c r="D482" s="15"/>
      <c r="E482" s="15"/>
      <c r="F482" s="83"/>
      <c r="G482" s="83"/>
      <c r="H482" s="16"/>
      <c r="I482" s="83"/>
      <c r="J482" s="83"/>
      <c r="K482" s="16"/>
      <c r="L482" s="15"/>
      <c r="M482" s="20"/>
      <c r="N482" s="15"/>
      <c r="O482" s="20"/>
      <c r="P482" s="15"/>
      <c r="Q482" s="15"/>
      <c r="R482" s="17" t="str">
        <f>IF(Q482="","",VLOOKUP(Q482,'References (2)'!C:D,2,0))</f>
        <v/>
      </c>
      <c r="S482" s="17" t="str">
        <f>IF(Q482="","",VLOOKUP(Q482,'References (2)'!C:F,4,0))</f>
        <v/>
      </c>
      <c r="T482" s="16"/>
      <c r="U482" s="20"/>
      <c r="V482" s="15"/>
      <c r="W482" s="22"/>
      <c r="X482" s="16"/>
      <c r="Y482" s="22"/>
      <c r="Z482" s="25" t="str">
        <f t="shared" si="133"/>
        <v/>
      </c>
      <c r="AA482" s="17" t="str">
        <f t="shared" ca="1" si="134"/>
        <v/>
      </c>
      <c r="AB482" s="17" t="str">
        <f t="shared" ca="1" si="135"/>
        <v/>
      </c>
      <c r="AC482" s="17" t="str">
        <f t="shared" ca="1" si="136"/>
        <v/>
      </c>
      <c r="AD482" s="17" t="str">
        <f t="shared" ca="1" si="137"/>
        <v/>
      </c>
      <c r="AE482" s="17" t="str">
        <f t="shared" si="138"/>
        <v/>
      </c>
      <c r="AF482" s="17" t="str">
        <f t="shared" si="139"/>
        <v/>
      </c>
      <c r="AG482" s="17" t="str">
        <f t="shared" si="140"/>
        <v/>
      </c>
      <c r="AH482" s="17">
        <f t="shared" si="141"/>
        <v>0</v>
      </c>
      <c r="AI482" s="17" t="str">
        <f t="shared" ca="1" si="142"/>
        <v/>
      </c>
      <c r="AJ482" s="17" t="str">
        <f t="shared" ca="1" si="143"/>
        <v/>
      </c>
      <c r="AK482" s="17" t="str">
        <f t="shared" si="144"/>
        <v/>
      </c>
      <c r="AL482" s="17" t="str">
        <f t="shared" ca="1" si="145"/>
        <v/>
      </c>
      <c r="AN482" s="24">
        <f t="shared" si="146"/>
        <v>0</v>
      </c>
      <c r="AO482" s="24">
        <f t="shared" si="147"/>
        <v>0</v>
      </c>
      <c r="AP482" s="24">
        <f t="shared" si="148"/>
        <v>0</v>
      </c>
      <c r="AQ482" s="24">
        <f t="shared" si="149"/>
        <v>0</v>
      </c>
      <c r="AR482" s="24">
        <f t="shared" si="150"/>
        <v>0</v>
      </c>
      <c r="AS482" s="24">
        <f t="shared" si="151"/>
        <v>0</v>
      </c>
    </row>
    <row r="483" spans="1:45" x14ac:dyDescent="0.25">
      <c r="A483" s="83"/>
      <c r="B483" s="83"/>
      <c r="C483" s="83"/>
      <c r="D483" s="15"/>
      <c r="E483" s="15"/>
      <c r="F483" s="83"/>
      <c r="G483" s="83"/>
      <c r="H483" s="16"/>
      <c r="I483" s="83"/>
      <c r="J483" s="83"/>
      <c r="K483" s="16"/>
      <c r="L483" s="15"/>
      <c r="M483" s="20"/>
      <c r="N483" s="15"/>
      <c r="O483" s="20"/>
      <c r="P483" s="15"/>
      <c r="Q483" s="15"/>
      <c r="R483" s="17" t="str">
        <f>IF(Q483="","",VLOOKUP(Q483,'References (2)'!C:D,2,0))</f>
        <v/>
      </c>
      <c r="S483" s="17" t="str">
        <f>IF(Q483="","",VLOOKUP(Q483,'References (2)'!C:F,4,0))</f>
        <v/>
      </c>
      <c r="T483" s="16"/>
      <c r="U483" s="20"/>
      <c r="V483" s="15"/>
      <c r="W483" s="22"/>
      <c r="X483" s="16"/>
      <c r="Y483" s="22"/>
      <c r="Z483" s="25" t="str">
        <f t="shared" si="133"/>
        <v/>
      </c>
      <c r="AA483" s="17" t="str">
        <f t="shared" ca="1" si="134"/>
        <v/>
      </c>
      <c r="AB483" s="17" t="str">
        <f t="shared" ca="1" si="135"/>
        <v/>
      </c>
      <c r="AC483" s="17" t="str">
        <f t="shared" ca="1" si="136"/>
        <v/>
      </c>
      <c r="AD483" s="17" t="str">
        <f t="shared" ca="1" si="137"/>
        <v/>
      </c>
      <c r="AE483" s="17" t="str">
        <f t="shared" si="138"/>
        <v/>
      </c>
      <c r="AF483" s="17" t="str">
        <f t="shared" si="139"/>
        <v/>
      </c>
      <c r="AG483" s="17" t="str">
        <f t="shared" si="140"/>
        <v/>
      </c>
      <c r="AH483" s="17">
        <f t="shared" si="141"/>
        <v>0</v>
      </c>
      <c r="AI483" s="17" t="str">
        <f t="shared" ca="1" si="142"/>
        <v/>
      </c>
      <c r="AJ483" s="17" t="str">
        <f t="shared" ca="1" si="143"/>
        <v/>
      </c>
      <c r="AK483" s="17" t="str">
        <f t="shared" si="144"/>
        <v/>
      </c>
      <c r="AL483" s="17" t="str">
        <f t="shared" ca="1" si="145"/>
        <v/>
      </c>
      <c r="AN483" s="24">
        <f t="shared" si="146"/>
        <v>0</v>
      </c>
      <c r="AO483" s="24">
        <f t="shared" si="147"/>
        <v>0</v>
      </c>
      <c r="AP483" s="24">
        <f t="shared" si="148"/>
        <v>0</v>
      </c>
      <c r="AQ483" s="24">
        <f t="shared" si="149"/>
        <v>0</v>
      </c>
      <c r="AR483" s="24">
        <f t="shared" si="150"/>
        <v>0</v>
      </c>
      <c r="AS483" s="24">
        <f t="shared" si="151"/>
        <v>0</v>
      </c>
    </row>
    <row r="484" spans="1:45" x14ac:dyDescent="0.25">
      <c r="A484" s="83"/>
      <c r="B484" s="83"/>
      <c r="C484" s="83"/>
      <c r="D484" s="15"/>
      <c r="E484" s="15"/>
      <c r="F484" s="83"/>
      <c r="G484" s="83"/>
      <c r="H484" s="16"/>
      <c r="I484" s="83"/>
      <c r="J484" s="83"/>
      <c r="K484" s="16"/>
      <c r="L484" s="15"/>
      <c r="M484" s="20"/>
      <c r="N484" s="15"/>
      <c r="O484" s="20"/>
      <c r="P484" s="15"/>
      <c r="Q484" s="15"/>
      <c r="R484" s="17" t="str">
        <f>IF(Q484="","",VLOOKUP(Q484,'References (2)'!C:D,2,0))</f>
        <v/>
      </c>
      <c r="S484" s="17" t="str">
        <f>IF(Q484="","",VLOOKUP(Q484,'References (2)'!C:F,4,0))</f>
        <v/>
      </c>
      <c r="T484" s="16"/>
      <c r="U484" s="20"/>
      <c r="V484" s="15"/>
      <c r="W484" s="22"/>
      <c r="X484" s="16"/>
      <c r="Y484" s="22"/>
      <c r="Z484" s="25" t="str">
        <f t="shared" si="133"/>
        <v/>
      </c>
      <c r="AA484" s="17" t="str">
        <f t="shared" ca="1" si="134"/>
        <v/>
      </c>
      <c r="AB484" s="17" t="str">
        <f t="shared" ca="1" si="135"/>
        <v/>
      </c>
      <c r="AC484" s="17" t="str">
        <f t="shared" ca="1" si="136"/>
        <v/>
      </c>
      <c r="AD484" s="17" t="str">
        <f t="shared" ca="1" si="137"/>
        <v/>
      </c>
      <c r="AE484" s="17" t="str">
        <f t="shared" si="138"/>
        <v/>
      </c>
      <c r="AF484" s="17" t="str">
        <f t="shared" si="139"/>
        <v/>
      </c>
      <c r="AG484" s="17" t="str">
        <f t="shared" si="140"/>
        <v/>
      </c>
      <c r="AH484" s="17">
        <f t="shared" si="141"/>
        <v>0</v>
      </c>
      <c r="AI484" s="17" t="str">
        <f t="shared" ca="1" si="142"/>
        <v/>
      </c>
      <c r="AJ484" s="17" t="str">
        <f t="shared" ca="1" si="143"/>
        <v/>
      </c>
      <c r="AK484" s="17" t="str">
        <f t="shared" si="144"/>
        <v/>
      </c>
      <c r="AL484" s="17" t="str">
        <f t="shared" ca="1" si="145"/>
        <v/>
      </c>
      <c r="AN484" s="24">
        <f t="shared" si="146"/>
        <v>0</v>
      </c>
      <c r="AO484" s="24">
        <f t="shared" si="147"/>
        <v>0</v>
      </c>
      <c r="AP484" s="24">
        <f t="shared" si="148"/>
        <v>0</v>
      </c>
      <c r="AQ484" s="24">
        <f t="shared" si="149"/>
        <v>0</v>
      </c>
      <c r="AR484" s="24">
        <f t="shared" si="150"/>
        <v>0</v>
      </c>
      <c r="AS484" s="24">
        <f t="shared" si="151"/>
        <v>0</v>
      </c>
    </row>
    <row r="485" spans="1:45" x14ac:dyDescent="0.25">
      <c r="A485" s="83"/>
      <c r="B485" s="83"/>
      <c r="C485" s="83"/>
      <c r="D485" s="15"/>
      <c r="E485" s="15"/>
      <c r="F485" s="83"/>
      <c r="G485" s="83"/>
      <c r="H485" s="16"/>
      <c r="I485" s="83"/>
      <c r="J485" s="83"/>
      <c r="K485" s="16"/>
      <c r="L485" s="15"/>
      <c r="M485" s="20"/>
      <c r="N485" s="15"/>
      <c r="O485" s="20"/>
      <c r="P485" s="15"/>
      <c r="Q485" s="15"/>
      <c r="R485" s="17" t="str">
        <f>IF(Q485="","",VLOOKUP(Q485,'References (2)'!C:D,2,0))</f>
        <v/>
      </c>
      <c r="S485" s="17" t="str">
        <f>IF(Q485="","",VLOOKUP(Q485,'References (2)'!C:F,4,0))</f>
        <v/>
      </c>
      <c r="T485" s="16"/>
      <c r="U485" s="20"/>
      <c r="V485" s="15"/>
      <c r="W485" s="22"/>
      <c r="X485" s="16"/>
      <c r="Y485" s="22"/>
      <c r="Z485" s="25" t="str">
        <f t="shared" si="133"/>
        <v/>
      </c>
      <c r="AA485" s="17" t="str">
        <f t="shared" ca="1" si="134"/>
        <v/>
      </c>
      <c r="AB485" s="17" t="str">
        <f t="shared" ca="1" si="135"/>
        <v/>
      </c>
      <c r="AC485" s="17" t="str">
        <f t="shared" ca="1" si="136"/>
        <v/>
      </c>
      <c r="AD485" s="17" t="str">
        <f t="shared" ca="1" si="137"/>
        <v/>
      </c>
      <c r="AE485" s="17" t="str">
        <f t="shared" si="138"/>
        <v/>
      </c>
      <c r="AF485" s="17" t="str">
        <f t="shared" si="139"/>
        <v/>
      </c>
      <c r="AG485" s="17" t="str">
        <f t="shared" si="140"/>
        <v/>
      </c>
      <c r="AH485" s="17">
        <f t="shared" si="141"/>
        <v>0</v>
      </c>
      <c r="AI485" s="17" t="str">
        <f t="shared" ca="1" si="142"/>
        <v/>
      </c>
      <c r="AJ485" s="17" t="str">
        <f t="shared" ca="1" si="143"/>
        <v/>
      </c>
      <c r="AK485" s="17" t="str">
        <f t="shared" si="144"/>
        <v/>
      </c>
      <c r="AL485" s="17" t="str">
        <f t="shared" ca="1" si="145"/>
        <v/>
      </c>
      <c r="AN485" s="24">
        <f t="shared" si="146"/>
        <v>0</v>
      </c>
      <c r="AO485" s="24">
        <f t="shared" si="147"/>
        <v>0</v>
      </c>
      <c r="AP485" s="24">
        <f t="shared" si="148"/>
        <v>0</v>
      </c>
      <c r="AQ485" s="24">
        <f t="shared" si="149"/>
        <v>0</v>
      </c>
      <c r="AR485" s="24">
        <f t="shared" si="150"/>
        <v>0</v>
      </c>
      <c r="AS485" s="24">
        <f t="shared" si="151"/>
        <v>0</v>
      </c>
    </row>
    <row r="486" spans="1:45" x14ac:dyDescent="0.25">
      <c r="A486" s="83"/>
      <c r="B486" s="83"/>
      <c r="C486" s="83"/>
      <c r="D486" s="15"/>
      <c r="E486" s="15"/>
      <c r="F486" s="83"/>
      <c r="G486" s="83"/>
      <c r="H486" s="16"/>
      <c r="I486" s="83"/>
      <c r="J486" s="83"/>
      <c r="K486" s="16"/>
      <c r="L486" s="15"/>
      <c r="M486" s="20"/>
      <c r="N486" s="15"/>
      <c r="O486" s="20"/>
      <c r="P486" s="15"/>
      <c r="Q486" s="15"/>
      <c r="R486" s="17" t="str">
        <f>IF(Q486="","",VLOOKUP(Q486,'References (2)'!C:D,2,0))</f>
        <v/>
      </c>
      <c r="S486" s="17" t="str">
        <f>IF(Q486="","",VLOOKUP(Q486,'References (2)'!C:F,4,0))</f>
        <v/>
      </c>
      <c r="T486" s="16"/>
      <c r="U486" s="20"/>
      <c r="V486" s="15"/>
      <c r="W486" s="22"/>
      <c r="X486" s="16"/>
      <c r="Y486" s="22"/>
      <c r="Z486" s="25" t="str">
        <f t="shared" si="133"/>
        <v/>
      </c>
      <c r="AA486" s="17" t="str">
        <f t="shared" ca="1" si="134"/>
        <v/>
      </c>
      <c r="AB486" s="17" t="str">
        <f t="shared" ca="1" si="135"/>
        <v/>
      </c>
      <c r="AC486" s="17" t="str">
        <f t="shared" ca="1" si="136"/>
        <v/>
      </c>
      <c r="AD486" s="17" t="str">
        <f t="shared" ca="1" si="137"/>
        <v/>
      </c>
      <c r="AE486" s="17" t="str">
        <f t="shared" si="138"/>
        <v/>
      </c>
      <c r="AF486" s="17" t="str">
        <f t="shared" si="139"/>
        <v/>
      </c>
      <c r="AG486" s="17" t="str">
        <f t="shared" si="140"/>
        <v/>
      </c>
      <c r="AH486" s="17">
        <f t="shared" si="141"/>
        <v>0</v>
      </c>
      <c r="AI486" s="17" t="str">
        <f t="shared" ca="1" si="142"/>
        <v/>
      </c>
      <c r="AJ486" s="17" t="str">
        <f t="shared" ca="1" si="143"/>
        <v/>
      </c>
      <c r="AK486" s="17" t="str">
        <f t="shared" si="144"/>
        <v/>
      </c>
      <c r="AL486" s="17" t="str">
        <f t="shared" ca="1" si="145"/>
        <v/>
      </c>
      <c r="AN486" s="24">
        <f t="shared" si="146"/>
        <v>0</v>
      </c>
      <c r="AO486" s="24">
        <f t="shared" si="147"/>
        <v>0</v>
      </c>
      <c r="AP486" s="24">
        <f t="shared" si="148"/>
        <v>0</v>
      </c>
      <c r="AQ486" s="24">
        <f t="shared" si="149"/>
        <v>0</v>
      </c>
      <c r="AR486" s="24">
        <f t="shared" si="150"/>
        <v>0</v>
      </c>
      <c r="AS486" s="24">
        <f t="shared" si="151"/>
        <v>0</v>
      </c>
    </row>
    <row r="487" spans="1:45" x14ac:dyDescent="0.25">
      <c r="A487" s="83"/>
      <c r="B487" s="83"/>
      <c r="C487" s="83"/>
      <c r="D487" s="15"/>
      <c r="E487" s="15"/>
      <c r="F487" s="83"/>
      <c r="G487" s="83"/>
      <c r="H487" s="16"/>
      <c r="I487" s="83"/>
      <c r="J487" s="83"/>
      <c r="K487" s="16"/>
      <c r="L487" s="15"/>
      <c r="M487" s="20"/>
      <c r="N487" s="15"/>
      <c r="O487" s="20"/>
      <c r="P487" s="15"/>
      <c r="Q487" s="15"/>
      <c r="R487" s="17" t="str">
        <f>IF(Q487="","",VLOOKUP(Q487,'References (2)'!C:D,2,0))</f>
        <v/>
      </c>
      <c r="S487" s="17" t="str">
        <f>IF(Q487="","",VLOOKUP(Q487,'References (2)'!C:F,4,0))</f>
        <v/>
      </c>
      <c r="T487" s="16"/>
      <c r="U487" s="20"/>
      <c r="V487" s="15"/>
      <c r="W487" s="22"/>
      <c r="X487" s="16"/>
      <c r="Y487" s="22"/>
      <c r="Z487" s="25" t="str">
        <f t="shared" si="133"/>
        <v/>
      </c>
      <c r="AA487" s="17" t="str">
        <f t="shared" ca="1" si="134"/>
        <v/>
      </c>
      <c r="AB487" s="17" t="str">
        <f t="shared" ca="1" si="135"/>
        <v/>
      </c>
      <c r="AC487" s="17" t="str">
        <f t="shared" ca="1" si="136"/>
        <v/>
      </c>
      <c r="AD487" s="17" t="str">
        <f t="shared" ca="1" si="137"/>
        <v/>
      </c>
      <c r="AE487" s="17" t="str">
        <f t="shared" si="138"/>
        <v/>
      </c>
      <c r="AF487" s="17" t="str">
        <f t="shared" si="139"/>
        <v/>
      </c>
      <c r="AG487" s="17" t="str">
        <f t="shared" si="140"/>
        <v/>
      </c>
      <c r="AH487" s="17">
        <f t="shared" si="141"/>
        <v>0</v>
      </c>
      <c r="AI487" s="17" t="str">
        <f t="shared" ca="1" si="142"/>
        <v/>
      </c>
      <c r="AJ487" s="17" t="str">
        <f t="shared" ca="1" si="143"/>
        <v/>
      </c>
      <c r="AK487" s="17" t="str">
        <f t="shared" si="144"/>
        <v/>
      </c>
      <c r="AL487" s="17" t="str">
        <f t="shared" ca="1" si="145"/>
        <v/>
      </c>
      <c r="AN487" s="24">
        <f t="shared" si="146"/>
        <v>0</v>
      </c>
      <c r="AO487" s="24">
        <f t="shared" si="147"/>
        <v>0</v>
      </c>
      <c r="AP487" s="24">
        <f t="shared" si="148"/>
        <v>0</v>
      </c>
      <c r="AQ487" s="24">
        <f t="shared" si="149"/>
        <v>0</v>
      </c>
      <c r="AR487" s="24">
        <f t="shared" si="150"/>
        <v>0</v>
      </c>
      <c r="AS487" s="24">
        <f t="shared" si="151"/>
        <v>0</v>
      </c>
    </row>
    <row r="488" spans="1:45" x14ac:dyDescent="0.25">
      <c r="A488" s="83"/>
      <c r="B488" s="83"/>
      <c r="C488" s="83"/>
      <c r="D488" s="15"/>
      <c r="E488" s="15"/>
      <c r="F488" s="83"/>
      <c r="G488" s="83"/>
      <c r="H488" s="16"/>
      <c r="I488" s="83"/>
      <c r="J488" s="83"/>
      <c r="K488" s="16"/>
      <c r="L488" s="15"/>
      <c r="M488" s="20"/>
      <c r="N488" s="15"/>
      <c r="O488" s="20"/>
      <c r="P488" s="15"/>
      <c r="Q488" s="15"/>
      <c r="R488" s="17" t="str">
        <f>IF(Q488="","",VLOOKUP(Q488,'References (2)'!C:D,2,0))</f>
        <v/>
      </c>
      <c r="S488" s="17" t="str">
        <f>IF(Q488="","",VLOOKUP(Q488,'References (2)'!C:F,4,0))</f>
        <v/>
      </c>
      <c r="T488" s="16"/>
      <c r="U488" s="20"/>
      <c r="V488" s="15"/>
      <c r="W488" s="22"/>
      <c r="X488" s="16"/>
      <c r="Y488" s="22"/>
      <c r="Z488" s="25" t="str">
        <f t="shared" si="133"/>
        <v/>
      </c>
      <c r="AA488" s="17" t="str">
        <f t="shared" ca="1" si="134"/>
        <v/>
      </c>
      <c r="AB488" s="17" t="str">
        <f t="shared" ca="1" si="135"/>
        <v/>
      </c>
      <c r="AC488" s="17" t="str">
        <f t="shared" ca="1" si="136"/>
        <v/>
      </c>
      <c r="AD488" s="17" t="str">
        <f t="shared" ca="1" si="137"/>
        <v/>
      </c>
      <c r="AE488" s="17" t="str">
        <f t="shared" si="138"/>
        <v/>
      </c>
      <c r="AF488" s="17" t="str">
        <f t="shared" si="139"/>
        <v/>
      </c>
      <c r="AG488" s="17" t="str">
        <f t="shared" si="140"/>
        <v/>
      </c>
      <c r="AH488" s="17">
        <f t="shared" si="141"/>
        <v>0</v>
      </c>
      <c r="AI488" s="17" t="str">
        <f t="shared" ca="1" si="142"/>
        <v/>
      </c>
      <c r="AJ488" s="17" t="str">
        <f t="shared" ca="1" si="143"/>
        <v/>
      </c>
      <c r="AK488" s="17" t="str">
        <f t="shared" si="144"/>
        <v/>
      </c>
      <c r="AL488" s="17" t="str">
        <f t="shared" ca="1" si="145"/>
        <v/>
      </c>
      <c r="AN488" s="24">
        <f t="shared" si="146"/>
        <v>0</v>
      </c>
      <c r="AO488" s="24">
        <f t="shared" si="147"/>
        <v>0</v>
      </c>
      <c r="AP488" s="24">
        <f t="shared" si="148"/>
        <v>0</v>
      </c>
      <c r="AQ488" s="24">
        <f t="shared" si="149"/>
        <v>0</v>
      </c>
      <c r="AR488" s="24">
        <f t="shared" si="150"/>
        <v>0</v>
      </c>
      <c r="AS488" s="24">
        <f t="shared" si="151"/>
        <v>0</v>
      </c>
    </row>
    <row r="489" spans="1:45" x14ac:dyDescent="0.25">
      <c r="A489" s="83"/>
      <c r="B489" s="83"/>
      <c r="C489" s="83"/>
      <c r="D489" s="15"/>
      <c r="E489" s="15"/>
      <c r="F489" s="83"/>
      <c r="G489" s="83"/>
      <c r="H489" s="16"/>
      <c r="I489" s="83"/>
      <c r="J489" s="83"/>
      <c r="K489" s="16"/>
      <c r="L489" s="15"/>
      <c r="M489" s="20"/>
      <c r="N489" s="15"/>
      <c r="O489" s="20"/>
      <c r="P489" s="15"/>
      <c r="Q489" s="15"/>
      <c r="R489" s="17" t="str">
        <f>IF(Q489="","",VLOOKUP(Q489,'References (2)'!C:D,2,0))</f>
        <v/>
      </c>
      <c r="S489" s="17" t="str">
        <f>IF(Q489="","",VLOOKUP(Q489,'References (2)'!C:F,4,0))</f>
        <v/>
      </c>
      <c r="T489" s="16"/>
      <c r="U489" s="20"/>
      <c r="V489" s="15"/>
      <c r="W489" s="22"/>
      <c r="X489" s="16"/>
      <c r="Y489" s="22"/>
      <c r="Z489" s="25" t="str">
        <f t="shared" si="133"/>
        <v/>
      </c>
      <c r="AA489" s="17" t="str">
        <f t="shared" ca="1" si="134"/>
        <v/>
      </c>
      <c r="AB489" s="17" t="str">
        <f t="shared" ca="1" si="135"/>
        <v/>
      </c>
      <c r="AC489" s="17" t="str">
        <f t="shared" ca="1" si="136"/>
        <v/>
      </c>
      <c r="AD489" s="17" t="str">
        <f t="shared" ca="1" si="137"/>
        <v/>
      </c>
      <c r="AE489" s="17" t="str">
        <f t="shared" si="138"/>
        <v/>
      </c>
      <c r="AF489" s="17" t="str">
        <f t="shared" si="139"/>
        <v/>
      </c>
      <c r="AG489" s="17" t="str">
        <f t="shared" si="140"/>
        <v/>
      </c>
      <c r="AH489" s="17">
        <f t="shared" si="141"/>
        <v>0</v>
      </c>
      <c r="AI489" s="17" t="str">
        <f t="shared" ca="1" si="142"/>
        <v/>
      </c>
      <c r="AJ489" s="17" t="str">
        <f t="shared" ca="1" si="143"/>
        <v/>
      </c>
      <c r="AK489" s="17" t="str">
        <f t="shared" si="144"/>
        <v/>
      </c>
      <c r="AL489" s="17" t="str">
        <f t="shared" ca="1" si="145"/>
        <v/>
      </c>
      <c r="AN489" s="24">
        <f t="shared" si="146"/>
        <v>0</v>
      </c>
      <c r="AO489" s="24">
        <f t="shared" si="147"/>
        <v>0</v>
      </c>
      <c r="AP489" s="24">
        <f t="shared" si="148"/>
        <v>0</v>
      </c>
      <c r="AQ489" s="24">
        <f t="shared" si="149"/>
        <v>0</v>
      </c>
      <c r="AR489" s="24">
        <f t="shared" si="150"/>
        <v>0</v>
      </c>
      <c r="AS489" s="24">
        <f t="shared" si="151"/>
        <v>0</v>
      </c>
    </row>
    <row r="490" spans="1:45" x14ac:dyDescent="0.25">
      <c r="A490" s="83"/>
      <c r="B490" s="83"/>
      <c r="C490" s="83"/>
      <c r="D490" s="15"/>
      <c r="E490" s="15"/>
      <c r="F490" s="83"/>
      <c r="G490" s="83"/>
      <c r="H490" s="16"/>
      <c r="I490" s="83"/>
      <c r="J490" s="83"/>
      <c r="K490" s="16"/>
      <c r="L490" s="15"/>
      <c r="M490" s="20"/>
      <c r="N490" s="15"/>
      <c r="O490" s="20"/>
      <c r="P490" s="15"/>
      <c r="Q490" s="15"/>
      <c r="R490" s="17" t="str">
        <f>IF(Q490="","",VLOOKUP(Q490,'References (2)'!C:D,2,0))</f>
        <v/>
      </c>
      <c r="S490" s="17" t="str">
        <f>IF(Q490="","",VLOOKUP(Q490,'References (2)'!C:F,4,0))</f>
        <v/>
      </c>
      <c r="T490" s="16"/>
      <c r="U490" s="20"/>
      <c r="V490" s="15"/>
      <c r="W490" s="22"/>
      <c r="X490" s="16"/>
      <c r="Y490" s="22"/>
      <c r="Z490" s="25" t="str">
        <f t="shared" si="133"/>
        <v/>
      </c>
      <c r="AA490" s="17" t="str">
        <f t="shared" ca="1" si="134"/>
        <v/>
      </c>
      <c r="AB490" s="17" t="str">
        <f t="shared" ca="1" si="135"/>
        <v/>
      </c>
      <c r="AC490" s="17" t="str">
        <f t="shared" ca="1" si="136"/>
        <v/>
      </c>
      <c r="AD490" s="17" t="str">
        <f t="shared" ca="1" si="137"/>
        <v/>
      </c>
      <c r="AE490" s="17" t="str">
        <f t="shared" si="138"/>
        <v/>
      </c>
      <c r="AF490" s="17" t="str">
        <f t="shared" si="139"/>
        <v/>
      </c>
      <c r="AG490" s="17" t="str">
        <f t="shared" si="140"/>
        <v/>
      </c>
      <c r="AH490" s="17">
        <f t="shared" si="141"/>
        <v>0</v>
      </c>
      <c r="AI490" s="17" t="str">
        <f t="shared" ca="1" si="142"/>
        <v/>
      </c>
      <c r="AJ490" s="17" t="str">
        <f t="shared" ca="1" si="143"/>
        <v/>
      </c>
      <c r="AK490" s="17" t="str">
        <f t="shared" si="144"/>
        <v/>
      </c>
      <c r="AL490" s="17" t="str">
        <f t="shared" ca="1" si="145"/>
        <v/>
      </c>
      <c r="AN490" s="24">
        <f t="shared" si="146"/>
        <v>0</v>
      </c>
      <c r="AO490" s="24">
        <f t="shared" si="147"/>
        <v>0</v>
      </c>
      <c r="AP490" s="24">
        <f t="shared" si="148"/>
        <v>0</v>
      </c>
      <c r="AQ490" s="24">
        <f t="shared" si="149"/>
        <v>0</v>
      </c>
      <c r="AR490" s="24">
        <f t="shared" si="150"/>
        <v>0</v>
      </c>
      <c r="AS490" s="24">
        <f t="shared" si="151"/>
        <v>0</v>
      </c>
    </row>
    <row r="491" spans="1:45" x14ac:dyDescent="0.25">
      <c r="A491" s="83"/>
      <c r="B491" s="83"/>
      <c r="C491" s="83"/>
      <c r="D491" s="15"/>
      <c r="E491" s="15"/>
      <c r="F491" s="83"/>
      <c r="G491" s="83"/>
      <c r="H491" s="16"/>
      <c r="I491" s="83"/>
      <c r="J491" s="83"/>
      <c r="K491" s="16"/>
      <c r="L491" s="15"/>
      <c r="M491" s="20"/>
      <c r="N491" s="15"/>
      <c r="O491" s="20"/>
      <c r="P491" s="15"/>
      <c r="Q491" s="15"/>
      <c r="R491" s="17" t="str">
        <f>IF(Q491="","",VLOOKUP(Q491,'References (2)'!C:D,2,0))</f>
        <v/>
      </c>
      <c r="S491" s="17" t="str">
        <f>IF(Q491="","",VLOOKUP(Q491,'References (2)'!C:F,4,0))</f>
        <v/>
      </c>
      <c r="T491" s="16"/>
      <c r="U491" s="20"/>
      <c r="V491" s="15"/>
      <c r="W491" s="22"/>
      <c r="X491" s="16"/>
      <c r="Y491" s="22"/>
      <c r="Z491" s="25" t="str">
        <f t="shared" si="133"/>
        <v/>
      </c>
      <c r="AA491" s="17" t="str">
        <f t="shared" ca="1" si="134"/>
        <v/>
      </c>
      <c r="AB491" s="17" t="str">
        <f t="shared" ca="1" si="135"/>
        <v/>
      </c>
      <c r="AC491" s="17" t="str">
        <f t="shared" ca="1" si="136"/>
        <v/>
      </c>
      <c r="AD491" s="17" t="str">
        <f t="shared" ca="1" si="137"/>
        <v/>
      </c>
      <c r="AE491" s="17" t="str">
        <f t="shared" si="138"/>
        <v/>
      </c>
      <c r="AF491" s="17" t="str">
        <f t="shared" si="139"/>
        <v/>
      </c>
      <c r="AG491" s="17" t="str">
        <f t="shared" si="140"/>
        <v/>
      </c>
      <c r="AH491" s="17">
        <f t="shared" si="141"/>
        <v>0</v>
      </c>
      <c r="AI491" s="17" t="str">
        <f t="shared" ca="1" si="142"/>
        <v/>
      </c>
      <c r="AJ491" s="17" t="str">
        <f t="shared" ca="1" si="143"/>
        <v/>
      </c>
      <c r="AK491" s="17" t="str">
        <f t="shared" si="144"/>
        <v/>
      </c>
      <c r="AL491" s="17" t="str">
        <f t="shared" ca="1" si="145"/>
        <v/>
      </c>
      <c r="AN491" s="24">
        <f t="shared" si="146"/>
        <v>0</v>
      </c>
      <c r="AO491" s="24">
        <f t="shared" si="147"/>
        <v>0</v>
      </c>
      <c r="AP491" s="24">
        <f t="shared" si="148"/>
        <v>0</v>
      </c>
      <c r="AQ491" s="24">
        <f t="shared" si="149"/>
        <v>0</v>
      </c>
      <c r="AR491" s="24">
        <f t="shared" si="150"/>
        <v>0</v>
      </c>
      <c r="AS491" s="24">
        <f t="shared" si="151"/>
        <v>0</v>
      </c>
    </row>
    <row r="492" spans="1:45" x14ac:dyDescent="0.25">
      <c r="A492" s="83"/>
      <c r="B492" s="83"/>
      <c r="C492" s="83"/>
      <c r="D492" s="15"/>
      <c r="E492" s="15"/>
      <c r="F492" s="83"/>
      <c r="G492" s="83"/>
      <c r="H492" s="16"/>
      <c r="I492" s="83"/>
      <c r="J492" s="83"/>
      <c r="K492" s="16"/>
      <c r="L492" s="15"/>
      <c r="M492" s="20"/>
      <c r="N492" s="15"/>
      <c r="O492" s="20"/>
      <c r="P492" s="15"/>
      <c r="Q492" s="15"/>
      <c r="R492" s="17" t="str">
        <f>IF(Q492="","",VLOOKUP(Q492,'References (2)'!C:D,2,0))</f>
        <v/>
      </c>
      <c r="S492" s="17" t="str">
        <f>IF(Q492="","",VLOOKUP(Q492,'References (2)'!C:F,4,0))</f>
        <v/>
      </c>
      <c r="T492" s="16"/>
      <c r="U492" s="20"/>
      <c r="V492" s="15"/>
      <c r="W492" s="22"/>
      <c r="X492" s="16"/>
      <c r="Y492" s="22"/>
      <c r="Z492" s="25" t="str">
        <f t="shared" si="133"/>
        <v/>
      </c>
      <c r="AA492" s="17" t="str">
        <f t="shared" ca="1" si="134"/>
        <v/>
      </c>
      <c r="AB492" s="17" t="str">
        <f t="shared" ca="1" si="135"/>
        <v/>
      </c>
      <c r="AC492" s="17" t="str">
        <f t="shared" ca="1" si="136"/>
        <v/>
      </c>
      <c r="AD492" s="17" t="str">
        <f t="shared" ca="1" si="137"/>
        <v/>
      </c>
      <c r="AE492" s="17" t="str">
        <f t="shared" si="138"/>
        <v/>
      </c>
      <c r="AF492" s="17" t="str">
        <f t="shared" si="139"/>
        <v/>
      </c>
      <c r="AG492" s="17" t="str">
        <f t="shared" si="140"/>
        <v/>
      </c>
      <c r="AH492" s="17">
        <f t="shared" si="141"/>
        <v>0</v>
      </c>
      <c r="AI492" s="17" t="str">
        <f t="shared" ca="1" si="142"/>
        <v/>
      </c>
      <c r="AJ492" s="17" t="str">
        <f t="shared" ca="1" si="143"/>
        <v/>
      </c>
      <c r="AK492" s="17" t="str">
        <f t="shared" si="144"/>
        <v/>
      </c>
      <c r="AL492" s="17" t="str">
        <f t="shared" ca="1" si="145"/>
        <v/>
      </c>
      <c r="AN492" s="24">
        <f t="shared" si="146"/>
        <v>0</v>
      </c>
      <c r="AO492" s="24">
        <f t="shared" si="147"/>
        <v>0</v>
      </c>
      <c r="AP492" s="24">
        <f t="shared" si="148"/>
        <v>0</v>
      </c>
      <c r="AQ492" s="24">
        <f t="shared" si="149"/>
        <v>0</v>
      </c>
      <c r="AR492" s="24">
        <f t="shared" si="150"/>
        <v>0</v>
      </c>
      <c r="AS492" s="24">
        <f t="shared" si="151"/>
        <v>0</v>
      </c>
    </row>
    <row r="493" spans="1:45" x14ac:dyDescent="0.25">
      <c r="A493" s="83"/>
      <c r="B493" s="83"/>
      <c r="C493" s="83"/>
      <c r="D493" s="15"/>
      <c r="E493" s="15"/>
      <c r="F493" s="83"/>
      <c r="G493" s="83"/>
      <c r="H493" s="16"/>
      <c r="I493" s="83"/>
      <c r="J493" s="83"/>
      <c r="K493" s="16"/>
      <c r="L493" s="15"/>
      <c r="M493" s="20"/>
      <c r="N493" s="15"/>
      <c r="O493" s="20"/>
      <c r="P493" s="15"/>
      <c r="Q493" s="15"/>
      <c r="R493" s="17" t="str">
        <f>IF(Q493="","",VLOOKUP(Q493,'References (2)'!C:D,2,0))</f>
        <v/>
      </c>
      <c r="S493" s="17" t="str">
        <f>IF(Q493="","",VLOOKUP(Q493,'References (2)'!C:F,4,0))</f>
        <v/>
      </c>
      <c r="T493" s="16"/>
      <c r="U493" s="20"/>
      <c r="V493" s="15"/>
      <c r="W493" s="22"/>
      <c r="X493" s="16"/>
      <c r="Y493" s="22"/>
      <c r="Z493" s="25" t="str">
        <f t="shared" si="133"/>
        <v/>
      </c>
      <c r="AA493" s="17" t="str">
        <f t="shared" ca="1" si="134"/>
        <v/>
      </c>
      <c r="AB493" s="17" t="str">
        <f t="shared" ca="1" si="135"/>
        <v/>
      </c>
      <c r="AC493" s="17" t="str">
        <f t="shared" ca="1" si="136"/>
        <v/>
      </c>
      <c r="AD493" s="17" t="str">
        <f t="shared" ca="1" si="137"/>
        <v/>
      </c>
      <c r="AE493" s="17" t="str">
        <f t="shared" si="138"/>
        <v/>
      </c>
      <c r="AF493" s="17" t="str">
        <f t="shared" si="139"/>
        <v/>
      </c>
      <c r="AG493" s="17" t="str">
        <f t="shared" si="140"/>
        <v/>
      </c>
      <c r="AH493" s="17">
        <f t="shared" si="141"/>
        <v>0</v>
      </c>
      <c r="AI493" s="17" t="str">
        <f t="shared" ca="1" si="142"/>
        <v/>
      </c>
      <c r="AJ493" s="17" t="str">
        <f t="shared" ca="1" si="143"/>
        <v/>
      </c>
      <c r="AK493" s="17" t="str">
        <f t="shared" si="144"/>
        <v/>
      </c>
      <c r="AL493" s="17" t="str">
        <f t="shared" ca="1" si="145"/>
        <v/>
      </c>
      <c r="AN493" s="24">
        <f t="shared" si="146"/>
        <v>0</v>
      </c>
      <c r="AO493" s="24">
        <f t="shared" si="147"/>
        <v>0</v>
      </c>
      <c r="AP493" s="24">
        <f t="shared" si="148"/>
        <v>0</v>
      </c>
      <c r="AQ493" s="24">
        <f t="shared" si="149"/>
        <v>0</v>
      </c>
      <c r="AR493" s="24">
        <f t="shared" si="150"/>
        <v>0</v>
      </c>
      <c r="AS493" s="24">
        <f t="shared" si="151"/>
        <v>0</v>
      </c>
    </row>
    <row r="494" spans="1:45" x14ac:dyDescent="0.25">
      <c r="A494" s="83"/>
      <c r="B494" s="83"/>
      <c r="C494" s="83"/>
      <c r="D494" s="15"/>
      <c r="E494" s="15"/>
      <c r="F494" s="83"/>
      <c r="G494" s="83"/>
      <c r="H494" s="16"/>
      <c r="I494" s="83"/>
      <c r="J494" s="83"/>
      <c r="K494" s="16"/>
      <c r="L494" s="15"/>
      <c r="M494" s="20"/>
      <c r="N494" s="15"/>
      <c r="O494" s="20"/>
      <c r="P494" s="15"/>
      <c r="Q494" s="15"/>
      <c r="R494" s="17" t="str">
        <f>IF(Q494="","",VLOOKUP(Q494,'References (2)'!C:D,2,0))</f>
        <v/>
      </c>
      <c r="S494" s="17" t="str">
        <f>IF(Q494="","",VLOOKUP(Q494,'References (2)'!C:F,4,0))</f>
        <v/>
      </c>
      <c r="T494" s="16"/>
      <c r="U494" s="20"/>
      <c r="V494" s="15"/>
      <c r="W494" s="22"/>
      <c r="X494" s="16"/>
      <c r="Y494" s="22"/>
      <c r="Z494" s="25" t="str">
        <f t="shared" si="133"/>
        <v/>
      </c>
      <c r="AA494" s="17" t="str">
        <f t="shared" ca="1" si="134"/>
        <v/>
      </c>
      <c r="AB494" s="17" t="str">
        <f t="shared" ca="1" si="135"/>
        <v/>
      </c>
      <c r="AC494" s="17" t="str">
        <f t="shared" ca="1" si="136"/>
        <v/>
      </c>
      <c r="AD494" s="17" t="str">
        <f t="shared" ca="1" si="137"/>
        <v/>
      </c>
      <c r="AE494" s="17" t="str">
        <f t="shared" si="138"/>
        <v/>
      </c>
      <c r="AF494" s="17" t="str">
        <f t="shared" si="139"/>
        <v/>
      </c>
      <c r="AG494" s="17" t="str">
        <f t="shared" si="140"/>
        <v/>
      </c>
      <c r="AH494" s="17">
        <f t="shared" si="141"/>
        <v>0</v>
      </c>
      <c r="AI494" s="17" t="str">
        <f t="shared" ca="1" si="142"/>
        <v/>
      </c>
      <c r="AJ494" s="17" t="str">
        <f t="shared" ca="1" si="143"/>
        <v/>
      </c>
      <c r="AK494" s="17" t="str">
        <f t="shared" si="144"/>
        <v/>
      </c>
      <c r="AL494" s="17" t="str">
        <f t="shared" ca="1" si="145"/>
        <v/>
      </c>
      <c r="AN494" s="24">
        <f t="shared" si="146"/>
        <v>0</v>
      </c>
      <c r="AO494" s="24">
        <f t="shared" si="147"/>
        <v>0</v>
      </c>
      <c r="AP494" s="24">
        <f t="shared" si="148"/>
        <v>0</v>
      </c>
      <c r="AQ494" s="24">
        <f t="shared" si="149"/>
        <v>0</v>
      </c>
      <c r="AR494" s="24">
        <f t="shared" si="150"/>
        <v>0</v>
      </c>
      <c r="AS494" s="24">
        <f t="shared" si="151"/>
        <v>0</v>
      </c>
    </row>
    <row r="495" spans="1:45" x14ac:dyDescent="0.25">
      <c r="A495" s="83"/>
      <c r="B495" s="83"/>
      <c r="C495" s="83"/>
      <c r="D495" s="15"/>
      <c r="E495" s="15"/>
      <c r="F495" s="83"/>
      <c r="G495" s="83"/>
      <c r="H495" s="16"/>
      <c r="I495" s="83"/>
      <c r="J495" s="83"/>
      <c r="K495" s="16"/>
      <c r="L495" s="15"/>
      <c r="M495" s="20"/>
      <c r="N495" s="15"/>
      <c r="O495" s="20"/>
      <c r="P495" s="15"/>
      <c r="Q495" s="15"/>
      <c r="R495" s="17" t="str">
        <f>IF(Q495="","",VLOOKUP(Q495,'References (2)'!C:D,2,0))</f>
        <v/>
      </c>
      <c r="S495" s="17" t="str">
        <f>IF(Q495="","",VLOOKUP(Q495,'References (2)'!C:F,4,0))</f>
        <v/>
      </c>
      <c r="T495" s="16"/>
      <c r="U495" s="20"/>
      <c r="V495" s="15"/>
      <c r="W495" s="22"/>
      <c r="X495" s="16"/>
      <c r="Y495" s="22"/>
      <c r="Z495" s="25" t="str">
        <f t="shared" si="133"/>
        <v/>
      </c>
      <c r="AA495" s="17" t="str">
        <f t="shared" ca="1" si="134"/>
        <v/>
      </c>
      <c r="AB495" s="17" t="str">
        <f t="shared" ca="1" si="135"/>
        <v/>
      </c>
      <c r="AC495" s="17" t="str">
        <f t="shared" ca="1" si="136"/>
        <v/>
      </c>
      <c r="AD495" s="17" t="str">
        <f t="shared" ca="1" si="137"/>
        <v/>
      </c>
      <c r="AE495" s="17" t="str">
        <f t="shared" si="138"/>
        <v/>
      </c>
      <c r="AF495" s="17" t="str">
        <f t="shared" si="139"/>
        <v/>
      </c>
      <c r="AG495" s="17" t="str">
        <f t="shared" si="140"/>
        <v/>
      </c>
      <c r="AH495" s="17">
        <f t="shared" si="141"/>
        <v>0</v>
      </c>
      <c r="AI495" s="17" t="str">
        <f t="shared" ca="1" si="142"/>
        <v/>
      </c>
      <c r="AJ495" s="17" t="str">
        <f t="shared" ca="1" si="143"/>
        <v/>
      </c>
      <c r="AK495" s="17" t="str">
        <f t="shared" si="144"/>
        <v/>
      </c>
      <c r="AL495" s="17" t="str">
        <f t="shared" ca="1" si="145"/>
        <v/>
      </c>
      <c r="AN495" s="24">
        <f t="shared" si="146"/>
        <v>0</v>
      </c>
      <c r="AO495" s="24">
        <f t="shared" si="147"/>
        <v>0</v>
      </c>
      <c r="AP495" s="24">
        <f t="shared" si="148"/>
        <v>0</v>
      </c>
      <c r="AQ495" s="24">
        <f t="shared" si="149"/>
        <v>0</v>
      </c>
      <c r="AR495" s="24">
        <f t="shared" si="150"/>
        <v>0</v>
      </c>
      <c r="AS495" s="24">
        <f t="shared" si="151"/>
        <v>0</v>
      </c>
    </row>
    <row r="496" spans="1:45" x14ac:dyDescent="0.25">
      <c r="A496" s="83"/>
      <c r="B496" s="83"/>
      <c r="C496" s="83"/>
      <c r="D496" s="15"/>
      <c r="E496" s="15"/>
      <c r="F496" s="83"/>
      <c r="G496" s="83"/>
      <c r="H496" s="16"/>
      <c r="I496" s="83"/>
      <c r="J496" s="83"/>
      <c r="K496" s="16"/>
      <c r="L496" s="15"/>
      <c r="M496" s="20"/>
      <c r="N496" s="15"/>
      <c r="O496" s="20"/>
      <c r="P496" s="15"/>
      <c r="Q496" s="15"/>
      <c r="R496" s="17" t="str">
        <f>IF(Q496="","",VLOOKUP(Q496,'References (2)'!C:D,2,0))</f>
        <v/>
      </c>
      <c r="S496" s="17" t="str">
        <f>IF(Q496="","",VLOOKUP(Q496,'References (2)'!C:F,4,0))</f>
        <v/>
      </c>
      <c r="T496" s="16"/>
      <c r="U496" s="20"/>
      <c r="V496" s="15"/>
      <c r="W496" s="22"/>
      <c r="X496" s="16"/>
      <c r="Y496" s="22"/>
      <c r="Z496" s="25" t="str">
        <f t="shared" si="133"/>
        <v/>
      </c>
      <c r="AA496" s="17" t="str">
        <f t="shared" ca="1" si="134"/>
        <v/>
      </c>
      <c r="AB496" s="17" t="str">
        <f t="shared" ca="1" si="135"/>
        <v/>
      </c>
      <c r="AC496" s="17" t="str">
        <f t="shared" ca="1" si="136"/>
        <v/>
      </c>
      <c r="AD496" s="17" t="str">
        <f t="shared" ca="1" si="137"/>
        <v/>
      </c>
      <c r="AE496" s="17" t="str">
        <f t="shared" si="138"/>
        <v/>
      </c>
      <c r="AF496" s="17" t="str">
        <f t="shared" si="139"/>
        <v/>
      </c>
      <c r="AG496" s="17" t="str">
        <f t="shared" si="140"/>
        <v/>
      </c>
      <c r="AH496" s="17">
        <f t="shared" si="141"/>
        <v>0</v>
      </c>
      <c r="AI496" s="17" t="str">
        <f t="shared" ca="1" si="142"/>
        <v/>
      </c>
      <c r="AJ496" s="17" t="str">
        <f t="shared" ca="1" si="143"/>
        <v/>
      </c>
      <c r="AK496" s="17" t="str">
        <f t="shared" si="144"/>
        <v/>
      </c>
      <c r="AL496" s="17" t="str">
        <f t="shared" ca="1" si="145"/>
        <v/>
      </c>
      <c r="AN496" s="24">
        <f t="shared" si="146"/>
        <v>0</v>
      </c>
      <c r="AO496" s="24">
        <f t="shared" si="147"/>
        <v>0</v>
      </c>
      <c r="AP496" s="24">
        <f t="shared" si="148"/>
        <v>0</v>
      </c>
      <c r="AQ496" s="24">
        <f t="shared" si="149"/>
        <v>0</v>
      </c>
      <c r="AR496" s="24">
        <f t="shared" si="150"/>
        <v>0</v>
      </c>
      <c r="AS496" s="24">
        <f t="shared" si="151"/>
        <v>0</v>
      </c>
    </row>
  </sheetData>
  <sheetProtection selectLockedCells="1"/>
  <mergeCells count="6">
    <mergeCell ref="A1:K1"/>
    <mergeCell ref="P1:R1"/>
    <mergeCell ref="L1:M1"/>
    <mergeCell ref="N1:O1"/>
    <mergeCell ref="AA1:AK1"/>
    <mergeCell ref="S1:X1"/>
  </mergeCells>
  <dataValidations count="9">
    <dataValidation type="list" allowBlank="1" showInputMessage="1" showErrorMessage="1" sqref="E3:E496">
      <formula1>cmrsource</formula1>
    </dataValidation>
    <dataValidation type="list" allowBlank="1" showInputMessage="1" showErrorMessage="1" sqref="D3:D496">
      <formula1>sitecat</formula1>
    </dataValidation>
    <dataValidation type="list" allowBlank="1" showInputMessage="1" showErrorMessage="1" sqref="A3:A496">
      <formula1>area</formula1>
    </dataValidation>
    <dataValidation type="list" allowBlank="1" showInputMessage="1" showErrorMessage="1" sqref="V3:V496">
      <formula1>wostat</formula1>
    </dataValidation>
    <dataValidation type="list" allowBlank="1" showInputMessage="1" showErrorMessage="1" sqref="Q3:Q496">
      <formula1>RepairWorks</formula1>
    </dataValidation>
    <dataValidation type="list" allowBlank="1" showInputMessage="1" showErrorMessage="1" sqref="P3:P496">
      <formula1>concat</formula1>
    </dataValidation>
    <dataValidation type="list" allowBlank="1" showInputMessage="1" showErrorMessage="1" sqref="N3:N496 L3:L496">
      <formula1>fsrstat</formula1>
    </dataValidation>
    <dataValidation type="list" allowBlank="1" showInputMessage="1" showErrorMessage="1" sqref="K3:K496">
      <formula1>cmrstat</formula1>
    </dataValidation>
    <dataValidation type="list" allowBlank="1" showInputMessage="1" showErrorMessage="1" sqref="H3:H496">
      <formula1>involvegroup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M46"/>
  <sheetViews>
    <sheetView workbookViewId="0">
      <selection activeCell="E10" sqref="E10"/>
    </sheetView>
  </sheetViews>
  <sheetFormatPr defaultRowHeight="15" x14ac:dyDescent="0.25"/>
  <cols>
    <col min="1" max="1" width="9.140625" style="18"/>
    <col min="2" max="2" width="9.28515625" style="18" customWidth="1"/>
    <col min="3" max="3" width="42.28515625" style="18" bestFit="1" customWidth="1"/>
    <col min="4" max="4" width="8.140625" style="18" bestFit="1" customWidth="1"/>
    <col min="5" max="5" width="54.140625" style="18" customWidth="1"/>
    <col min="6" max="6" width="14.85546875" style="18" customWidth="1"/>
    <col min="7" max="7" width="9.140625" style="18"/>
    <col min="8" max="8" width="24.28515625" style="18" customWidth="1"/>
    <col min="9" max="9" width="27.5703125" style="18" customWidth="1"/>
    <col min="10" max="10" width="27.85546875" style="18" customWidth="1"/>
    <col min="11" max="11" width="19.85546875" style="18" customWidth="1"/>
    <col min="12" max="12" width="31.28515625" style="18" customWidth="1"/>
    <col min="13" max="13" width="29.140625" style="18" customWidth="1"/>
    <col min="14" max="16384" width="9.140625" style="18"/>
  </cols>
  <sheetData>
    <row r="1" spans="2:13" ht="15.75" thickBot="1" x14ac:dyDescent="0.3"/>
    <row r="2" spans="2:13" x14ac:dyDescent="0.25">
      <c r="B2" s="26" t="s">
        <v>32</v>
      </c>
      <c r="C2" s="26" t="s">
        <v>33</v>
      </c>
      <c r="D2" s="27" t="s">
        <v>34</v>
      </c>
      <c r="E2" s="27" t="s">
        <v>35</v>
      </c>
      <c r="F2" s="27" t="s">
        <v>71</v>
      </c>
      <c r="H2" s="151" t="s">
        <v>81</v>
      </c>
      <c r="I2" s="153" t="s">
        <v>82</v>
      </c>
      <c r="J2" s="154"/>
      <c r="K2" s="154"/>
      <c r="L2" s="154"/>
      <c r="M2" s="155"/>
    </row>
    <row r="3" spans="2:13" x14ac:dyDescent="0.25">
      <c r="B3" s="28">
        <v>1</v>
      </c>
      <c r="C3" s="28" t="s">
        <v>36</v>
      </c>
      <c r="D3" s="29">
        <v>20</v>
      </c>
      <c r="E3" s="30" t="s">
        <v>37</v>
      </c>
      <c r="F3" s="30" t="s">
        <v>72</v>
      </c>
      <c r="H3" s="152"/>
      <c r="I3" s="31" t="s">
        <v>83</v>
      </c>
      <c r="J3" s="32" t="s">
        <v>84</v>
      </c>
      <c r="K3" s="32" t="s">
        <v>85</v>
      </c>
      <c r="L3" s="32" t="s">
        <v>86</v>
      </c>
      <c r="M3" s="33" t="s">
        <v>87</v>
      </c>
    </row>
    <row r="4" spans="2:13" ht="18" customHeight="1" x14ac:dyDescent="0.25">
      <c r="B4" s="28">
        <v>2</v>
      </c>
      <c r="C4" s="28" t="s">
        <v>38</v>
      </c>
      <c r="D4" s="29">
        <v>10</v>
      </c>
      <c r="E4" s="30" t="s">
        <v>37</v>
      </c>
      <c r="F4" s="30" t="s">
        <v>72</v>
      </c>
      <c r="H4" s="34" t="s">
        <v>31</v>
      </c>
      <c r="I4" s="35" t="s">
        <v>88</v>
      </c>
      <c r="J4" s="36" t="s">
        <v>89</v>
      </c>
      <c r="K4" s="36" t="s">
        <v>90</v>
      </c>
      <c r="L4" s="36" t="s">
        <v>91</v>
      </c>
      <c r="M4" s="37"/>
    </row>
    <row r="5" spans="2:13" ht="15.75" customHeight="1" x14ac:dyDescent="0.25">
      <c r="B5" s="28">
        <v>3</v>
      </c>
      <c r="C5" s="28" t="s">
        <v>39</v>
      </c>
      <c r="D5" s="29">
        <v>12</v>
      </c>
      <c r="E5" s="30" t="s">
        <v>40</v>
      </c>
      <c r="F5" s="30" t="s">
        <v>72</v>
      </c>
      <c r="H5" s="34" t="s">
        <v>30</v>
      </c>
      <c r="I5" s="35" t="s">
        <v>88</v>
      </c>
      <c r="J5" s="36" t="s">
        <v>89</v>
      </c>
      <c r="K5" s="36" t="s">
        <v>90</v>
      </c>
      <c r="L5" s="36" t="s">
        <v>92</v>
      </c>
      <c r="M5" s="37"/>
    </row>
    <row r="6" spans="2:13" ht="26.25" x14ac:dyDescent="0.25">
      <c r="B6" s="28">
        <v>4</v>
      </c>
      <c r="C6" s="28" t="s">
        <v>41</v>
      </c>
      <c r="D6" s="29">
        <v>7</v>
      </c>
      <c r="E6" s="30" t="s">
        <v>40</v>
      </c>
      <c r="F6" s="30" t="s">
        <v>72</v>
      </c>
      <c r="H6" s="38" t="s">
        <v>27</v>
      </c>
      <c r="I6" s="39" t="s">
        <v>93</v>
      </c>
      <c r="J6" s="40" t="s">
        <v>94</v>
      </c>
      <c r="K6" s="40"/>
      <c r="L6" s="40"/>
      <c r="M6" s="41"/>
    </row>
    <row r="7" spans="2:13" ht="12.75" customHeight="1" x14ac:dyDescent="0.25">
      <c r="B7" s="28">
        <v>5</v>
      </c>
      <c r="C7" s="28" t="s">
        <v>42</v>
      </c>
      <c r="D7" s="29">
        <v>1</v>
      </c>
      <c r="E7" s="30" t="s">
        <v>40</v>
      </c>
      <c r="F7" s="30" t="s">
        <v>72</v>
      </c>
      <c r="H7" s="38" t="s">
        <v>29</v>
      </c>
      <c r="I7" s="39" t="s">
        <v>93</v>
      </c>
      <c r="J7" s="40" t="s">
        <v>95</v>
      </c>
      <c r="K7" s="40" t="s">
        <v>96</v>
      </c>
      <c r="L7" s="40" t="s">
        <v>97</v>
      </c>
      <c r="M7" s="41" t="s">
        <v>98</v>
      </c>
    </row>
    <row r="8" spans="2:13" ht="14.25" customHeight="1" x14ac:dyDescent="0.25">
      <c r="B8" s="28">
        <v>6</v>
      </c>
      <c r="C8" s="28" t="s">
        <v>43</v>
      </c>
      <c r="D8" s="29">
        <v>2</v>
      </c>
      <c r="E8" s="30" t="s">
        <v>40</v>
      </c>
      <c r="F8" s="30" t="s">
        <v>72</v>
      </c>
      <c r="H8" s="38" t="s">
        <v>28</v>
      </c>
      <c r="I8" s="39" t="s">
        <v>93</v>
      </c>
      <c r="J8" s="40" t="s">
        <v>99</v>
      </c>
      <c r="K8" s="40" t="s">
        <v>96</v>
      </c>
      <c r="L8" s="40" t="s">
        <v>100</v>
      </c>
      <c r="M8" s="41" t="s">
        <v>98</v>
      </c>
    </row>
    <row r="9" spans="2:13" ht="15.75" thickBot="1" x14ac:dyDescent="0.3">
      <c r="B9" s="28">
        <v>7</v>
      </c>
      <c r="C9" s="28" t="s">
        <v>44</v>
      </c>
      <c r="D9" s="29">
        <v>2</v>
      </c>
      <c r="E9" s="30" t="s">
        <v>40</v>
      </c>
      <c r="F9" s="30" t="s">
        <v>72</v>
      </c>
      <c r="H9" s="42" t="s">
        <v>101</v>
      </c>
      <c r="I9" s="43" t="s">
        <v>93</v>
      </c>
      <c r="J9" s="44" t="s">
        <v>102</v>
      </c>
      <c r="K9" s="44"/>
      <c r="L9" s="44"/>
      <c r="M9" s="45"/>
    </row>
    <row r="10" spans="2:13" x14ac:dyDescent="0.25">
      <c r="B10" s="28">
        <v>8</v>
      </c>
      <c r="C10" s="28" t="s">
        <v>45</v>
      </c>
      <c r="D10" s="29">
        <v>1</v>
      </c>
      <c r="E10" s="30" t="s">
        <v>40</v>
      </c>
      <c r="F10" s="30" t="s">
        <v>72</v>
      </c>
    </row>
    <row r="11" spans="2:13" x14ac:dyDescent="0.25">
      <c r="B11" s="28">
        <v>9</v>
      </c>
      <c r="C11" s="28" t="s">
        <v>46</v>
      </c>
      <c r="D11" s="29">
        <v>2</v>
      </c>
      <c r="E11" s="30" t="s">
        <v>40</v>
      </c>
      <c r="F11" s="30" t="s">
        <v>72</v>
      </c>
      <c r="H11" s="46" t="s">
        <v>116</v>
      </c>
      <c r="I11" s="46" t="s">
        <v>117</v>
      </c>
      <c r="J11" s="46" t="s">
        <v>118</v>
      </c>
    </row>
    <row r="12" spans="2:13" x14ac:dyDescent="0.25">
      <c r="B12" s="28">
        <v>10</v>
      </c>
      <c r="C12" s="28" t="s">
        <v>47</v>
      </c>
      <c r="D12" s="29">
        <v>1</v>
      </c>
      <c r="E12" s="30" t="s">
        <v>40</v>
      </c>
      <c r="F12" s="30" t="s">
        <v>72</v>
      </c>
      <c r="H12" s="18" t="s">
        <v>103</v>
      </c>
      <c r="I12" s="18" t="s">
        <v>107</v>
      </c>
      <c r="J12" s="18" t="s">
        <v>105</v>
      </c>
    </row>
    <row r="13" spans="2:13" x14ac:dyDescent="0.25">
      <c r="B13" s="28">
        <v>11</v>
      </c>
      <c r="C13" s="28" t="s">
        <v>48</v>
      </c>
      <c r="D13" s="29">
        <v>1</v>
      </c>
      <c r="E13" s="30" t="s">
        <v>40</v>
      </c>
      <c r="F13" s="30" t="s">
        <v>72</v>
      </c>
      <c r="H13" s="18" t="s">
        <v>104</v>
      </c>
      <c r="I13" s="18" t="s">
        <v>108</v>
      </c>
      <c r="J13" s="18" t="s">
        <v>106</v>
      </c>
    </row>
    <row r="14" spans="2:13" x14ac:dyDescent="0.25">
      <c r="B14" s="28">
        <v>12</v>
      </c>
      <c r="C14" s="28" t="s">
        <v>49</v>
      </c>
      <c r="D14" s="29">
        <v>1</v>
      </c>
      <c r="E14" s="30" t="s">
        <v>40</v>
      </c>
      <c r="F14" s="30" t="s">
        <v>72</v>
      </c>
      <c r="I14" s="18" t="s">
        <v>109</v>
      </c>
    </row>
    <row r="15" spans="2:13" x14ac:dyDescent="0.25">
      <c r="B15" s="28">
        <v>13</v>
      </c>
      <c r="C15" s="28" t="s">
        <v>50</v>
      </c>
      <c r="D15" s="29">
        <v>1</v>
      </c>
      <c r="E15" s="30" t="s">
        <v>40</v>
      </c>
      <c r="F15" s="30" t="s">
        <v>72</v>
      </c>
    </row>
    <row r="16" spans="2:13" x14ac:dyDescent="0.25">
      <c r="B16" s="28">
        <v>14</v>
      </c>
      <c r="C16" s="28" t="s">
        <v>51</v>
      </c>
      <c r="D16" s="29">
        <v>1</v>
      </c>
      <c r="E16" s="30" t="s">
        <v>40</v>
      </c>
      <c r="F16" s="30" t="s">
        <v>72</v>
      </c>
      <c r="H16" s="46" t="s">
        <v>119</v>
      </c>
      <c r="I16" s="46" t="s">
        <v>120</v>
      </c>
      <c r="J16" s="46" t="s">
        <v>142</v>
      </c>
    </row>
    <row r="17" spans="2:10" x14ac:dyDescent="0.25">
      <c r="B17" s="28">
        <v>15</v>
      </c>
      <c r="C17" s="28" t="s">
        <v>52</v>
      </c>
      <c r="D17" s="29">
        <v>3</v>
      </c>
      <c r="E17" s="30" t="s">
        <v>40</v>
      </c>
      <c r="F17" s="30" t="s">
        <v>72</v>
      </c>
      <c r="H17" s="18" t="s">
        <v>110</v>
      </c>
      <c r="I17" s="18" t="s">
        <v>113</v>
      </c>
      <c r="J17" s="77" t="s">
        <v>140</v>
      </c>
    </row>
    <row r="18" spans="2:10" x14ac:dyDescent="0.25">
      <c r="B18" s="28">
        <v>16</v>
      </c>
      <c r="C18" s="28" t="s">
        <v>53</v>
      </c>
      <c r="D18" s="29">
        <v>2</v>
      </c>
      <c r="E18" s="30" t="s">
        <v>40</v>
      </c>
      <c r="F18" s="30" t="s">
        <v>72</v>
      </c>
      <c r="H18" s="18" t="s">
        <v>111</v>
      </c>
      <c r="I18" s="18" t="s">
        <v>114</v>
      </c>
      <c r="J18" s="77" t="s">
        <v>141</v>
      </c>
    </row>
    <row r="19" spans="2:10" x14ac:dyDescent="0.25">
      <c r="B19" s="28">
        <v>17</v>
      </c>
      <c r="C19" s="28" t="s">
        <v>54</v>
      </c>
      <c r="D19" s="29">
        <v>1</v>
      </c>
      <c r="E19" s="30" t="s">
        <v>40</v>
      </c>
      <c r="F19" s="30" t="s">
        <v>72</v>
      </c>
      <c r="H19" s="18" t="s">
        <v>112</v>
      </c>
      <c r="I19" s="18" t="s">
        <v>115</v>
      </c>
      <c r="J19" s="77" t="s">
        <v>144</v>
      </c>
    </row>
    <row r="20" spans="2:10" x14ac:dyDescent="0.25">
      <c r="B20" s="28">
        <v>18</v>
      </c>
      <c r="C20" s="28" t="s">
        <v>55</v>
      </c>
      <c r="D20" s="29">
        <v>4</v>
      </c>
      <c r="E20" s="30" t="s">
        <v>40</v>
      </c>
      <c r="F20" s="30" t="s">
        <v>72</v>
      </c>
      <c r="J20" s="77" t="s">
        <v>143</v>
      </c>
    </row>
    <row r="21" spans="2:10" x14ac:dyDescent="0.25">
      <c r="B21" s="28">
        <v>19</v>
      </c>
      <c r="C21" s="28" t="s">
        <v>56</v>
      </c>
      <c r="D21" s="29">
        <v>1</v>
      </c>
      <c r="E21" s="30" t="s">
        <v>40</v>
      </c>
      <c r="F21" s="30" t="s">
        <v>72</v>
      </c>
      <c r="H21" s="46" t="s">
        <v>136</v>
      </c>
      <c r="I21" s="46" t="s">
        <v>145</v>
      </c>
    </row>
    <row r="22" spans="2:10" x14ac:dyDescent="0.25">
      <c r="B22" s="28">
        <v>20</v>
      </c>
      <c r="C22" s="28" t="s">
        <v>57</v>
      </c>
      <c r="D22" s="29">
        <v>1</v>
      </c>
      <c r="E22" s="30" t="s">
        <v>40</v>
      </c>
      <c r="F22" s="30" t="s">
        <v>72</v>
      </c>
      <c r="H22" s="18" t="s">
        <v>137</v>
      </c>
      <c r="I22" s="18" t="s">
        <v>154</v>
      </c>
    </row>
    <row r="23" spans="2:10" x14ac:dyDescent="0.25">
      <c r="B23" s="28">
        <v>21</v>
      </c>
      <c r="C23" s="28" t="s">
        <v>58</v>
      </c>
      <c r="D23" s="29">
        <v>1</v>
      </c>
      <c r="E23" s="30" t="s">
        <v>40</v>
      </c>
      <c r="F23" s="30" t="s">
        <v>72</v>
      </c>
      <c r="H23" s="18" t="s">
        <v>138</v>
      </c>
      <c r="I23" s="18" t="s">
        <v>146</v>
      </c>
    </row>
    <row r="24" spans="2:10" x14ac:dyDescent="0.25">
      <c r="B24" s="28">
        <v>22</v>
      </c>
      <c r="C24" s="28" t="s">
        <v>59</v>
      </c>
      <c r="D24" s="29">
        <v>1</v>
      </c>
      <c r="E24" s="30" t="s">
        <v>40</v>
      </c>
      <c r="F24" s="30" t="s">
        <v>72</v>
      </c>
      <c r="H24" s="18" t="s">
        <v>139</v>
      </c>
    </row>
    <row r="25" spans="2:10" x14ac:dyDescent="0.25">
      <c r="B25" s="28">
        <v>23</v>
      </c>
      <c r="C25" s="28" t="s">
        <v>60</v>
      </c>
      <c r="D25" s="29">
        <v>1</v>
      </c>
      <c r="E25" s="30" t="s">
        <v>40</v>
      </c>
      <c r="F25" s="30" t="s">
        <v>72</v>
      </c>
    </row>
    <row r="26" spans="2:10" x14ac:dyDescent="0.25">
      <c r="B26" s="28">
        <v>24</v>
      </c>
      <c r="C26" s="28" t="s">
        <v>61</v>
      </c>
      <c r="D26" s="29">
        <v>3</v>
      </c>
      <c r="E26" s="30" t="s">
        <v>40</v>
      </c>
      <c r="F26" s="30" t="s">
        <v>73</v>
      </c>
    </row>
    <row r="27" spans="2:10" x14ac:dyDescent="0.25">
      <c r="B27" s="28">
        <v>25</v>
      </c>
      <c r="C27" s="28" t="s">
        <v>62</v>
      </c>
      <c r="D27" s="29">
        <v>2</v>
      </c>
      <c r="E27" s="30" t="s">
        <v>40</v>
      </c>
      <c r="F27" s="30" t="s">
        <v>73</v>
      </c>
    </row>
    <row r="28" spans="2:10" x14ac:dyDescent="0.25">
      <c r="B28" s="28">
        <v>26</v>
      </c>
      <c r="C28" s="28" t="s">
        <v>63</v>
      </c>
      <c r="D28" s="29">
        <v>7</v>
      </c>
      <c r="E28" s="30" t="s">
        <v>40</v>
      </c>
      <c r="F28" s="30" t="s">
        <v>73</v>
      </c>
    </row>
    <row r="29" spans="2:10" x14ac:dyDescent="0.25">
      <c r="B29" s="28">
        <v>27</v>
      </c>
      <c r="C29" s="28" t="s">
        <v>64</v>
      </c>
      <c r="D29" s="29">
        <v>7</v>
      </c>
      <c r="E29" s="30" t="s">
        <v>40</v>
      </c>
      <c r="F29" s="30" t="s">
        <v>73</v>
      </c>
    </row>
    <row r="30" spans="2:10" x14ac:dyDescent="0.25">
      <c r="B30" s="28">
        <v>28</v>
      </c>
      <c r="C30" s="28" t="s">
        <v>65</v>
      </c>
      <c r="D30" s="29">
        <v>1</v>
      </c>
      <c r="E30" s="30" t="s">
        <v>40</v>
      </c>
      <c r="F30" s="30" t="s">
        <v>73</v>
      </c>
    </row>
    <row r="31" spans="2:10" x14ac:dyDescent="0.25">
      <c r="B31" s="28">
        <v>29</v>
      </c>
      <c r="C31" s="28" t="s">
        <v>66</v>
      </c>
      <c r="D31" s="29">
        <v>3</v>
      </c>
      <c r="E31" s="30" t="s">
        <v>40</v>
      </c>
      <c r="F31" s="30" t="s">
        <v>72</v>
      </c>
    </row>
    <row r="32" spans="2:10" x14ac:dyDescent="0.25">
      <c r="B32" s="28">
        <v>30</v>
      </c>
      <c r="C32" s="28" t="s">
        <v>67</v>
      </c>
      <c r="D32" s="29">
        <v>1</v>
      </c>
      <c r="E32" s="30" t="s">
        <v>68</v>
      </c>
      <c r="F32" s="30" t="s">
        <v>72</v>
      </c>
    </row>
    <row r="33" spans="2:6" x14ac:dyDescent="0.25">
      <c r="B33" s="28">
        <v>31</v>
      </c>
      <c r="C33" s="28" t="s">
        <v>69</v>
      </c>
      <c r="D33" s="29">
        <v>1</v>
      </c>
      <c r="E33" s="30"/>
      <c r="F33" s="30" t="s">
        <v>72</v>
      </c>
    </row>
    <row r="34" spans="2:6" x14ac:dyDescent="0.25">
      <c r="B34" s="28">
        <v>32</v>
      </c>
      <c r="C34" s="28" t="s">
        <v>74</v>
      </c>
      <c r="D34" s="29">
        <v>1</v>
      </c>
      <c r="E34" s="30"/>
      <c r="F34" s="30" t="s">
        <v>73</v>
      </c>
    </row>
    <row r="35" spans="2:6" x14ac:dyDescent="0.25">
      <c r="B35" s="28">
        <v>33</v>
      </c>
      <c r="C35" s="28" t="s">
        <v>75</v>
      </c>
      <c r="D35" s="29">
        <v>1</v>
      </c>
      <c r="E35" s="30"/>
      <c r="F35" s="30" t="s">
        <v>73</v>
      </c>
    </row>
    <row r="36" spans="2:6" x14ac:dyDescent="0.25">
      <c r="B36" s="28">
        <v>34</v>
      </c>
      <c r="C36" s="28" t="s">
        <v>76</v>
      </c>
      <c r="D36" s="29">
        <v>1</v>
      </c>
      <c r="E36" s="30"/>
      <c r="F36" s="30" t="s">
        <v>73</v>
      </c>
    </row>
    <row r="37" spans="2:6" x14ac:dyDescent="0.25">
      <c r="B37" s="28">
        <v>35</v>
      </c>
      <c r="C37" s="28" t="s">
        <v>77</v>
      </c>
      <c r="D37" s="29">
        <v>1</v>
      </c>
      <c r="E37" s="30"/>
      <c r="F37" s="30" t="s">
        <v>73</v>
      </c>
    </row>
    <row r="38" spans="2:6" x14ac:dyDescent="0.25">
      <c r="B38" s="28">
        <v>36</v>
      </c>
      <c r="C38" s="28" t="s">
        <v>78</v>
      </c>
      <c r="D38" s="29">
        <v>1</v>
      </c>
      <c r="E38" s="30"/>
      <c r="F38" s="30" t="s">
        <v>73</v>
      </c>
    </row>
    <row r="39" spans="2:6" x14ac:dyDescent="0.25">
      <c r="B39" s="28">
        <v>37</v>
      </c>
      <c r="C39" s="28" t="s">
        <v>79</v>
      </c>
      <c r="D39" s="29">
        <v>1</v>
      </c>
      <c r="E39" s="30"/>
      <c r="F39" s="30" t="s">
        <v>73</v>
      </c>
    </row>
    <row r="40" spans="2:6" x14ac:dyDescent="0.25">
      <c r="B40" s="28">
        <v>38</v>
      </c>
      <c r="C40" s="28" t="s">
        <v>80</v>
      </c>
      <c r="D40" s="29">
        <v>1</v>
      </c>
      <c r="E40" s="30"/>
      <c r="F40" s="30" t="s">
        <v>73</v>
      </c>
    </row>
    <row r="41" spans="2:6" x14ac:dyDescent="0.25">
      <c r="B41" s="28">
        <v>39</v>
      </c>
      <c r="C41" s="28" t="s">
        <v>130</v>
      </c>
      <c r="D41" s="29">
        <v>1</v>
      </c>
      <c r="E41" s="30"/>
      <c r="F41" s="30" t="s">
        <v>73</v>
      </c>
    </row>
    <row r="42" spans="2:6" x14ac:dyDescent="0.25">
      <c r="B42" s="28">
        <v>40</v>
      </c>
      <c r="C42" s="28"/>
      <c r="D42" s="47"/>
      <c r="E42" s="30"/>
      <c r="F42" s="30"/>
    </row>
    <row r="43" spans="2:6" x14ac:dyDescent="0.25">
      <c r="B43" s="28">
        <v>41</v>
      </c>
      <c r="C43" s="28"/>
      <c r="D43" s="47"/>
      <c r="E43" s="30"/>
      <c r="F43" s="30"/>
    </row>
    <row r="44" spans="2:6" x14ac:dyDescent="0.25">
      <c r="B44" s="28">
        <v>42</v>
      </c>
      <c r="C44" s="28"/>
      <c r="D44" s="47"/>
      <c r="E44" s="30"/>
      <c r="F44" s="30"/>
    </row>
    <row r="45" spans="2:6" x14ac:dyDescent="0.25">
      <c r="B45" s="48"/>
      <c r="C45" s="48"/>
      <c r="D45" s="30"/>
      <c r="E45" s="30"/>
      <c r="F45" s="30"/>
    </row>
    <row r="46" spans="2:6" ht="24.75" customHeight="1" x14ac:dyDescent="0.25">
      <c r="B46" s="28"/>
      <c r="C46" s="49" t="s">
        <v>70</v>
      </c>
      <c r="D46" s="49"/>
      <c r="E46" s="30"/>
      <c r="F46" s="30"/>
    </row>
  </sheetData>
  <sheetProtection selectLockedCells="1"/>
  <mergeCells count="2">
    <mergeCell ref="H2:H3"/>
    <mergeCell ref="I2:M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I123"/>
  <sheetViews>
    <sheetView workbookViewId="0">
      <selection activeCell="E10" sqref="E10"/>
    </sheetView>
  </sheetViews>
  <sheetFormatPr defaultRowHeight="15" x14ac:dyDescent="0.25"/>
  <cols>
    <col min="2" max="2" width="26.42578125" customWidth="1"/>
    <col min="3" max="3" width="16.28515625" style="81" customWidth="1"/>
    <col min="4" max="4" width="23.42578125" style="81" bestFit="1" customWidth="1"/>
    <col min="5" max="5" width="17.7109375" style="81" customWidth="1"/>
    <col min="6" max="6" width="17.28515625" style="81" customWidth="1"/>
    <col min="7" max="7" width="18.7109375" style="81" bestFit="1" customWidth="1"/>
    <col min="8" max="8" width="11.28515625" style="81" customWidth="1"/>
    <col min="9" max="9" width="7.28515625" style="81" bestFit="1" customWidth="1"/>
    <col min="10" max="10" width="11.28515625" bestFit="1" customWidth="1"/>
  </cols>
  <sheetData>
    <row r="3" spans="2:9" x14ac:dyDescent="0.25">
      <c r="B3" s="56" t="s">
        <v>151</v>
      </c>
      <c r="C3" s="56" t="s">
        <v>152</v>
      </c>
      <c r="D3"/>
      <c r="E3"/>
      <c r="F3"/>
      <c r="G3"/>
      <c r="H3"/>
      <c r="I3"/>
    </row>
    <row r="4" spans="2:9" x14ac:dyDescent="0.25">
      <c r="B4" s="56" t="s">
        <v>124</v>
      </c>
      <c r="C4" s="82" t="s">
        <v>125</v>
      </c>
      <c r="D4"/>
      <c r="E4"/>
      <c r="F4"/>
      <c r="G4"/>
      <c r="H4"/>
      <c r="I4"/>
    </row>
    <row r="5" spans="2:9" x14ac:dyDescent="0.25">
      <c r="B5" s="57" t="s">
        <v>125</v>
      </c>
      <c r="C5" s="84"/>
      <c r="D5"/>
      <c r="E5"/>
      <c r="F5"/>
      <c r="G5"/>
      <c r="H5"/>
      <c r="I5"/>
    </row>
    <row r="6" spans="2:9" x14ac:dyDescent="0.25">
      <c r="C6"/>
      <c r="D6"/>
      <c r="E6"/>
      <c r="F6"/>
      <c r="G6"/>
      <c r="H6"/>
      <c r="I6"/>
    </row>
    <row r="7" spans="2:9" x14ac:dyDescent="0.25">
      <c r="C7"/>
      <c r="D7"/>
      <c r="E7"/>
      <c r="F7"/>
      <c r="G7"/>
      <c r="H7"/>
      <c r="I7"/>
    </row>
    <row r="8" spans="2:9" x14ac:dyDescent="0.25">
      <c r="C8"/>
      <c r="D8"/>
      <c r="E8"/>
      <c r="F8"/>
      <c r="G8"/>
      <c r="H8"/>
      <c r="I8"/>
    </row>
    <row r="9" spans="2:9" x14ac:dyDescent="0.25">
      <c r="C9"/>
      <c r="D9"/>
      <c r="E9"/>
      <c r="F9"/>
      <c r="G9"/>
      <c r="H9"/>
      <c r="I9"/>
    </row>
    <row r="10" spans="2:9" x14ac:dyDescent="0.25">
      <c r="C10"/>
      <c r="D10"/>
      <c r="E10"/>
      <c r="F10"/>
      <c r="G10"/>
      <c r="H10"/>
      <c r="I10"/>
    </row>
    <row r="11" spans="2:9" x14ac:dyDescent="0.25">
      <c r="C11"/>
      <c r="D11"/>
      <c r="E11"/>
      <c r="F11"/>
      <c r="G11"/>
      <c r="H11"/>
      <c r="I11"/>
    </row>
    <row r="12" spans="2:9" x14ac:dyDescent="0.25">
      <c r="I12"/>
    </row>
    <row r="13" spans="2:9" x14ac:dyDescent="0.25">
      <c r="I13"/>
    </row>
    <row r="14" spans="2:9" x14ac:dyDescent="0.25">
      <c r="I14"/>
    </row>
    <row r="15" spans="2:9" x14ac:dyDescent="0.25">
      <c r="I15"/>
    </row>
    <row r="16" spans="2:9" x14ac:dyDescent="0.25">
      <c r="I16"/>
    </row>
    <row r="17" spans="9:9" x14ac:dyDescent="0.25">
      <c r="I17"/>
    </row>
    <row r="18" spans="9:9" x14ac:dyDescent="0.25">
      <c r="I18"/>
    </row>
    <row r="19" spans="9:9" x14ac:dyDescent="0.25">
      <c r="I19"/>
    </row>
    <row r="20" spans="9:9" x14ac:dyDescent="0.25">
      <c r="I20"/>
    </row>
    <row r="21" spans="9:9" x14ac:dyDescent="0.25">
      <c r="I21"/>
    </row>
    <row r="22" spans="9:9" x14ac:dyDescent="0.25">
      <c r="I22"/>
    </row>
    <row r="23" spans="9:9" x14ac:dyDescent="0.25">
      <c r="I23"/>
    </row>
    <row r="24" spans="9:9" x14ac:dyDescent="0.25">
      <c r="I24"/>
    </row>
    <row r="25" spans="9:9" x14ac:dyDescent="0.25">
      <c r="I25"/>
    </row>
    <row r="26" spans="9:9" x14ac:dyDescent="0.25">
      <c r="I26"/>
    </row>
    <row r="27" spans="9:9" x14ac:dyDescent="0.25">
      <c r="I27"/>
    </row>
    <row r="28" spans="9:9" x14ac:dyDescent="0.25">
      <c r="I28"/>
    </row>
    <row r="29" spans="9:9" x14ac:dyDescent="0.25">
      <c r="I29"/>
    </row>
    <row r="30" spans="9:9" x14ac:dyDescent="0.25">
      <c r="I30"/>
    </row>
    <row r="31" spans="9:9" x14ac:dyDescent="0.25">
      <c r="I31"/>
    </row>
    <row r="32" spans="9:9" x14ac:dyDescent="0.25">
      <c r="I32"/>
    </row>
    <row r="33" spans="9:9" x14ac:dyDescent="0.25">
      <c r="I33"/>
    </row>
    <row r="34" spans="9:9" x14ac:dyDescent="0.25">
      <c r="I34"/>
    </row>
    <row r="35" spans="9:9" x14ac:dyDescent="0.25">
      <c r="I35"/>
    </row>
    <row r="36" spans="9:9" x14ac:dyDescent="0.25">
      <c r="I36"/>
    </row>
    <row r="37" spans="9:9" x14ac:dyDescent="0.25">
      <c r="I37"/>
    </row>
    <row r="38" spans="9:9" x14ac:dyDescent="0.25">
      <c r="I38"/>
    </row>
    <row r="39" spans="9:9" x14ac:dyDescent="0.25">
      <c r="I39"/>
    </row>
    <row r="40" spans="9:9" x14ac:dyDescent="0.25">
      <c r="I40"/>
    </row>
    <row r="41" spans="9:9" x14ac:dyDescent="0.25">
      <c r="I41"/>
    </row>
    <row r="42" spans="9:9" x14ac:dyDescent="0.25">
      <c r="I42"/>
    </row>
    <row r="43" spans="9:9" x14ac:dyDescent="0.25">
      <c r="I43"/>
    </row>
    <row r="44" spans="9:9" x14ac:dyDescent="0.25">
      <c r="I44"/>
    </row>
    <row r="45" spans="9:9" x14ac:dyDescent="0.25">
      <c r="I45"/>
    </row>
    <row r="46" spans="9:9" x14ac:dyDescent="0.25">
      <c r="I46"/>
    </row>
    <row r="47" spans="9:9" x14ac:dyDescent="0.25">
      <c r="I47"/>
    </row>
    <row r="48" spans="9:9" x14ac:dyDescent="0.25">
      <c r="I48"/>
    </row>
    <row r="49" spans="9:9" x14ac:dyDescent="0.25">
      <c r="I49"/>
    </row>
    <row r="50" spans="9:9" x14ac:dyDescent="0.25">
      <c r="I50"/>
    </row>
    <row r="51" spans="9:9" x14ac:dyDescent="0.25">
      <c r="I51"/>
    </row>
    <row r="52" spans="9:9" x14ac:dyDescent="0.25">
      <c r="I52"/>
    </row>
    <row r="53" spans="9:9" x14ac:dyDescent="0.25">
      <c r="I53"/>
    </row>
    <row r="54" spans="9:9" x14ac:dyDescent="0.25">
      <c r="I54"/>
    </row>
    <row r="55" spans="9:9" x14ac:dyDescent="0.25">
      <c r="I55"/>
    </row>
    <row r="56" spans="9:9" x14ac:dyDescent="0.25">
      <c r="I56"/>
    </row>
    <row r="57" spans="9:9" x14ac:dyDescent="0.25">
      <c r="I57"/>
    </row>
    <row r="58" spans="9:9" x14ac:dyDescent="0.25">
      <c r="I58"/>
    </row>
    <row r="59" spans="9:9" x14ac:dyDescent="0.25">
      <c r="I59"/>
    </row>
    <row r="60" spans="9:9" x14ac:dyDescent="0.25">
      <c r="I60"/>
    </row>
    <row r="61" spans="9:9" x14ac:dyDescent="0.25">
      <c r="I61"/>
    </row>
    <row r="62" spans="9:9" x14ac:dyDescent="0.25">
      <c r="I62"/>
    </row>
    <row r="63" spans="9:9" x14ac:dyDescent="0.25">
      <c r="I63"/>
    </row>
    <row r="64" spans="9:9" x14ac:dyDescent="0.25">
      <c r="I64"/>
    </row>
    <row r="65" spans="9:9" x14ac:dyDescent="0.25">
      <c r="I65"/>
    </row>
    <row r="66" spans="9:9" x14ac:dyDescent="0.25">
      <c r="I66"/>
    </row>
    <row r="67" spans="9:9" x14ac:dyDescent="0.25">
      <c r="I67"/>
    </row>
    <row r="68" spans="9:9" x14ac:dyDescent="0.25">
      <c r="I68"/>
    </row>
    <row r="69" spans="9:9" x14ac:dyDescent="0.25">
      <c r="I69"/>
    </row>
    <row r="70" spans="9:9" x14ac:dyDescent="0.25">
      <c r="I70"/>
    </row>
    <row r="71" spans="9:9" x14ac:dyDescent="0.25">
      <c r="I71"/>
    </row>
    <row r="72" spans="9:9" x14ac:dyDescent="0.25">
      <c r="I72"/>
    </row>
    <row r="73" spans="9:9" x14ac:dyDescent="0.25">
      <c r="I73"/>
    </row>
    <row r="74" spans="9:9" x14ac:dyDescent="0.25">
      <c r="I74"/>
    </row>
    <row r="75" spans="9:9" x14ac:dyDescent="0.25">
      <c r="I75"/>
    </row>
    <row r="76" spans="9:9" x14ac:dyDescent="0.25">
      <c r="I76"/>
    </row>
    <row r="77" spans="9:9" x14ac:dyDescent="0.25">
      <c r="I77"/>
    </row>
    <row r="78" spans="9:9" x14ac:dyDescent="0.25">
      <c r="I78"/>
    </row>
    <row r="79" spans="9:9" x14ac:dyDescent="0.25">
      <c r="I79"/>
    </row>
    <row r="80" spans="9:9" x14ac:dyDescent="0.25">
      <c r="I80"/>
    </row>
    <row r="81" spans="9:9" x14ac:dyDescent="0.25">
      <c r="I81"/>
    </row>
    <row r="82" spans="9:9" x14ac:dyDescent="0.25">
      <c r="I82"/>
    </row>
    <row r="83" spans="9:9" x14ac:dyDescent="0.25">
      <c r="I83"/>
    </row>
    <row r="84" spans="9:9" x14ac:dyDescent="0.25">
      <c r="I84"/>
    </row>
    <row r="85" spans="9:9" x14ac:dyDescent="0.25">
      <c r="I85"/>
    </row>
    <row r="86" spans="9:9" x14ac:dyDescent="0.25">
      <c r="I86"/>
    </row>
    <row r="87" spans="9:9" x14ac:dyDescent="0.25">
      <c r="I87"/>
    </row>
    <row r="88" spans="9:9" x14ac:dyDescent="0.25">
      <c r="I88"/>
    </row>
    <row r="89" spans="9:9" x14ac:dyDescent="0.25">
      <c r="I89"/>
    </row>
    <row r="90" spans="9:9" x14ac:dyDescent="0.25">
      <c r="I90"/>
    </row>
    <row r="91" spans="9:9" x14ac:dyDescent="0.25">
      <c r="I91"/>
    </row>
    <row r="92" spans="9:9" x14ac:dyDescent="0.25">
      <c r="I92"/>
    </row>
    <row r="93" spans="9:9" x14ac:dyDescent="0.25">
      <c r="I93"/>
    </row>
    <row r="94" spans="9:9" x14ac:dyDescent="0.25">
      <c r="I94"/>
    </row>
    <row r="95" spans="9:9" x14ac:dyDescent="0.25">
      <c r="I95"/>
    </row>
    <row r="96" spans="9:9" x14ac:dyDescent="0.25">
      <c r="I96"/>
    </row>
    <row r="97" spans="9:9" x14ac:dyDescent="0.25">
      <c r="I97"/>
    </row>
    <row r="98" spans="9:9" x14ac:dyDescent="0.25">
      <c r="I98"/>
    </row>
    <row r="99" spans="9:9" x14ac:dyDescent="0.25">
      <c r="I99"/>
    </row>
    <row r="100" spans="9:9" x14ac:dyDescent="0.25">
      <c r="I100"/>
    </row>
    <row r="101" spans="9:9" x14ac:dyDescent="0.25">
      <c r="I101"/>
    </row>
    <row r="102" spans="9:9" x14ac:dyDescent="0.25">
      <c r="I102"/>
    </row>
    <row r="103" spans="9:9" x14ac:dyDescent="0.25">
      <c r="I103"/>
    </row>
    <row r="104" spans="9:9" x14ac:dyDescent="0.25">
      <c r="I104"/>
    </row>
    <row r="105" spans="9:9" x14ac:dyDescent="0.25">
      <c r="I105"/>
    </row>
    <row r="106" spans="9:9" x14ac:dyDescent="0.25">
      <c r="I106"/>
    </row>
    <row r="107" spans="9:9" x14ac:dyDescent="0.25">
      <c r="I107"/>
    </row>
    <row r="108" spans="9:9" x14ac:dyDescent="0.25">
      <c r="I108"/>
    </row>
    <row r="109" spans="9:9" x14ac:dyDescent="0.25">
      <c r="I109"/>
    </row>
    <row r="110" spans="9:9" x14ac:dyDescent="0.25">
      <c r="I110"/>
    </row>
    <row r="111" spans="9:9" x14ac:dyDescent="0.25">
      <c r="I111"/>
    </row>
    <row r="112" spans="9:9" x14ac:dyDescent="0.25">
      <c r="I112"/>
    </row>
    <row r="113" spans="9:9" x14ac:dyDescent="0.25">
      <c r="I113"/>
    </row>
    <row r="114" spans="9:9" x14ac:dyDescent="0.25">
      <c r="I114"/>
    </row>
    <row r="115" spans="9:9" x14ac:dyDescent="0.25">
      <c r="I115"/>
    </row>
    <row r="116" spans="9:9" x14ac:dyDescent="0.25">
      <c r="I116"/>
    </row>
    <row r="117" spans="9:9" x14ac:dyDescent="0.25">
      <c r="I117"/>
    </row>
    <row r="118" spans="9:9" x14ac:dyDescent="0.25">
      <c r="I118"/>
    </row>
    <row r="119" spans="9:9" x14ac:dyDescent="0.25">
      <c r="I119"/>
    </row>
    <row r="120" spans="9:9" x14ac:dyDescent="0.25">
      <c r="I120"/>
    </row>
    <row r="121" spans="9:9" x14ac:dyDescent="0.25">
      <c r="I121"/>
    </row>
    <row r="122" spans="9:9" x14ac:dyDescent="0.25">
      <c r="I122"/>
    </row>
    <row r="123" spans="9:9" x14ac:dyDescent="0.25">
      <c r="I12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26"/>
  <sheetViews>
    <sheetView workbookViewId="0">
      <selection activeCell="E10" sqref="E10"/>
    </sheetView>
  </sheetViews>
  <sheetFormatPr defaultRowHeight="15" x14ac:dyDescent="0.25"/>
  <cols>
    <col min="1" max="1" width="18" customWidth="1"/>
    <col min="2" max="2" width="18" style="63" customWidth="1"/>
    <col min="3" max="3" width="24.7109375" style="63" customWidth="1"/>
    <col min="4" max="4" width="37.5703125" style="63" customWidth="1"/>
    <col min="5" max="5" width="33.85546875" style="63" bestFit="1" customWidth="1"/>
    <col min="6" max="6" width="37.5703125" bestFit="1" customWidth="1"/>
    <col min="7" max="7" width="23.42578125" bestFit="1" customWidth="1"/>
    <col min="8" max="8" width="18.7109375" bestFit="1" customWidth="1"/>
    <col min="9" max="9" width="17" bestFit="1" customWidth="1"/>
    <col min="10" max="10" width="33.85546875" bestFit="1" customWidth="1"/>
    <col min="11" max="11" width="23.42578125" bestFit="1" customWidth="1"/>
    <col min="12" max="12" width="18.7109375" bestFit="1" customWidth="1"/>
    <col min="13" max="13" width="17" bestFit="1" customWidth="1"/>
    <col min="14" max="14" width="29.85546875" bestFit="1" customWidth="1"/>
    <col min="15" max="15" width="42.7109375" bestFit="1" customWidth="1"/>
    <col min="16" max="16" width="38.85546875" bestFit="1" customWidth="1"/>
  </cols>
  <sheetData>
    <row r="1" spans="1:5" x14ac:dyDescent="0.25">
      <c r="B1"/>
    </row>
    <row r="2" spans="1:5" x14ac:dyDescent="0.25">
      <c r="B2"/>
    </row>
    <row r="3" spans="1:5" x14ac:dyDescent="0.25">
      <c r="B3"/>
    </row>
    <row r="4" spans="1:5" x14ac:dyDescent="0.25">
      <c r="B4" s="56" t="s">
        <v>6</v>
      </c>
      <c r="C4" t="s">
        <v>131</v>
      </c>
    </row>
    <row r="5" spans="1:5" x14ac:dyDescent="0.25">
      <c r="B5" s="56" t="s">
        <v>13</v>
      </c>
      <c r="C5"/>
    </row>
    <row r="6" spans="1:5" x14ac:dyDescent="0.25">
      <c r="A6" s="57"/>
    </row>
    <row r="7" spans="1:5" x14ac:dyDescent="0.25">
      <c r="A7" s="57"/>
      <c r="B7" s="56" t="s">
        <v>124</v>
      </c>
      <c r="C7" s="63" t="s">
        <v>126</v>
      </c>
      <c r="D7" s="63" t="s">
        <v>127</v>
      </c>
      <c r="E7" s="63" t="s">
        <v>128</v>
      </c>
    </row>
    <row r="8" spans="1:5" x14ac:dyDescent="0.25">
      <c r="A8" s="57"/>
      <c r="B8" s="57" t="s">
        <v>131</v>
      </c>
      <c r="C8" s="63" t="e">
        <v>#DIV/0!</v>
      </c>
      <c r="D8" s="63" t="e">
        <v>#DIV/0!</v>
      </c>
      <c r="E8" s="63" t="e">
        <v>#DIV/0!</v>
      </c>
    </row>
    <row r="9" spans="1:5" x14ac:dyDescent="0.25">
      <c r="A9" s="57"/>
      <c r="B9" s="57" t="s">
        <v>125</v>
      </c>
      <c r="C9" s="63" t="e">
        <v>#DIV/0!</v>
      </c>
      <c r="D9" s="63" t="e">
        <v>#DIV/0!</v>
      </c>
      <c r="E9" s="63" t="e">
        <v>#DIV/0!</v>
      </c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2:5" x14ac:dyDescent="0.25">
      <c r="B17"/>
      <c r="C17"/>
      <c r="D17"/>
      <c r="E17"/>
    </row>
    <row r="18" spans="2:5" x14ac:dyDescent="0.25">
      <c r="B18"/>
    </row>
    <row r="19" spans="2:5" x14ac:dyDescent="0.25">
      <c r="B19"/>
    </row>
    <row r="20" spans="2:5" x14ac:dyDescent="0.25">
      <c r="B20"/>
    </row>
    <row r="21" spans="2:5" x14ac:dyDescent="0.25">
      <c r="B21"/>
    </row>
    <row r="22" spans="2:5" x14ac:dyDescent="0.25">
      <c r="B22"/>
    </row>
    <row r="23" spans="2:5" x14ac:dyDescent="0.25">
      <c r="B23"/>
    </row>
    <row r="24" spans="2:5" x14ac:dyDescent="0.25">
      <c r="B24"/>
    </row>
    <row r="25" spans="2:5" x14ac:dyDescent="0.25">
      <c r="B25"/>
    </row>
    <row r="26" spans="2:5" x14ac:dyDescent="0.25">
      <c r="B26"/>
    </row>
    <row r="27" spans="2:5" x14ac:dyDescent="0.25">
      <c r="B27"/>
    </row>
    <row r="28" spans="2:5" x14ac:dyDescent="0.25">
      <c r="B28"/>
    </row>
    <row r="29" spans="2:5" x14ac:dyDescent="0.25">
      <c r="B29"/>
    </row>
    <row r="30" spans="2:5" x14ac:dyDescent="0.25">
      <c r="B30"/>
    </row>
    <row r="31" spans="2:5" x14ac:dyDescent="0.25">
      <c r="B31"/>
    </row>
    <row r="32" spans="2:5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49</vt:i4>
      </vt:variant>
    </vt:vector>
  </HeadingPairs>
  <TitlesOfParts>
    <vt:vector size="58" baseType="lpstr">
      <vt:lpstr>Ageing Summary RAW</vt:lpstr>
      <vt:lpstr>Count Summary</vt:lpstr>
      <vt:lpstr>Ageing Summary</vt:lpstr>
      <vt:lpstr>Tracker Data</vt:lpstr>
      <vt:lpstr>References</vt:lpstr>
      <vt:lpstr>Tracker Data (2)</vt:lpstr>
      <vt:lpstr>References (2)</vt:lpstr>
      <vt:lpstr>Count Summary (2)</vt:lpstr>
      <vt:lpstr>Ageing Summary (2)</vt:lpstr>
      <vt:lpstr>'Ageing Summary (2)'!area</vt:lpstr>
      <vt:lpstr>'Count Summary (2)'!area</vt:lpstr>
      <vt:lpstr>'References (2)'!area</vt:lpstr>
      <vt:lpstr>'Tracker Data (2)'!area</vt:lpstr>
      <vt:lpstr>area</vt:lpstr>
      <vt:lpstr>'Ageing Summary (2)'!cmrsource</vt:lpstr>
      <vt:lpstr>'Count Summary (2)'!cmrsource</vt:lpstr>
      <vt:lpstr>'References (2)'!cmrsource</vt:lpstr>
      <vt:lpstr>'Tracker Data (2)'!cmrsource</vt:lpstr>
      <vt:lpstr>cmrsource</vt:lpstr>
      <vt:lpstr>'Ageing Summary (2)'!cmrstat</vt:lpstr>
      <vt:lpstr>'Count Summary (2)'!cmrstat</vt:lpstr>
      <vt:lpstr>'References (2)'!cmrstat</vt:lpstr>
      <vt:lpstr>'Tracker Data (2)'!cmrstat</vt:lpstr>
      <vt:lpstr>cmrstat</vt:lpstr>
      <vt:lpstr>'Ageing Summary (2)'!concat</vt:lpstr>
      <vt:lpstr>'Count Summary (2)'!concat</vt:lpstr>
      <vt:lpstr>'References (2)'!concat</vt:lpstr>
      <vt:lpstr>'Tracker Data (2)'!concat</vt:lpstr>
      <vt:lpstr>concat</vt:lpstr>
      <vt:lpstr>'Ageing Summary (2)'!fsrstat</vt:lpstr>
      <vt:lpstr>'Count Summary (2)'!fsrstat</vt:lpstr>
      <vt:lpstr>'References (2)'!fsrstat</vt:lpstr>
      <vt:lpstr>'Tracker Data (2)'!fsrstat</vt:lpstr>
      <vt:lpstr>fsrstat</vt:lpstr>
      <vt:lpstr>'Ageing Summary (2)'!involvegroup</vt:lpstr>
      <vt:lpstr>'Count Summary (2)'!involvegroup</vt:lpstr>
      <vt:lpstr>'References (2)'!involvegroup</vt:lpstr>
      <vt:lpstr>'Tracker Data (2)'!involvegroup</vt:lpstr>
      <vt:lpstr>involvegroup</vt:lpstr>
      <vt:lpstr>'Ageing Summary (2)'!RepairWorks</vt:lpstr>
      <vt:lpstr>'Count Summary (2)'!RepairWorks</vt:lpstr>
      <vt:lpstr>'References (2)'!RepairWorks</vt:lpstr>
      <vt:lpstr>'Tracker Data (2)'!RepairWorks</vt:lpstr>
      <vt:lpstr>RepairWorks</vt:lpstr>
      <vt:lpstr>'Ageing Summary (2)'!samplechange</vt:lpstr>
      <vt:lpstr>'Count Summary (2)'!samplechange</vt:lpstr>
      <vt:lpstr>'References (2)'!samplechange</vt:lpstr>
      <vt:lpstr>samplechange</vt:lpstr>
      <vt:lpstr>'Ageing Summary (2)'!sitecat</vt:lpstr>
      <vt:lpstr>'Count Summary (2)'!sitecat</vt:lpstr>
      <vt:lpstr>'References (2)'!sitecat</vt:lpstr>
      <vt:lpstr>'Tracker Data (2)'!sitecat</vt:lpstr>
      <vt:lpstr>sitecat</vt:lpstr>
      <vt:lpstr>'Ageing Summary (2)'!wostat</vt:lpstr>
      <vt:lpstr>'Count Summary (2)'!wostat</vt:lpstr>
      <vt:lpstr>'References (2)'!wostat</vt:lpstr>
      <vt:lpstr>'Tracker Data (2)'!wostat</vt:lpstr>
      <vt:lpstr>wostat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MALACAD, Sonny C.</dc:creator>
  <cp:lastModifiedBy>visosg</cp:lastModifiedBy>
  <dcterms:created xsi:type="dcterms:W3CDTF">2006-09-16T00:00:00Z</dcterms:created>
  <dcterms:modified xsi:type="dcterms:W3CDTF">2017-03-20T01:23:48Z</dcterms:modified>
</cp:coreProperties>
</file>